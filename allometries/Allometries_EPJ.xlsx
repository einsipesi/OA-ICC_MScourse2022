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blicadministrationis-my.sharepoint.com/personal/einar_petur_jonsson_hafogvatn_is/Documents/Documents/surt/BOAT/monaco_multiple_drivers/scripts_data/rproject_final/OA-ICC_MScourse2022/allometries/"/>
    </mc:Choice>
  </mc:AlternateContent>
  <xr:revisionPtr revIDLastSave="135" documentId="13_ncr:1_{371E70F1-74AC-48BD-B12E-284E650D4741}" xr6:coauthVersionLast="47" xr6:coauthVersionMax="47" xr10:uidLastSave="{2A4D4E45-7BD1-A741-BE3E-C1AAA0D052FD}"/>
  <bookViews>
    <workbookView xWindow="0" yWindow="500" windowWidth="51200" windowHeight="28300" activeTab="5" xr2:uid="{AA3A68AD-47A2-4799-8BC5-C614B19FD7C6}"/>
  </bookViews>
  <sheets>
    <sheet name="All data" sheetId="2" r:id="rId1"/>
    <sheet name="pH" sheetId="5" r:id="rId2"/>
    <sheet name="pH_POR" sheetId="6" r:id="rId3"/>
    <sheet name="pH_BR" sheetId="7" r:id="rId4"/>
    <sheet name="Temperature" sheetId="4" r:id="rId5"/>
    <sheet name="Temperature_POR" sheetId="8" r:id="rId6"/>
    <sheet name="Temperature_BR" sheetId="9" r:id="rId7"/>
    <sheet name="Lithium" sheetId="3" r:id="rId8"/>
    <sheet name="Lithium_POR" sheetId="10" r:id="rId9"/>
    <sheet name="Lithium_BR" sheetId="11" r:id="rId10"/>
  </sheets>
  <definedNames>
    <definedName name="_xlnm._FilterDatabase" localSheetId="0" hidden="1">'All data'!$A$1:$L$138</definedName>
    <definedName name="Z_0FBB8199_8F14_479F_98C9_A5EF7D3E39BB_.wvu.FilterData" localSheetId="0" hidden="1">'All data'!$A$1:$L$1000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1" l="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2" i="11"/>
  <c r="W3" i="11"/>
  <c r="W4" i="11"/>
  <c r="W5" i="11"/>
  <c r="W6" i="11"/>
  <c r="W7" i="11"/>
  <c r="W8" i="11"/>
  <c r="W9" i="11"/>
  <c r="X9" i="11" s="1"/>
  <c r="W10" i="11"/>
  <c r="W11" i="11"/>
  <c r="W12" i="11"/>
  <c r="Y12" i="11" s="1"/>
  <c r="W13" i="11"/>
  <c r="Y13" i="11" s="1"/>
  <c r="W14" i="11"/>
  <c r="W15" i="11"/>
  <c r="W16" i="11"/>
  <c r="W17" i="11"/>
  <c r="W18" i="11"/>
  <c r="W19" i="11"/>
  <c r="W20" i="11"/>
  <c r="Y20" i="11" s="1"/>
  <c r="W21" i="11"/>
  <c r="W22" i="11"/>
  <c r="W23" i="11"/>
  <c r="Z23" i="11" s="1"/>
  <c r="W24" i="11"/>
  <c r="Z24" i="11" s="1"/>
  <c r="W25" i="11"/>
  <c r="W26" i="11"/>
  <c r="W27" i="11"/>
  <c r="W28" i="11"/>
  <c r="W29" i="11"/>
  <c r="W30" i="11"/>
  <c r="W31" i="11"/>
  <c r="AA31" i="11" s="1"/>
  <c r="W32" i="11"/>
  <c r="W33" i="11"/>
  <c r="W34" i="11"/>
  <c r="AA34" i="11" s="1"/>
  <c r="W35" i="11"/>
  <c r="AA35" i="11" s="1"/>
  <c r="W36" i="11"/>
  <c r="W37" i="11"/>
  <c r="W38" i="11"/>
  <c r="W39" i="11"/>
  <c r="W40" i="11"/>
  <c r="W41" i="11"/>
  <c r="W42" i="11"/>
  <c r="AB42" i="11" s="1"/>
  <c r="W43" i="11"/>
  <c r="W44" i="11"/>
  <c r="W45" i="11"/>
  <c r="AB45" i="11" s="1"/>
  <c r="W46" i="11"/>
  <c r="AB46" i="11" s="1"/>
  <c r="W47" i="11"/>
  <c r="W48" i="11"/>
  <c r="W49" i="11"/>
  <c r="W50" i="11"/>
  <c r="W2" i="11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2" i="10"/>
  <c r="W3" i="10"/>
  <c r="W4" i="10"/>
  <c r="W5" i="10"/>
  <c r="W6" i="10"/>
  <c r="W7" i="10"/>
  <c r="W8" i="10"/>
  <c r="X8" i="10" s="1"/>
  <c r="W9" i="10"/>
  <c r="W10" i="10"/>
  <c r="W11" i="10"/>
  <c r="X11" i="10" s="1"/>
  <c r="W12" i="10"/>
  <c r="W13" i="10"/>
  <c r="W14" i="10"/>
  <c r="W15" i="10"/>
  <c r="W16" i="10"/>
  <c r="W17" i="10"/>
  <c r="W18" i="10"/>
  <c r="W19" i="10"/>
  <c r="Y19" i="10" s="1"/>
  <c r="W20" i="10"/>
  <c r="W21" i="10"/>
  <c r="W22" i="10"/>
  <c r="Z22" i="10" s="1"/>
  <c r="W23" i="10"/>
  <c r="W24" i="10"/>
  <c r="W25" i="10"/>
  <c r="W26" i="10"/>
  <c r="W27" i="10"/>
  <c r="W28" i="10"/>
  <c r="W29" i="10"/>
  <c r="W30" i="10"/>
  <c r="Z30" i="10" s="1"/>
  <c r="W31" i="10"/>
  <c r="W32" i="10"/>
  <c r="W33" i="10"/>
  <c r="AA33" i="10" s="1"/>
  <c r="W34" i="10"/>
  <c r="W35" i="10"/>
  <c r="W36" i="10"/>
  <c r="W37" i="10"/>
  <c r="W38" i="10"/>
  <c r="W39" i="10"/>
  <c r="W40" i="10"/>
  <c r="W41" i="10"/>
  <c r="AB41" i="10" s="1"/>
  <c r="W42" i="10"/>
  <c r="W43" i="10"/>
  <c r="W44" i="10"/>
  <c r="W45" i="10"/>
  <c r="W46" i="10"/>
  <c r="W47" i="10"/>
  <c r="W48" i="10"/>
  <c r="W49" i="10"/>
  <c r="W50" i="10"/>
  <c r="W2" i="10"/>
  <c r="AB50" i="11"/>
  <c r="T50" i="11"/>
  <c r="S50" i="11"/>
  <c r="R50" i="11"/>
  <c r="Q50" i="11"/>
  <c r="P50" i="11"/>
  <c r="O50" i="11"/>
  <c r="N50" i="11"/>
  <c r="AB49" i="11"/>
  <c r="T49" i="11"/>
  <c r="S49" i="11"/>
  <c r="R49" i="11"/>
  <c r="Q49" i="11"/>
  <c r="P49" i="11"/>
  <c r="O49" i="11"/>
  <c r="N49" i="11"/>
  <c r="AB48" i="11"/>
  <c r="T48" i="11"/>
  <c r="S48" i="11"/>
  <c r="R48" i="11"/>
  <c r="Q48" i="11"/>
  <c r="P48" i="11"/>
  <c r="O48" i="11"/>
  <c r="N48" i="11"/>
  <c r="AB47" i="11"/>
  <c r="T47" i="11"/>
  <c r="S47" i="11"/>
  <c r="R47" i="11"/>
  <c r="Q47" i="11"/>
  <c r="P47" i="11"/>
  <c r="O47" i="11"/>
  <c r="N47" i="11"/>
  <c r="T46" i="11"/>
  <c r="S46" i="11"/>
  <c r="R46" i="11"/>
  <c r="Q46" i="11"/>
  <c r="P46" i="11"/>
  <c r="O46" i="11"/>
  <c r="N46" i="11"/>
  <c r="T45" i="11"/>
  <c r="S45" i="11"/>
  <c r="R45" i="11"/>
  <c r="Q45" i="11"/>
  <c r="P45" i="11"/>
  <c r="O45" i="11"/>
  <c r="N45" i="11"/>
  <c r="T44" i="11"/>
  <c r="S44" i="11"/>
  <c r="R44" i="11"/>
  <c r="Q44" i="11"/>
  <c r="P44" i="11"/>
  <c r="O44" i="11"/>
  <c r="N44" i="11"/>
  <c r="T43" i="11"/>
  <c r="S43" i="11"/>
  <c r="R43" i="11"/>
  <c r="Q43" i="11"/>
  <c r="P43" i="11"/>
  <c r="O43" i="11"/>
  <c r="N43" i="11"/>
  <c r="T42" i="11"/>
  <c r="S42" i="11"/>
  <c r="R42" i="11"/>
  <c r="Q42" i="11"/>
  <c r="P42" i="11"/>
  <c r="O42" i="11"/>
  <c r="N42" i="11"/>
  <c r="AB41" i="11"/>
  <c r="T41" i="11"/>
  <c r="S41" i="11"/>
  <c r="R41" i="11"/>
  <c r="Q41" i="11"/>
  <c r="P41" i="11"/>
  <c r="O41" i="11"/>
  <c r="N41" i="11"/>
  <c r="AA40" i="11"/>
  <c r="T40" i="11"/>
  <c r="S40" i="11"/>
  <c r="R40" i="11"/>
  <c r="Q40" i="11"/>
  <c r="P40" i="11"/>
  <c r="O40" i="11"/>
  <c r="N40" i="11"/>
  <c r="AA39" i="11"/>
  <c r="T39" i="11"/>
  <c r="S39" i="11"/>
  <c r="R39" i="11"/>
  <c r="Q39" i="11"/>
  <c r="P39" i="11"/>
  <c r="O39" i="11"/>
  <c r="N39" i="11"/>
  <c r="AA38" i="11"/>
  <c r="T38" i="11"/>
  <c r="S38" i="11"/>
  <c r="R38" i="11"/>
  <c r="Q38" i="11"/>
  <c r="P38" i="11"/>
  <c r="O38" i="11"/>
  <c r="N38" i="11"/>
  <c r="AA37" i="11"/>
  <c r="T37" i="11"/>
  <c r="S37" i="11"/>
  <c r="R37" i="11"/>
  <c r="Q37" i="11"/>
  <c r="P37" i="11"/>
  <c r="O37" i="11"/>
  <c r="N37" i="11"/>
  <c r="AA36" i="11"/>
  <c r="T36" i="11"/>
  <c r="S36" i="11"/>
  <c r="R36" i="11"/>
  <c r="Q36" i="11"/>
  <c r="P36" i="11"/>
  <c r="O36" i="11"/>
  <c r="N36" i="11"/>
  <c r="T35" i="11"/>
  <c r="S35" i="11"/>
  <c r="R35" i="11"/>
  <c r="Q35" i="11"/>
  <c r="P35" i="11"/>
  <c r="O35" i="11"/>
  <c r="N35" i="11"/>
  <c r="T34" i="11"/>
  <c r="S34" i="11"/>
  <c r="R34" i="11"/>
  <c r="Q34" i="11"/>
  <c r="P34" i="11"/>
  <c r="O34" i="11"/>
  <c r="N34" i="11"/>
  <c r="T33" i="11"/>
  <c r="S33" i="11"/>
  <c r="R33" i="11"/>
  <c r="Q33" i="11"/>
  <c r="P33" i="11"/>
  <c r="O33" i="11"/>
  <c r="N33" i="11"/>
  <c r="T32" i="11"/>
  <c r="S32" i="11"/>
  <c r="R32" i="11"/>
  <c r="Q32" i="11"/>
  <c r="P32" i="11"/>
  <c r="O32" i="11"/>
  <c r="N32" i="11"/>
  <c r="T31" i="11"/>
  <c r="S31" i="11"/>
  <c r="R31" i="11"/>
  <c r="Q31" i="11"/>
  <c r="P31" i="11"/>
  <c r="O31" i="11"/>
  <c r="N31" i="11"/>
  <c r="Z30" i="11"/>
  <c r="T30" i="11"/>
  <c r="S30" i="11"/>
  <c r="R30" i="11"/>
  <c r="Q30" i="11"/>
  <c r="P30" i="11"/>
  <c r="O30" i="11"/>
  <c r="N30" i="11"/>
  <c r="Z29" i="11"/>
  <c r="T29" i="11"/>
  <c r="S29" i="11"/>
  <c r="R29" i="11"/>
  <c r="Q29" i="11"/>
  <c r="P29" i="11"/>
  <c r="O29" i="11"/>
  <c r="N29" i="11"/>
  <c r="Z28" i="11"/>
  <c r="T28" i="11"/>
  <c r="S28" i="11"/>
  <c r="R28" i="11"/>
  <c r="Q28" i="11"/>
  <c r="P28" i="11"/>
  <c r="O28" i="11"/>
  <c r="N28" i="11"/>
  <c r="Z27" i="11"/>
  <c r="T27" i="11"/>
  <c r="S27" i="11"/>
  <c r="R27" i="11"/>
  <c r="Q27" i="11"/>
  <c r="P27" i="11"/>
  <c r="O27" i="11"/>
  <c r="N27" i="11"/>
  <c r="Z26" i="11"/>
  <c r="T26" i="11"/>
  <c r="S26" i="11"/>
  <c r="R26" i="11"/>
  <c r="Q26" i="11"/>
  <c r="P26" i="11"/>
  <c r="O26" i="11"/>
  <c r="N26" i="11"/>
  <c r="Z25" i="11"/>
  <c r="T25" i="11"/>
  <c r="S25" i="11"/>
  <c r="R25" i="11"/>
  <c r="Q25" i="11"/>
  <c r="P25" i="11"/>
  <c r="O25" i="11"/>
  <c r="N25" i="11"/>
  <c r="T24" i="11"/>
  <c r="S24" i="11"/>
  <c r="R24" i="11"/>
  <c r="Q24" i="11"/>
  <c r="P24" i="11"/>
  <c r="O24" i="11"/>
  <c r="N24" i="11"/>
  <c r="T23" i="11"/>
  <c r="S23" i="11"/>
  <c r="R23" i="11"/>
  <c r="Q23" i="11"/>
  <c r="P23" i="11"/>
  <c r="O23" i="11"/>
  <c r="N23" i="11"/>
  <c r="T22" i="11"/>
  <c r="S22" i="11"/>
  <c r="R22" i="11"/>
  <c r="Q22" i="11"/>
  <c r="P22" i="11"/>
  <c r="O22" i="11"/>
  <c r="N22" i="11"/>
  <c r="T21" i="11"/>
  <c r="S21" i="11"/>
  <c r="R21" i="11"/>
  <c r="Q21" i="11"/>
  <c r="P21" i="11"/>
  <c r="O21" i="11"/>
  <c r="N21" i="11"/>
  <c r="T20" i="11"/>
  <c r="S20" i="11"/>
  <c r="R20" i="11"/>
  <c r="Q20" i="11"/>
  <c r="P20" i="11"/>
  <c r="O20" i="11"/>
  <c r="N20" i="11"/>
  <c r="Y19" i="11"/>
  <c r="T19" i="11"/>
  <c r="S19" i="11"/>
  <c r="R19" i="11"/>
  <c r="Q19" i="11"/>
  <c r="P19" i="11"/>
  <c r="O19" i="11"/>
  <c r="N19" i="11"/>
  <c r="Y18" i="11"/>
  <c r="T18" i="11"/>
  <c r="S18" i="11"/>
  <c r="R18" i="11"/>
  <c r="Q18" i="11"/>
  <c r="P18" i="11"/>
  <c r="O18" i="11"/>
  <c r="N18" i="11"/>
  <c r="Y17" i="11"/>
  <c r="T17" i="11"/>
  <c r="S17" i="11"/>
  <c r="R17" i="11"/>
  <c r="Q17" i="11"/>
  <c r="P17" i="11"/>
  <c r="O17" i="11"/>
  <c r="N17" i="11"/>
  <c r="Y16" i="11"/>
  <c r="T16" i="11"/>
  <c r="S16" i="11"/>
  <c r="R16" i="11"/>
  <c r="Q16" i="11"/>
  <c r="P16" i="11"/>
  <c r="O16" i="11"/>
  <c r="N16" i="11"/>
  <c r="Y15" i="11"/>
  <c r="T15" i="11"/>
  <c r="S15" i="11"/>
  <c r="R15" i="11"/>
  <c r="Q15" i="11"/>
  <c r="P15" i="11"/>
  <c r="O15" i="11"/>
  <c r="N15" i="11"/>
  <c r="Y14" i="11"/>
  <c r="T14" i="11"/>
  <c r="S14" i="11"/>
  <c r="R14" i="11"/>
  <c r="Q14" i="11"/>
  <c r="P14" i="11"/>
  <c r="O14" i="11"/>
  <c r="N14" i="11"/>
  <c r="T13" i="11"/>
  <c r="S13" i="11"/>
  <c r="R13" i="11"/>
  <c r="Q13" i="11"/>
  <c r="P13" i="11"/>
  <c r="O13" i="11"/>
  <c r="N13" i="11"/>
  <c r="T12" i="11"/>
  <c r="S12" i="11"/>
  <c r="R12" i="11"/>
  <c r="Q12" i="11"/>
  <c r="P12" i="11"/>
  <c r="O12" i="11"/>
  <c r="N12" i="11"/>
  <c r="T11" i="11"/>
  <c r="S11" i="11"/>
  <c r="R11" i="11"/>
  <c r="Q11" i="11"/>
  <c r="P11" i="11"/>
  <c r="O11" i="11"/>
  <c r="N11" i="11"/>
  <c r="T10" i="11"/>
  <c r="S10" i="11"/>
  <c r="R10" i="11"/>
  <c r="Q10" i="11"/>
  <c r="P10" i="11"/>
  <c r="O10" i="11"/>
  <c r="N10" i="11"/>
  <c r="T9" i="11"/>
  <c r="S9" i="11"/>
  <c r="R9" i="11"/>
  <c r="Q9" i="11"/>
  <c r="P9" i="11"/>
  <c r="O9" i="11"/>
  <c r="N9" i="11"/>
  <c r="X8" i="11"/>
  <c r="T8" i="11"/>
  <c r="S8" i="11"/>
  <c r="R8" i="11"/>
  <c r="Q8" i="11"/>
  <c r="P8" i="11"/>
  <c r="O8" i="11"/>
  <c r="N8" i="11"/>
  <c r="X7" i="11"/>
  <c r="T7" i="11"/>
  <c r="S7" i="11"/>
  <c r="R7" i="11"/>
  <c r="Q7" i="11"/>
  <c r="P7" i="11"/>
  <c r="O7" i="11"/>
  <c r="N7" i="11"/>
  <c r="X6" i="11"/>
  <c r="T6" i="11"/>
  <c r="S6" i="11"/>
  <c r="R6" i="11"/>
  <c r="Q6" i="11"/>
  <c r="P6" i="11"/>
  <c r="O6" i="11"/>
  <c r="N6" i="11"/>
  <c r="X5" i="11"/>
  <c r="T5" i="11"/>
  <c r="S5" i="11"/>
  <c r="R5" i="11"/>
  <c r="Q5" i="11"/>
  <c r="P5" i="11"/>
  <c r="O5" i="11"/>
  <c r="N5" i="11"/>
  <c r="X4" i="11"/>
  <c r="T4" i="11"/>
  <c r="S4" i="11"/>
  <c r="R4" i="11"/>
  <c r="Q4" i="11"/>
  <c r="P4" i="11"/>
  <c r="O4" i="11"/>
  <c r="N4" i="11"/>
  <c r="X3" i="11"/>
  <c r="T3" i="11"/>
  <c r="S3" i="11"/>
  <c r="R3" i="11"/>
  <c r="Q3" i="11"/>
  <c r="P3" i="11"/>
  <c r="O3" i="11"/>
  <c r="N3" i="11"/>
  <c r="X2" i="11"/>
  <c r="T2" i="11"/>
  <c r="S2" i="11"/>
  <c r="R2" i="11"/>
  <c r="Q2" i="11"/>
  <c r="P2" i="11"/>
  <c r="O2" i="11"/>
  <c r="N2" i="11"/>
  <c r="AB50" i="10"/>
  <c r="T50" i="10"/>
  <c r="S50" i="10"/>
  <c r="R50" i="10"/>
  <c r="Q50" i="10"/>
  <c r="P50" i="10"/>
  <c r="O50" i="10"/>
  <c r="N50" i="10"/>
  <c r="AB49" i="10"/>
  <c r="T49" i="10"/>
  <c r="S49" i="10"/>
  <c r="R49" i="10"/>
  <c r="Q49" i="10"/>
  <c r="P49" i="10"/>
  <c r="O49" i="10"/>
  <c r="N49" i="10"/>
  <c r="AB48" i="10"/>
  <c r="T48" i="10"/>
  <c r="S48" i="10"/>
  <c r="R48" i="10"/>
  <c r="Q48" i="10"/>
  <c r="P48" i="10"/>
  <c r="O48" i="10"/>
  <c r="N48" i="10"/>
  <c r="AB47" i="10"/>
  <c r="T47" i="10"/>
  <c r="S47" i="10"/>
  <c r="R47" i="10"/>
  <c r="Q47" i="10"/>
  <c r="P47" i="10"/>
  <c r="O47" i="10"/>
  <c r="N47" i="10"/>
  <c r="T46" i="10"/>
  <c r="S46" i="10"/>
  <c r="R46" i="10"/>
  <c r="Q46" i="10"/>
  <c r="P46" i="10"/>
  <c r="O46" i="10"/>
  <c r="N46" i="10"/>
  <c r="T45" i="10"/>
  <c r="S45" i="10"/>
  <c r="R45" i="10"/>
  <c r="Q45" i="10"/>
  <c r="P45" i="10"/>
  <c r="O45" i="10"/>
  <c r="N45" i="10"/>
  <c r="T44" i="10"/>
  <c r="S44" i="10"/>
  <c r="R44" i="10"/>
  <c r="Q44" i="10"/>
  <c r="P44" i="10"/>
  <c r="O44" i="10"/>
  <c r="N44" i="10"/>
  <c r="T43" i="10"/>
  <c r="S43" i="10"/>
  <c r="R43" i="10"/>
  <c r="Q43" i="10"/>
  <c r="P43" i="10"/>
  <c r="O43" i="10"/>
  <c r="N43" i="10"/>
  <c r="T42" i="10"/>
  <c r="S42" i="10"/>
  <c r="R42" i="10"/>
  <c r="Q42" i="10"/>
  <c r="P42" i="10"/>
  <c r="O42" i="10"/>
  <c r="N42" i="10"/>
  <c r="T41" i="10"/>
  <c r="S41" i="10"/>
  <c r="R41" i="10"/>
  <c r="Q41" i="10"/>
  <c r="P41" i="10"/>
  <c r="O41" i="10"/>
  <c r="N41" i="10"/>
  <c r="AA40" i="10"/>
  <c r="T40" i="10"/>
  <c r="S40" i="10"/>
  <c r="R40" i="10"/>
  <c r="Q40" i="10"/>
  <c r="P40" i="10"/>
  <c r="O40" i="10"/>
  <c r="N40" i="10"/>
  <c r="AA39" i="10"/>
  <c r="T39" i="10"/>
  <c r="S39" i="10"/>
  <c r="R39" i="10"/>
  <c r="Q39" i="10"/>
  <c r="P39" i="10"/>
  <c r="O39" i="10"/>
  <c r="N39" i="10"/>
  <c r="AA38" i="10"/>
  <c r="T38" i="10"/>
  <c r="S38" i="10"/>
  <c r="R38" i="10"/>
  <c r="Q38" i="10"/>
  <c r="P38" i="10"/>
  <c r="O38" i="10"/>
  <c r="N38" i="10"/>
  <c r="AA37" i="10"/>
  <c r="T37" i="10"/>
  <c r="S37" i="10"/>
  <c r="R37" i="10"/>
  <c r="Q37" i="10"/>
  <c r="P37" i="10"/>
  <c r="O37" i="10"/>
  <c r="N37" i="10"/>
  <c r="AA36" i="10"/>
  <c r="T36" i="10"/>
  <c r="S36" i="10"/>
  <c r="R36" i="10"/>
  <c r="Q36" i="10"/>
  <c r="P36" i="10"/>
  <c r="O36" i="10"/>
  <c r="N36" i="10"/>
  <c r="T35" i="10"/>
  <c r="S35" i="10"/>
  <c r="R35" i="10"/>
  <c r="Q35" i="10"/>
  <c r="P35" i="10"/>
  <c r="O35" i="10"/>
  <c r="N35" i="10"/>
  <c r="T34" i="10"/>
  <c r="S34" i="10"/>
  <c r="R34" i="10"/>
  <c r="Q34" i="10"/>
  <c r="P34" i="10"/>
  <c r="O34" i="10"/>
  <c r="N34" i="10"/>
  <c r="T33" i="10"/>
  <c r="S33" i="10"/>
  <c r="R33" i="10"/>
  <c r="Q33" i="10"/>
  <c r="P33" i="10"/>
  <c r="O33" i="10"/>
  <c r="N33" i="10"/>
  <c r="T32" i="10"/>
  <c r="S32" i="10"/>
  <c r="R32" i="10"/>
  <c r="Q32" i="10"/>
  <c r="P32" i="10"/>
  <c r="O32" i="10"/>
  <c r="N32" i="10"/>
  <c r="T31" i="10"/>
  <c r="S31" i="10"/>
  <c r="R31" i="10"/>
  <c r="Q31" i="10"/>
  <c r="P31" i="10"/>
  <c r="O31" i="10"/>
  <c r="N31" i="10"/>
  <c r="T30" i="10"/>
  <c r="S30" i="10"/>
  <c r="R30" i="10"/>
  <c r="Q30" i="10"/>
  <c r="P30" i="10"/>
  <c r="O30" i="10"/>
  <c r="N30" i="10"/>
  <c r="Z29" i="10"/>
  <c r="T29" i="10"/>
  <c r="S29" i="10"/>
  <c r="R29" i="10"/>
  <c r="Q29" i="10"/>
  <c r="P29" i="10"/>
  <c r="O29" i="10"/>
  <c r="N29" i="10"/>
  <c r="Z28" i="10"/>
  <c r="T28" i="10"/>
  <c r="S28" i="10"/>
  <c r="R28" i="10"/>
  <c r="Q28" i="10"/>
  <c r="P28" i="10"/>
  <c r="O28" i="10"/>
  <c r="N28" i="10"/>
  <c r="Z27" i="10"/>
  <c r="T27" i="10"/>
  <c r="S27" i="10"/>
  <c r="R27" i="10"/>
  <c r="Q27" i="10"/>
  <c r="P27" i="10"/>
  <c r="O27" i="10"/>
  <c r="N27" i="10"/>
  <c r="Z26" i="10"/>
  <c r="T26" i="10"/>
  <c r="S26" i="10"/>
  <c r="R26" i="10"/>
  <c r="Q26" i="10"/>
  <c r="P26" i="10"/>
  <c r="O26" i="10"/>
  <c r="N26" i="10"/>
  <c r="Z25" i="10"/>
  <c r="T25" i="10"/>
  <c r="S25" i="10"/>
  <c r="R25" i="10"/>
  <c r="Q25" i="10"/>
  <c r="P25" i="10"/>
  <c r="O25" i="10"/>
  <c r="N25" i="10"/>
  <c r="T24" i="10"/>
  <c r="S24" i="10"/>
  <c r="R24" i="10"/>
  <c r="Q24" i="10"/>
  <c r="P24" i="10"/>
  <c r="O24" i="10"/>
  <c r="N24" i="10"/>
  <c r="T23" i="10"/>
  <c r="S23" i="10"/>
  <c r="R23" i="10"/>
  <c r="Q23" i="10"/>
  <c r="P23" i="10"/>
  <c r="O23" i="10"/>
  <c r="N23" i="10"/>
  <c r="T22" i="10"/>
  <c r="S22" i="10"/>
  <c r="R22" i="10"/>
  <c r="Q22" i="10"/>
  <c r="P22" i="10"/>
  <c r="O22" i="10"/>
  <c r="N22" i="10"/>
  <c r="T21" i="10"/>
  <c r="S21" i="10"/>
  <c r="R21" i="10"/>
  <c r="Q21" i="10"/>
  <c r="P21" i="10"/>
  <c r="O21" i="10"/>
  <c r="N21" i="10"/>
  <c r="T20" i="10"/>
  <c r="S20" i="10"/>
  <c r="R20" i="10"/>
  <c r="Q20" i="10"/>
  <c r="P20" i="10"/>
  <c r="O20" i="10"/>
  <c r="N20" i="10"/>
  <c r="T19" i="10"/>
  <c r="S19" i="10"/>
  <c r="R19" i="10"/>
  <c r="Q19" i="10"/>
  <c r="P19" i="10"/>
  <c r="O19" i="10"/>
  <c r="N19" i="10"/>
  <c r="Y18" i="10"/>
  <c r="T18" i="10"/>
  <c r="S18" i="10"/>
  <c r="R18" i="10"/>
  <c r="Q18" i="10"/>
  <c r="P18" i="10"/>
  <c r="O18" i="10"/>
  <c r="N18" i="10"/>
  <c r="Y17" i="10"/>
  <c r="T17" i="10"/>
  <c r="S17" i="10"/>
  <c r="R17" i="10"/>
  <c r="Q17" i="10"/>
  <c r="P17" i="10"/>
  <c r="O17" i="10"/>
  <c r="N17" i="10"/>
  <c r="Y16" i="10"/>
  <c r="T16" i="10"/>
  <c r="S16" i="10"/>
  <c r="R16" i="10"/>
  <c r="Q16" i="10"/>
  <c r="P16" i="10"/>
  <c r="O16" i="10"/>
  <c r="N16" i="10"/>
  <c r="Y15" i="10"/>
  <c r="T15" i="10"/>
  <c r="S15" i="10"/>
  <c r="R15" i="10"/>
  <c r="Q15" i="10"/>
  <c r="P15" i="10"/>
  <c r="O15" i="10"/>
  <c r="N15" i="10"/>
  <c r="Y14" i="10"/>
  <c r="T14" i="10"/>
  <c r="S14" i="10"/>
  <c r="R14" i="10"/>
  <c r="Q14" i="10"/>
  <c r="P14" i="10"/>
  <c r="O14" i="10"/>
  <c r="N14" i="10"/>
  <c r="Y13" i="10"/>
  <c r="T13" i="10"/>
  <c r="S13" i="10"/>
  <c r="R13" i="10"/>
  <c r="Q13" i="10"/>
  <c r="P13" i="10"/>
  <c r="O13" i="10"/>
  <c r="N13" i="10"/>
  <c r="T12" i="10"/>
  <c r="S12" i="10"/>
  <c r="R12" i="10"/>
  <c r="Q12" i="10"/>
  <c r="P12" i="10"/>
  <c r="O12" i="10"/>
  <c r="N12" i="10"/>
  <c r="T11" i="10"/>
  <c r="S11" i="10"/>
  <c r="R11" i="10"/>
  <c r="Q11" i="10"/>
  <c r="P11" i="10"/>
  <c r="O11" i="10"/>
  <c r="N11" i="10"/>
  <c r="T10" i="10"/>
  <c r="S10" i="10"/>
  <c r="R10" i="10"/>
  <c r="Q10" i="10"/>
  <c r="P10" i="10"/>
  <c r="O10" i="10"/>
  <c r="N10" i="10"/>
  <c r="T9" i="10"/>
  <c r="S9" i="10"/>
  <c r="R9" i="10"/>
  <c r="Q9" i="10"/>
  <c r="P9" i="10"/>
  <c r="O9" i="10"/>
  <c r="N9" i="10"/>
  <c r="T8" i="10"/>
  <c r="S8" i="10"/>
  <c r="R8" i="10"/>
  <c r="Q8" i="10"/>
  <c r="P8" i="10"/>
  <c r="O8" i="10"/>
  <c r="N8" i="10"/>
  <c r="X7" i="10"/>
  <c r="T7" i="10"/>
  <c r="S7" i="10"/>
  <c r="R7" i="10"/>
  <c r="Q7" i="10"/>
  <c r="P7" i="10"/>
  <c r="O7" i="10"/>
  <c r="N7" i="10"/>
  <c r="X6" i="10"/>
  <c r="T6" i="10"/>
  <c r="S6" i="10"/>
  <c r="R6" i="10"/>
  <c r="Q6" i="10"/>
  <c r="P6" i="10"/>
  <c r="O6" i="10"/>
  <c r="N6" i="10"/>
  <c r="X5" i="10"/>
  <c r="T5" i="10"/>
  <c r="S5" i="10"/>
  <c r="R5" i="10"/>
  <c r="Q5" i="10"/>
  <c r="P5" i="10"/>
  <c r="O5" i="10"/>
  <c r="N5" i="10"/>
  <c r="X4" i="10"/>
  <c r="T4" i="10"/>
  <c r="S4" i="10"/>
  <c r="R4" i="10"/>
  <c r="Q4" i="10"/>
  <c r="P4" i="10"/>
  <c r="O4" i="10"/>
  <c r="N4" i="10"/>
  <c r="X3" i="10"/>
  <c r="T3" i="10"/>
  <c r="S3" i="10"/>
  <c r="R3" i="10"/>
  <c r="Q3" i="10"/>
  <c r="P3" i="10"/>
  <c r="O3" i="10"/>
  <c r="N3" i="10"/>
  <c r="X2" i="10"/>
  <c r="T2" i="10"/>
  <c r="S2" i="10"/>
  <c r="R2" i="10"/>
  <c r="Q2" i="10"/>
  <c r="P2" i="10"/>
  <c r="O2" i="10"/>
  <c r="N2" i="10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2" i="7"/>
  <c r="W3" i="7"/>
  <c r="W4" i="7"/>
  <c r="W5" i="7"/>
  <c r="W6" i="7"/>
  <c r="W7" i="7"/>
  <c r="W8" i="7"/>
  <c r="W9" i="7"/>
  <c r="W10" i="7"/>
  <c r="W11" i="7"/>
  <c r="X11" i="7" s="1"/>
  <c r="W12" i="7"/>
  <c r="W13" i="7"/>
  <c r="W14" i="7"/>
  <c r="W15" i="7"/>
  <c r="W16" i="7"/>
  <c r="W17" i="7"/>
  <c r="W18" i="7"/>
  <c r="W19" i="7"/>
  <c r="W20" i="7"/>
  <c r="Z20" i="7" s="1"/>
  <c r="W21" i="7"/>
  <c r="Z21" i="7" s="1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AB43" i="7" s="1"/>
  <c r="W44" i="7"/>
  <c r="W45" i="7"/>
  <c r="W46" i="7"/>
  <c r="W47" i="7"/>
  <c r="W48" i="7"/>
  <c r="W2" i="7"/>
  <c r="T48" i="7"/>
  <c r="S48" i="7"/>
  <c r="R48" i="7"/>
  <c r="Q48" i="7"/>
  <c r="P48" i="7"/>
  <c r="O48" i="7"/>
  <c r="N48" i="7"/>
  <c r="T47" i="7"/>
  <c r="S47" i="7"/>
  <c r="R47" i="7"/>
  <c r="Q47" i="7"/>
  <c r="P47" i="7"/>
  <c r="O47" i="7"/>
  <c r="N47" i="7"/>
  <c r="T46" i="7"/>
  <c r="S46" i="7"/>
  <c r="R46" i="7"/>
  <c r="Q46" i="7"/>
  <c r="P46" i="7"/>
  <c r="O46" i="7"/>
  <c r="N46" i="7"/>
  <c r="T45" i="7"/>
  <c r="S45" i="7"/>
  <c r="R45" i="7"/>
  <c r="Q45" i="7"/>
  <c r="P45" i="7"/>
  <c r="O45" i="7"/>
  <c r="N45" i="7"/>
  <c r="AB44" i="7"/>
  <c r="T44" i="7"/>
  <c r="S44" i="7"/>
  <c r="R44" i="7"/>
  <c r="Q44" i="7"/>
  <c r="P44" i="7"/>
  <c r="O44" i="7"/>
  <c r="N44" i="7"/>
  <c r="T43" i="7"/>
  <c r="S43" i="7"/>
  <c r="R43" i="7"/>
  <c r="Q43" i="7"/>
  <c r="P43" i="7"/>
  <c r="O43" i="7"/>
  <c r="N43" i="7"/>
  <c r="T42" i="7"/>
  <c r="S42" i="7"/>
  <c r="R42" i="7"/>
  <c r="Q42" i="7"/>
  <c r="P42" i="7"/>
  <c r="O42" i="7"/>
  <c r="N42" i="7"/>
  <c r="T41" i="7"/>
  <c r="S41" i="7"/>
  <c r="R41" i="7"/>
  <c r="Q41" i="7"/>
  <c r="P41" i="7"/>
  <c r="O41" i="7"/>
  <c r="N41" i="7"/>
  <c r="T40" i="7"/>
  <c r="S40" i="7"/>
  <c r="R40" i="7"/>
  <c r="Q40" i="7"/>
  <c r="P40" i="7"/>
  <c r="O40" i="7"/>
  <c r="N40" i="7"/>
  <c r="T39" i="7"/>
  <c r="S39" i="7"/>
  <c r="R39" i="7"/>
  <c r="Q39" i="7"/>
  <c r="P39" i="7"/>
  <c r="O39" i="7"/>
  <c r="N39" i="7"/>
  <c r="T38" i="7"/>
  <c r="S38" i="7"/>
  <c r="R38" i="7"/>
  <c r="Q38" i="7"/>
  <c r="P38" i="7"/>
  <c r="O38" i="7"/>
  <c r="N38" i="7"/>
  <c r="T37" i="7"/>
  <c r="S37" i="7"/>
  <c r="R37" i="7"/>
  <c r="Q37" i="7"/>
  <c r="P37" i="7"/>
  <c r="O37" i="7"/>
  <c r="N37" i="7"/>
  <c r="T36" i="7"/>
  <c r="S36" i="7"/>
  <c r="R36" i="7"/>
  <c r="Q36" i="7"/>
  <c r="P36" i="7"/>
  <c r="O36" i="7"/>
  <c r="N36" i="7"/>
  <c r="T35" i="7"/>
  <c r="S35" i="7"/>
  <c r="R35" i="7"/>
  <c r="Q35" i="7"/>
  <c r="P35" i="7"/>
  <c r="O35" i="7"/>
  <c r="N35" i="7"/>
  <c r="T34" i="7"/>
  <c r="S34" i="7"/>
  <c r="R34" i="7"/>
  <c r="Q34" i="7"/>
  <c r="P34" i="7"/>
  <c r="O34" i="7"/>
  <c r="N34" i="7"/>
  <c r="AA33" i="7"/>
  <c r="T33" i="7"/>
  <c r="S33" i="7"/>
  <c r="R33" i="7"/>
  <c r="Q33" i="7"/>
  <c r="P33" i="7"/>
  <c r="O33" i="7"/>
  <c r="N33" i="7"/>
  <c r="T32" i="7"/>
  <c r="S32" i="7"/>
  <c r="R32" i="7"/>
  <c r="Q32" i="7"/>
  <c r="P32" i="7"/>
  <c r="O32" i="7"/>
  <c r="N32" i="7"/>
  <c r="T31" i="7"/>
  <c r="S31" i="7"/>
  <c r="R31" i="7"/>
  <c r="Q31" i="7"/>
  <c r="P31" i="7"/>
  <c r="O31" i="7"/>
  <c r="N31" i="7"/>
  <c r="T30" i="7"/>
  <c r="S30" i="7"/>
  <c r="R30" i="7"/>
  <c r="Q30" i="7"/>
  <c r="P30" i="7"/>
  <c r="O30" i="7"/>
  <c r="N30" i="7"/>
  <c r="AA29" i="7"/>
  <c r="T29" i="7"/>
  <c r="S29" i="7"/>
  <c r="R29" i="7"/>
  <c r="Q29" i="7"/>
  <c r="P29" i="7"/>
  <c r="O29" i="7"/>
  <c r="N29" i="7"/>
  <c r="T28" i="7"/>
  <c r="S28" i="7"/>
  <c r="R28" i="7"/>
  <c r="Q28" i="7"/>
  <c r="P28" i="7"/>
  <c r="O28" i="7"/>
  <c r="N28" i="7"/>
  <c r="T27" i="7"/>
  <c r="S27" i="7"/>
  <c r="R27" i="7"/>
  <c r="Q27" i="7"/>
  <c r="P27" i="7"/>
  <c r="O27" i="7"/>
  <c r="N27" i="7"/>
  <c r="T26" i="7"/>
  <c r="S26" i="7"/>
  <c r="R26" i="7"/>
  <c r="Q26" i="7"/>
  <c r="P26" i="7"/>
  <c r="O26" i="7"/>
  <c r="N26" i="7"/>
  <c r="T25" i="7"/>
  <c r="S25" i="7"/>
  <c r="R25" i="7"/>
  <c r="Q25" i="7"/>
  <c r="P25" i="7"/>
  <c r="O25" i="7"/>
  <c r="N25" i="7"/>
  <c r="T24" i="7"/>
  <c r="S24" i="7"/>
  <c r="R24" i="7"/>
  <c r="Q24" i="7"/>
  <c r="P24" i="7"/>
  <c r="O24" i="7"/>
  <c r="N24" i="7"/>
  <c r="T23" i="7"/>
  <c r="S23" i="7"/>
  <c r="R23" i="7"/>
  <c r="Q23" i="7"/>
  <c r="P23" i="7"/>
  <c r="O23" i="7"/>
  <c r="N23" i="7"/>
  <c r="Z22" i="7"/>
  <c r="T22" i="7"/>
  <c r="S22" i="7"/>
  <c r="R22" i="7"/>
  <c r="Q22" i="7"/>
  <c r="P22" i="7"/>
  <c r="O22" i="7"/>
  <c r="N22" i="7"/>
  <c r="T21" i="7"/>
  <c r="S21" i="7"/>
  <c r="R21" i="7"/>
  <c r="Q21" i="7"/>
  <c r="P21" i="7"/>
  <c r="O21" i="7"/>
  <c r="N21" i="7"/>
  <c r="T20" i="7"/>
  <c r="S20" i="7"/>
  <c r="R20" i="7"/>
  <c r="Q20" i="7"/>
  <c r="P20" i="7"/>
  <c r="O20" i="7"/>
  <c r="N20" i="7"/>
  <c r="T19" i="7"/>
  <c r="S19" i="7"/>
  <c r="R19" i="7"/>
  <c r="Q19" i="7"/>
  <c r="P19" i="7"/>
  <c r="O19" i="7"/>
  <c r="N19" i="7"/>
  <c r="T18" i="7"/>
  <c r="S18" i="7"/>
  <c r="R18" i="7"/>
  <c r="Q18" i="7"/>
  <c r="P18" i="7"/>
  <c r="O18" i="7"/>
  <c r="N18" i="7"/>
  <c r="T17" i="7"/>
  <c r="S17" i="7"/>
  <c r="R17" i="7"/>
  <c r="Q17" i="7"/>
  <c r="P17" i="7"/>
  <c r="O17" i="7"/>
  <c r="N17" i="7"/>
  <c r="T16" i="7"/>
  <c r="S16" i="7"/>
  <c r="R16" i="7"/>
  <c r="Q16" i="7"/>
  <c r="P16" i="7"/>
  <c r="O16" i="7"/>
  <c r="N16" i="7"/>
  <c r="T15" i="7"/>
  <c r="S15" i="7"/>
  <c r="R15" i="7"/>
  <c r="Q15" i="7"/>
  <c r="P15" i="7"/>
  <c r="O15" i="7"/>
  <c r="N15" i="7"/>
  <c r="T14" i="7"/>
  <c r="S14" i="7"/>
  <c r="R14" i="7"/>
  <c r="Q14" i="7"/>
  <c r="P14" i="7"/>
  <c r="O14" i="7"/>
  <c r="N14" i="7"/>
  <c r="T13" i="7"/>
  <c r="S13" i="7"/>
  <c r="R13" i="7"/>
  <c r="Q13" i="7"/>
  <c r="P13" i="7"/>
  <c r="O13" i="7"/>
  <c r="N13" i="7"/>
  <c r="T12" i="7"/>
  <c r="S12" i="7"/>
  <c r="R12" i="7"/>
  <c r="Q12" i="7"/>
  <c r="P12" i="7"/>
  <c r="O12" i="7"/>
  <c r="N12" i="7"/>
  <c r="T11" i="7"/>
  <c r="S11" i="7"/>
  <c r="R11" i="7"/>
  <c r="Q11" i="7"/>
  <c r="P11" i="7"/>
  <c r="O11" i="7"/>
  <c r="N11" i="7"/>
  <c r="T10" i="7"/>
  <c r="S10" i="7"/>
  <c r="R10" i="7"/>
  <c r="Q10" i="7"/>
  <c r="P10" i="7"/>
  <c r="O10" i="7"/>
  <c r="N10" i="7"/>
  <c r="T9" i="7"/>
  <c r="S9" i="7"/>
  <c r="R9" i="7"/>
  <c r="Q9" i="7"/>
  <c r="P9" i="7"/>
  <c r="O9" i="7"/>
  <c r="N9" i="7"/>
  <c r="T8" i="7"/>
  <c r="S8" i="7"/>
  <c r="R8" i="7"/>
  <c r="Q8" i="7"/>
  <c r="P8" i="7"/>
  <c r="O8" i="7"/>
  <c r="N8" i="7"/>
  <c r="T7" i="7"/>
  <c r="S7" i="7"/>
  <c r="R7" i="7"/>
  <c r="Q7" i="7"/>
  <c r="P7" i="7"/>
  <c r="O7" i="7"/>
  <c r="N7" i="7"/>
  <c r="T6" i="7"/>
  <c r="S6" i="7"/>
  <c r="R6" i="7"/>
  <c r="Q6" i="7"/>
  <c r="P6" i="7"/>
  <c r="O6" i="7"/>
  <c r="N6" i="7"/>
  <c r="T5" i="7"/>
  <c r="S5" i="7"/>
  <c r="R5" i="7"/>
  <c r="Q5" i="7"/>
  <c r="P5" i="7"/>
  <c r="O5" i="7"/>
  <c r="N5" i="7"/>
  <c r="T4" i="7"/>
  <c r="S4" i="7"/>
  <c r="R4" i="7"/>
  <c r="Q4" i="7"/>
  <c r="P4" i="7"/>
  <c r="O4" i="7"/>
  <c r="N4" i="7"/>
  <c r="T3" i="7"/>
  <c r="S3" i="7"/>
  <c r="R3" i="7"/>
  <c r="Q3" i="7"/>
  <c r="P3" i="7"/>
  <c r="O3" i="7"/>
  <c r="N3" i="7"/>
  <c r="T2" i="7"/>
  <c r="S2" i="7"/>
  <c r="R2" i="7"/>
  <c r="Q2" i="7"/>
  <c r="P2" i="7"/>
  <c r="O2" i="7"/>
  <c r="N2" i="7"/>
  <c r="AE3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2" i="6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7" i="9"/>
  <c r="W18" i="9"/>
  <c r="W19" i="9"/>
  <c r="W20" i="9"/>
  <c r="W21" i="9"/>
  <c r="W22" i="9"/>
  <c r="W23" i="9"/>
  <c r="Z23" i="9" s="1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2" i="9"/>
  <c r="AD2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" i="8"/>
  <c r="W3" i="8"/>
  <c r="W4" i="8"/>
  <c r="W5" i="8"/>
  <c r="W6" i="8"/>
  <c r="W7" i="8"/>
  <c r="W8" i="8"/>
  <c r="W9" i="8"/>
  <c r="W10" i="8"/>
  <c r="W11" i="8"/>
  <c r="W12" i="8"/>
  <c r="W13" i="8"/>
  <c r="Y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AA34" i="8" s="1"/>
  <c r="W35" i="8"/>
  <c r="W36" i="8"/>
  <c r="W37" i="8"/>
  <c r="W38" i="8"/>
  <c r="W2" i="8"/>
  <c r="Z23" i="8"/>
  <c r="T38" i="9"/>
  <c r="S38" i="9"/>
  <c r="R38" i="9"/>
  <c r="Q38" i="9"/>
  <c r="P38" i="9"/>
  <c r="O38" i="9"/>
  <c r="N38" i="9"/>
  <c r="T37" i="9"/>
  <c r="S37" i="9"/>
  <c r="R37" i="9"/>
  <c r="Q37" i="9"/>
  <c r="P37" i="9"/>
  <c r="O37" i="9"/>
  <c r="N37" i="9"/>
  <c r="AA36" i="9"/>
  <c r="T36" i="9"/>
  <c r="S36" i="9"/>
  <c r="R36" i="9"/>
  <c r="Q36" i="9"/>
  <c r="P36" i="9"/>
  <c r="O36" i="9"/>
  <c r="N36" i="9"/>
  <c r="T35" i="9"/>
  <c r="S35" i="9"/>
  <c r="R35" i="9"/>
  <c r="Q35" i="9"/>
  <c r="P35" i="9"/>
  <c r="O35" i="9"/>
  <c r="N35" i="9"/>
  <c r="T34" i="9"/>
  <c r="S34" i="9"/>
  <c r="R34" i="9"/>
  <c r="Q34" i="9"/>
  <c r="P34" i="9"/>
  <c r="O34" i="9"/>
  <c r="N34" i="9"/>
  <c r="AA33" i="9"/>
  <c r="T33" i="9"/>
  <c r="S33" i="9"/>
  <c r="R33" i="9"/>
  <c r="Q33" i="9"/>
  <c r="P33" i="9"/>
  <c r="O33" i="9"/>
  <c r="N33" i="9"/>
  <c r="T32" i="9"/>
  <c r="S32" i="9"/>
  <c r="R32" i="9"/>
  <c r="Q32" i="9"/>
  <c r="P32" i="9"/>
  <c r="O32" i="9"/>
  <c r="N32" i="9"/>
  <c r="T31" i="9"/>
  <c r="S31" i="9"/>
  <c r="R31" i="9"/>
  <c r="Q31" i="9"/>
  <c r="P31" i="9"/>
  <c r="O31" i="9"/>
  <c r="N31" i="9"/>
  <c r="T30" i="9"/>
  <c r="S30" i="9"/>
  <c r="R30" i="9"/>
  <c r="Q30" i="9"/>
  <c r="P30" i="9"/>
  <c r="O30" i="9"/>
  <c r="N30" i="9"/>
  <c r="T29" i="9"/>
  <c r="S29" i="9"/>
  <c r="R29" i="9"/>
  <c r="Q29" i="9"/>
  <c r="P29" i="9"/>
  <c r="O29" i="9"/>
  <c r="N29" i="9"/>
  <c r="T28" i="9"/>
  <c r="S28" i="9"/>
  <c r="R28" i="9"/>
  <c r="Q28" i="9"/>
  <c r="P28" i="9"/>
  <c r="O28" i="9"/>
  <c r="N28" i="9"/>
  <c r="T27" i="9"/>
  <c r="S27" i="9"/>
  <c r="R27" i="9"/>
  <c r="Q27" i="9"/>
  <c r="P27" i="9"/>
  <c r="O27" i="9"/>
  <c r="N27" i="9"/>
  <c r="T26" i="9"/>
  <c r="S26" i="9"/>
  <c r="R26" i="9"/>
  <c r="Q26" i="9"/>
  <c r="P26" i="9"/>
  <c r="O26" i="9"/>
  <c r="N26" i="9"/>
  <c r="Z25" i="9"/>
  <c r="T25" i="9"/>
  <c r="S25" i="9"/>
  <c r="R25" i="9"/>
  <c r="Q25" i="9"/>
  <c r="P25" i="9"/>
  <c r="O25" i="9"/>
  <c r="N25" i="9"/>
  <c r="T24" i="9"/>
  <c r="S24" i="9"/>
  <c r="R24" i="9"/>
  <c r="Q24" i="9"/>
  <c r="P24" i="9"/>
  <c r="O24" i="9"/>
  <c r="N24" i="9"/>
  <c r="T23" i="9"/>
  <c r="S23" i="9"/>
  <c r="R23" i="9"/>
  <c r="Q23" i="9"/>
  <c r="P23" i="9"/>
  <c r="O23" i="9"/>
  <c r="N23" i="9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T20" i="9"/>
  <c r="S20" i="9"/>
  <c r="R20" i="9"/>
  <c r="Q20" i="9"/>
  <c r="P20" i="9"/>
  <c r="O20" i="9"/>
  <c r="N20" i="9"/>
  <c r="T19" i="9"/>
  <c r="S19" i="9"/>
  <c r="R19" i="9"/>
  <c r="Q19" i="9"/>
  <c r="P19" i="9"/>
  <c r="O19" i="9"/>
  <c r="N19" i="9"/>
  <c r="T18" i="9"/>
  <c r="S18" i="9"/>
  <c r="R18" i="9"/>
  <c r="Q18" i="9"/>
  <c r="P18" i="9"/>
  <c r="O18" i="9"/>
  <c r="N18" i="9"/>
  <c r="T17" i="9"/>
  <c r="S17" i="9"/>
  <c r="R17" i="9"/>
  <c r="Q17" i="9"/>
  <c r="P17" i="9"/>
  <c r="O17" i="9"/>
  <c r="N17" i="9"/>
  <c r="T16" i="9"/>
  <c r="S16" i="9"/>
  <c r="R16" i="9"/>
  <c r="Q16" i="9"/>
  <c r="P16" i="9"/>
  <c r="N16" i="9"/>
  <c r="Y15" i="9"/>
  <c r="T15" i="9"/>
  <c r="S15" i="9"/>
  <c r="R15" i="9"/>
  <c r="Q15" i="9"/>
  <c r="P15" i="9"/>
  <c r="O15" i="9"/>
  <c r="N15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T12" i="9"/>
  <c r="S12" i="9"/>
  <c r="R12" i="9"/>
  <c r="Q12" i="9"/>
  <c r="P12" i="9"/>
  <c r="O12" i="9"/>
  <c r="N12" i="9"/>
  <c r="T11" i="9"/>
  <c r="S11" i="9"/>
  <c r="R11" i="9"/>
  <c r="Q11" i="9"/>
  <c r="P11" i="9"/>
  <c r="O11" i="9"/>
  <c r="N11" i="9"/>
  <c r="T10" i="9"/>
  <c r="S10" i="9"/>
  <c r="R10" i="9"/>
  <c r="Q10" i="9"/>
  <c r="P10" i="9"/>
  <c r="O10" i="9"/>
  <c r="N10" i="9"/>
  <c r="T9" i="9"/>
  <c r="S9" i="9"/>
  <c r="R9" i="9"/>
  <c r="Q9" i="9"/>
  <c r="P9" i="9"/>
  <c r="O9" i="9"/>
  <c r="N9" i="9"/>
  <c r="T8" i="9"/>
  <c r="S8" i="9"/>
  <c r="R8" i="9"/>
  <c r="Q8" i="9"/>
  <c r="P8" i="9"/>
  <c r="O8" i="9"/>
  <c r="N8" i="9"/>
  <c r="T7" i="9"/>
  <c r="S7" i="9"/>
  <c r="R7" i="9"/>
  <c r="Q7" i="9"/>
  <c r="P7" i="9"/>
  <c r="O7" i="9"/>
  <c r="N7" i="9"/>
  <c r="T6" i="9"/>
  <c r="S6" i="9"/>
  <c r="R6" i="9"/>
  <c r="Q6" i="9"/>
  <c r="P6" i="9"/>
  <c r="O6" i="9"/>
  <c r="N6" i="9"/>
  <c r="T5" i="9"/>
  <c r="S5" i="9"/>
  <c r="R5" i="9"/>
  <c r="Q5" i="9"/>
  <c r="P5" i="9"/>
  <c r="O5" i="9"/>
  <c r="N5" i="9"/>
  <c r="X4" i="9"/>
  <c r="T4" i="9"/>
  <c r="S4" i="9"/>
  <c r="R4" i="9"/>
  <c r="Q4" i="9"/>
  <c r="P4" i="9"/>
  <c r="O4" i="9"/>
  <c r="N4" i="9"/>
  <c r="T3" i="9"/>
  <c r="S3" i="9"/>
  <c r="R3" i="9"/>
  <c r="Q3" i="9"/>
  <c r="P3" i="9"/>
  <c r="O3" i="9"/>
  <c r="N3" i="9"/>
  <c r="T2" i="9"/>
  <c r="S2" i="9"/>
  <c r="R2" i="9"/>
  <c r="Q2" i="9"/>
  <c r="P2" i="9"/>
  <c r="O2" i="9"/>
  <c r="N2" i="9"/>
  <c r="T38" i="8"/>
  <c r="S38" i="8"/>
  <c r="R38" i="8"/>
  <c r="Q38" i="8"/>
  <c r="P38" i="8"/>
  <c r="O38" i="8"/>
  <c r="N38" i="8"/>
  <c r="T37" i="8"/>
  <c r="S37" i="8"/>
  <c r="R37" i="8"/>
  <c r="Q37" i="8"/>
  <c r="P37" i="8"/>
  <c r="O37" i="8"/>
  <c r="N37" i="8"/>
  <c r="T36" i="8"/>
  <c r="S36" i="8"/>
  <c r="R36" i="8"/>
  <c r="Q36" i="8"/>
  <c r="P36" i="8"/>
  <c r="O36" i="8"/>
  <c r="N36" i="8"/>
  <c r="T35" i="8"/>
  <c r="S35" i="8"/>
  <c r="R35" i="8"/>
  <c r="Q35" i="8"/>
  <c r="P35" i="8"/>
  <c r="O35" i="8"/>
  <c r="N35" i="8"/>
  <c r="T34" i="8"/>
  <c r="S34" i="8"/>
  <c r="R34" i="8"/>
  <c r="Q34" i="8"/>
  <c r="P34" i="8"/>
  <c r="O34" i="8"/>
  <c r="N34" i="8"/>
  <c r="T33" i="8"/>
  <c r="S33" i="8"/>
  <c r="R33" i="8"/>
  <c r="Q33" i="8"/>
  <c r="P33" i="8"/>
  <c r="O33" i="8"/>
  <c r="N33" i="8"/>
  <c r="T32" i="8"/>
  <c r="S32" i="8"/>
  <c r="R32" i="8"/>
  <c r="Q32" i="8"/>
  <c r="P32" i="8"/>
  <c r="O32" i="8"/>
  <c r="N32" i="8"/>
  <c r="T31" i="8"/>
  <c r="S31" i="8"/>
  <c r="R31" i="8"/>
  <c r="Q31" i="8"/>
  <c r="P31" i="8"/>
  <c r="O31" i="8"/>
  <c r="N31" i="8"/>
  <c r="T30" i="8"/>
  <c r="S30" i="8"/>
  <c r="R30" i="8"/>
  <c r="Q30" i="8"/>
  <c r="P30" i="8"/>
  <c r="O30" i="8"/>
  <c r="N30" i="8"/>
  <c r="T29" i="8"/>
  <c r="S29" i="8"/>
  <c r="R29" i="8"/>
  <c r="Q29" i="8"/>
  <c r="P29" i="8"/>
  <c r="O29" i="8"/>
  <c r="N29" i="8"/>
  <c r="T28" i="8"/>
  <c r="S28" i="8"/>
  <c r="R28" i="8"/>
  <c r="Q28" i="8"/>
  <c r="P28" i="8"/>
  <c r="O28" i="8"/>
  <c r="N28" i="8"/>
  <c r="T27" i="8"/>
  <c r="S27" i="8"/>
  <c r="R27" i="8"/>
  <c r="Q27" i="8"/>
  <c r="P27" i="8"/>
  <c r="O27" i="8"/>
  <c r="N27" i="8"/>
  <c r="T26" i="8"/>
  <c r="S26" i="8"/>
  <c r="R26" i="8"/>
  <c r="Q26" i="8"/>
  <c r="P26" i="8"/>
  <c r="O26" i="8"/>
  <c r="N26" i="8"/>
  <c r="Z25" i="8"/>
  <c r="T25" i="8"/>
  <c r="S25" i="8"/>
  <c r="R25" i="8"/>
  <c r="Q25" i="8"/>
  <c r="P25" i="8"/>
  <c r="O25" i="8"/>
  <c r="N25" i="8"/>
  <c r="T24" i="8"/>
  <c r="S24" i="8"/>
  <c r="R24" i="8"/>
  <c r="Q24" i="8"/>
  <c r="P24" i="8"/>
  <c r="O24" i="8"/>
  <c r="N24" i="8"/>
  <c r="T23" i="8"/>
  <c r="S23" i="8"/>
  <c r="R23" i="8"/>
  <c r="Q23" i="8"/>
  <c r="P23" i="8"/>
  <c r="O23" i="8"/>
  <c r="N23" i="8"/>
  <c r="T22" i="8"/>
  <c r="S22" i="8"/>
  <c r="R22" i="8"/>
  <c r="Q22" i="8"/>
  <c r="P22" i="8"/>
  <c r="O22" i="8"/>
  <c r="N22" i="8"/>
  <c r="T21" i="8"/>
  <c r="S21" i="8"/>
  <c r="R21" i="8"/>
  <c r="Q21" i="8"/>
  <c r="P21" i="8"/>
  <c r="O21" i="8"/>
  <c r="N21" i="8"/>
  <c r="T20" i="8"/>
  <c r="S20" i="8"/>
  <c r="R20" i="8"/>
  <c r="Q20" i="8"/>
  <c r="P20" i="8"/>
  <c r="O20" i="8"/>
  <c r="N20" i="8"/>
  <c r="T19" i="8"/>
  <c r="S19" i="8"/>
  <c r="R19" i="8"/>
  <c r="Q19" i="8"/>
  <c r="P19" i="8"/>
  <c r="O19" i="8"/>
  <c r="N19" i="8"/>
  <c r="T18" i="8"/>
  <c r="S18" i="8"/>
  <c r="R18" i="8"/>
  <c r="Q18" i="8"/>
  <c r="P18" i="8"/>
  <c r="O18" i="8"/>
  <c r="N18" i="8"/>
  <c r="T17" i="8"/>
  <c r="S17" i="8"/>
  <c r="R17" i="8"/>
  <c r="Q17" i="8"/>
  <c r="P17" i="8"/>
  <c r="O17" i="8"/>
  <c r="N17" i="8"/>
  <c r="T16" i="8"/>
  <c r="S16" i="8"/>
  <c r="R16" i="8"/>
  <c r="Q16" i="8"/>
  <c r="P16" i="8"/>
  <c r="N16" i="8"/>
  <c r="Y15" i="8"/>
  <c r="T15" i="8"/>
  <c r="S15" i="8"/>
  <c r="R15" i="8"/>
  <c r="Q15" i="8"/>
  <c r="P15" i="8"/>
  <c r="O15" i="8"/>
  <c r="N15" i="8"/>
  <c r="Y14" i="8"/>
  <c r="T14" i="8"/>
  <c r="S14" i="8"/>
  <c r="R14" i="8"/>
  <c r="Q14" i="8"/>
  <c r="P14" i="8"/>
  <c r="O14" i="8"/>
  <c r="N14" i="8"/>
  <c r="T13" i="8"/>
  <c r="S13" i="8"/>
  <c r="R13" i="8"/>
  <c r="Q13" i="8"/>
  <c r="P13" i="8"/>
  <c r="O13" i="8"/>
  <c r="N13" i="8"/>
  <c r="T12" i="8"/>
  <c r="S12" i="8"/>
  <c r="R12" i="8"/>
  <c r="Q12" i="8"/>
  <c r="P12" i="8"/>
  <c r="O12" i="8"/>
  <c r="N12" i="8"/>
  <c r="T11" i="8"/>
  <c r="S11" i="8"/>
  <c r="R11" i="8"/>
  <c r="Q11" i="8"/>
  <c r="P11" i="8"/>
  <c r="O11" i="8"/>
  <c r="N11" i="8"/>
  <c r="T10" i="8"/>
  <c r="S10" i="8"/>
  <c r="R10" i="8"/>
  <c r="Q10" i="8"/>
  <c r="P10" i="8"/>
  <c r="O10" i="8"/>
  <c r="N10" i="8"/>
  <c r="T9" i="8"/>
  <c r="S9" i="8"/>
  <c r="R9" i="8"/>
  <c r="Q9" i="8"/>
  <c r="P9" i="8"/>
  <c r="O9" i="8"/>
  <c r="N9" i="8"/>
  <c r="T8" i="8"/>
  <c r="S8" i="8"/>
  <c r="R8" i="8"/>
  <c r="Q8" i="8"/>
  <c r="P8" i="8"/>
  <c r="O8" i="8"/>
  <c r="N8" i="8"/>
  <c r="T7" i="8"/>
  <c r="S7" i="8"/>
  <c r="R7" i="8"/>
  <c r="Q7" i="8"/>
  <c r="P7" i="8"/>
  <c r="O7" i="8"/>
  <c r="N7" i="8"/>
  <c r="T6" i="8"/>
  <c r="S6" i="8"/>
  <c r="R6" i="8"/>
  <c r="Q6" i="8"/>
  <c r="P6" i="8"/>
  <c r="O6" i="8"/>
  <c r="N6" i="8"/>
  <c r="T5" i="8"/>
  <c r="S5" i="8"/>
  <c r="R5" i="8"/>
  <c r="Q5" i="8"/>
  <c r="P5" i="8"/>
  <c r="O5" i="8"/>
  <c r="N5" i="8"/>
  <c r="X4" i="8"/>
  <c r="T4" i="8"/>
  <c r="S4" i="8"/>
  <c r="R4" i="8"/>
  <c r="Q4" i="8"/>
  <c r="P4" i="8"/>
  <c r="O4" i="8"/>
  <c r="N4" i="8"/>
  <c r="X3" i="8"/>
  <c r="T3" i="8"/>
  <c r="S3" i="8"/>
  <c r="R3" i="8"/>
  <c r="Q3" i="8"/>
  <c r="P3" i="8"/>
  <c r="O3" i="8"/>
  <c r="N3" i="8"/>
  <c r="X2" i="8"/>
  <c r="T2" i="8"/>
  <c r="S2" i="8"/>
  <c r="R2" i="8"/>
  <c r="Q2" i="8"/>
  <c r="P2" i="8"/>
  <c r="O2" i="8"/>
  <c r="N2" i="8"/>
  <c r="AB48" i="6"/>
  <c r="T48" i="6"/>
  <c r="S48" i="6"/>
  <c r="R48" i="6"/>
  <c r="Q48" i="6"/>
  <c r="P48" i="6"/>
  <c r="O48" i="6"/>
  <c r="N48" i="6"/>
  <c r="AB47" i="6"/>
  <c r="T47" i="6"/>
  <c r="S47" i="6"/>
  <c r="R47" i="6"/>
  <c r="Q47" i="6"/>
  <c r="P47" i="6"/>
  <c r="O47" i="6"/>
  <c r="N47" i="6"/>
  <c r="T46" i="6"/>
  <c r="S46" i="6"/>
  <c r="R46" i="6"/>
  <c r="Q46" i="6"/>
  <c r="P46" i="6"/>
  <c r="O46" i="6"/>
  <c r="N46" i="6"/>
  <c r="T45" i="6"/>
  <c r="S45" i="6"/>
  <c r="R45" i="6"/>
  <c r="Q45" i="6"/>
  <c r="P45" i="6"/>
  <c r="O45" i="6"/>
  <c r="N45" i="6"/>
  <c r="AB44" i="6"/>
  <c r="T44" i="6"/>
  <c r="S44" i="6"/>
  <c r="R44" i="6"/>
  <c r="Q44" i="6"/>
  <c r="P44" i="6"/>
  <c r="O44" i="6"/>
  <c r="N44" i="6"/>
  <c r="AB43" i="6"/>
  <c r="T43" i="6"/>
  <c r="S43" i="6"/>
  <c r="R43" i="6"/>
  <c r="Q43" i="6"/>
  <c r="P43" i="6"/>
  <c r="O43" i="6"/>
  <c r="N43" i="6"/>
  <c r="AB42" i="6"/>
  <c r="T42" i="6"/>
  <c r="S42" i="6"/>
  <c r="R42" i="6"/>
  <c r="Q42" i="6"/>
  <c r="P42" i="6"/>
  <c r="O42" i="6"/>
  <c r="N42" i="6"/>
  <c r="T41" i="6"/>
  <c r="S41" i="6"/>
  <c r="R41" i="6"/>
  <c r="Q41" i="6"/>
  <c r="P41" i="6"/>
  <c r="O41" i="6"/>
  <c r="N41" i="6"/>
  <c r="AB40" i="6"/>
  <c r="T40" i="6"/>
  <c r="S40" i="6"/>
  <c r="R40" i="6"/>
  <c r="Q40" i="6"/>
  <c r="P40" i="6"/>
  <c r="O40" i="6"/>
  <c r="N40" i="6"/>
  <c r="AB39" i="6"/>
  <c r="T39" i="6"/>
  <c r="S39" i="6"/>
  <c r="R39" i="6"/>
  <c r="Q39" i="6"/>
  <c r="P39" i="6"/>
  <c r="O39" i="6"/>
  <c r="N39" i="6"/>
  <c r="AA38" i="6"/>
  <c r="T38" i="6"/>
  <c r="S38" i="6"/>
  <c r="R38" i="6"/>
  <c r="Q38" i="6"/>
  <c r="P38" i="6"/>
  <c r="O38" i="6"/>
  <c r="N38" i="6"/>
  <c r="AA37" i="6"/>
  <c r="T37" i="6"/>
  <c r="S37" i="6"/>
  <c r="R37" i="6"/>
  <c r="Q37" i="6"/>
  <c r="P37" i="6"/>
  <c r="O37" i="6"/>
  <c r="N37" i="6"/>
  <c r="AA36" i="6"/>
  <c r="T36" i="6"/>
  <c r="S36" i="6"/>
  <c r="R36" i="6"/>
  <c r="Q36" i="6"/>
  <c r="P36" i="6"/>
  <c r="O36" i="6"/>
  <c r="N36" i="6"/>
  <c r="T35" i="6"/>
  <c r="S35" i="6"/>
  <c r="R35" i="6"/>
  <c r="Q35" i="6"/>
  <c r="P35" i="6"/>
  <c r="O35" i="6"/>
  <c r="N35" i="6"/>
  <c r="T34" i="6"/>
  <c r="S34" i="6"/>
  <c r="R34" i="6"/>
  <c r="Q34" i="6"/>
  <c r="P34" i="6"/>
  <c r="O34" i="6"/>
  <c r="N34" i="6"/>
  <c r="AA33" i="6"/>
  <c r="T33" i="6"/>
  <c r="S33" i="6"/>
  <c r="R33" i="6"/>
  <c r="Q33" i="6"/>
  <c r="P33" i="6"/>
  <c r="O33" i="6"/>
  <c r="N33" i="6"/>
  <c r="AA32" i="6"/>
  <c r="T32" i="6"/>
  <c r="S32" i="6"/>
  <c r="R32" i="6"/>
  <c r="Q32" i="6"/>
  <c r="P32" i="6"/>
  <c r="O32" i="6"/>
  <c r="N32" i="6"/>
  <c r="AA31" i="6"/>
  <c r="T31" i="6"/>
  <c r="S31" i="6"/>
  <c r="R31" i="6"/>
  <c r="Q31" i="6"/>
  <c r="P31" i="6"/>
  <c r="O31" i="6"/>
  <c r="N31" i="6"/>
  <c r="T30" i="6"/>
  <c r="S30" i="6"/>
  <c r="R30" i="6"/>
  <c r="Q30" i="6"/>
  <c r="P30" i="6"/>
  <c r="O30" i="6"/>
  <c r="N30" i="6"/>
  <c r="AA29" i="6"/>
  <c r="T29" i="6"/>
  <c r="S29" i="6"/>
  <c r="R29" i="6"/>
  <c r="Q29" i="6"/>
  <c r="P29" i="6"/>
  <c r="O29" i="6"/>
  <c r="N29" i="6"/>
  <c r="Z28" i="6"/>
  <c r="T28" i="6"/>
  <c r="S28" i="6"/>
  <c r="R28" i="6"/>
  <c r="Q28" i="6"/>
  <c r="P28" i="6"/>
  <c r="O28" i="6"/>
  <c r="N28" i="6"/>
  <c r="Z27" i="6"/>
  <c r="T27" i="6"/>
  <c r="S27" i="6"/>
  <c r="R27" i="6"/>
  <c r="Q27" i="6"/>
  <c r="P27" i="6"/>
  <c r="O27" i="6"/>
  <c r="N27" i="6"/>
  <c r="Z26" i="6"/>
  <c r="T26" i="6"/>
  <c r="S26" i="6"/>
  <c r="R26" i="6"/>
  <c r="Q26" i="6"/>
  <c r="P26" i="6"/>
  <c r="O26" i="6"/>
  <c r="N26" i="6"/>
  <c r="Z25" i="6"/>
  <c r="T25" i="6"/>
  <c r="S25" i="6"/>
  <c r="R25" i="6"/>
  <c r="Q25" i="6"/>
  <c r="P25" i="6"/>
  <c r="O25" i="6"/>
  <c r="N25" i="6"/>
  <c r="T24" i="6"/>
  <c r="S24" i="6"/>
  <c r="R24" i="6"/>
  <c r="Q24" i="6"/>
  <c r="P24" i="6"/>
  <c r="O24" i="6"/>
  <c r="N24" i="6"/>
  <c r="T23" i="6"/>
  <c r="S23" i="6"/>
  <c r="R23" i="6"/>
  <c r="Q23" i="6"/>
  <c r="P23" i="6"/>
  <c r="O23" i="6"/>
  <c r="N23" i="6"/>
  <c r="Z22" i="6"/>
  <c r="T22" i="6"/>
  <c r="S22" i="6"/>
  <c r="R22" i="6"/>
  <c r="Q22" i="6"/>
  <c r="P22" i="6"/>
  <c r="O22" i="6"/>
  <c r="N22" i="6"/>
  <c r="Z21" i="6"/>
  <c r="T21" i="6"/>
  <c r="S21" i="6"/>
  <c r="R21" i="6"/>
  <c r="Q21" i="6"/>
  <c r="P21" i="6"/>
  <c r="O21" i="6"/>
  <c r="N21" i="6"/>
  <c r="Z20" i="6"/>
  <c r="T20" i="6"/>
  <c r="S20" i="6"/>
  <c r="R20" i="6"/>
  <c r="Q20" i="6"/>
  <c r="P20" i="6"/>
  <c r="O20" i="6"/>
  <c r="N20" i="6"/>
  <c r="T19" i="6"/>
  <c r="S19" i="6"/>
  <c r="R19" i="6"/>
  <c r="Q19" i="6"/>
  <c r="P19" i="6"/>
  <c r="O19" i="6"/>
  <c r="N19" i="6"/>
  <c r="Y18" i="6"/>
  <c r="T18" i="6"/>
  <c r="S18" i="6"/>
  <c r="R18" i="6"/>
  <c r="Q18" i="6"/>
  <c r="P18" i="6"/>
  <c r="O18" i="6"/>
  <c r="N18" i="6"/>
  <c r="Y17" i="6"/>
  <c r="T17" i="6"/>
  <c r="S17" i="6"/>
  <c r="R17" i="6"/>
  <c r="Q17" i="6"/>
  <c r="P17" i="6"/>
  <c r="O17" i="6"/>
  <c r="N17" i="6"/>
  <c r="Y16" i="6"/>
  <c r="T16" i="6"/>
  <c r="S16" i="6"/>
  <c r="R16" i="6"/>
  <c r="Q16" i="6"/>
  <c r="P16" i="6"/>
  <c r="O16" i="6"/>
  <c r="N16" i="6"/>
  <c r="Y15" i="6"/>
  <c r="T15" i="6"/>
  <c r="S15" i="6"/>
  <c r="R15" i="6"/>
  <c r="Q15" i="6"/>
  <c r="P15" i="6"/>
  <c r="O15" i="6"/>
  <c r="N15" i="6"/>
  <c r="Y14" i="6"/>
  <c r="T14" i="6"/>
  <c r="S14" i="6"/>
  <c r="R14" i="6"/>
  <c r="Q14" i="6"/>
  <c r="P14" i="6"/>
  <c r="O14" i="6"/>
  <c r="N14" i="6"/>
  <c r="T13" i="6"/>
  <c r="S13" i="6"/>
  <c r="R13" i="6"/>
  <c r="Q13" i="6"/>
  <c r="P13" i="6"/>
  <c r="O13" i="6"/>
  <c r="N13" i="6"/>
  <c r="T12" i="6"/>
  <c r="S12" i="6"/>
  <c r="R12" i="6"/>
  <c r="Q12" i="6"/>
  <c r="P12" i="6"/>
  <c r="O12" i="6"/>
  <c r="N12" i="6"/>
  <c r="X11" i="6"/>
  <c r="T11" i="6"/>
  <c r="S11" i="6"/>
  <c r="R11" i="6"/>
  <c r="Q11" i="6"/>
  <c r="P11" i="6"/>
  <c r="O11" i="6"/>
  <c r="N11" i="6"/>
  <c r="X10" i="6"/>
  <c r="T10" i="6"/>
  <c r="S10" i="6"/>
  <c r="R10" i="6"/>
  <c r="Q10" i="6"/>
  <c r="P10" i="6"/>
  <c r="O10" i="6"/>
  <c r="N10" i="6"/>
  <c r="X9" i="6"/>
  <c r="T9" i="6"/>
  <c r="S9" i="6"/>
  <c r="R9" i="6"/>
  <c r="Q9" i="6"/>
  <c r="P9" i="6"/>
  <c r="O9" i="6"/>
  <c r="N9" i="6"/>
  <c r="T8" i="6"/>
  <c r="S8" i="6"/>
  <c r="R8" i="6"/>
  <c r="Q8" i="6"/>
  <c r="P8" i="6"/>
  <c r="O8" i="6"/>
  <c r="N8" i="6"/>
  <c r="X7" i="6"/>
  <c r="T7" i="6"/>
  <c r="S7" i="6"/>
  <c r="R7" i="6"/>
  <c r="Q7" i="6"/>
  <c r="P7" i="6"/>
  <c r="O7" i="6"/>
  <c r="N7" i="6"/>
  <c r="X6" i="6"/>
  <c r="T6" i="6"/>
  <c r="S6" i="6"/>
  <c r="R6" i="6"/>
  <c r="Q6" i="6"/>
  <c r="P6" i="6"/>
  <c r="O6" i="6"/>
  <c r="N6" i="6"/>
  <c r="X5" i="6"/>
  <c r="T5" i="6"/>
  <c r="S5" i="6"/>
  <c r="R5" i="6"/>
  <c r="Q5" i="6"/>
  <c r="P5" i="6"/>
  <c r="O5" i="6"/>
  <c r="N5" i="6"/>
  <c r="X4" i="6"/>
  <c r="T4" i="6"/>
  <c r="S4" i="6"/>
  <c r="R4" i="6"/>
  <c r="Q4" i="6"/>
  <c r="P4" i="6"/>
  <c r="O4" i="6"/>
  <c r="N4" i="6"/>
  <c r="X3" i="6"/>
  <c r="T3" i="6"/>
  <c r="S3" i="6"/>
  <c r="R3" i="6"/>
  <c r="Q3" i="6"/>
  <c r="P3" i="6"/>
  <c r="O3" i="6"/>
  <c r="N3" i="6"/>
  <c r="X2" i="6"/>
  <c r="T2" i="6"/>
  <c r="S2" i="6"/>
  <c r="R2" i="6"/>
  <c r="Q2" i="6"/>
  <c r="P2" i="6"/>
  <c r="O2" i="6"/>
  <c r="N2" i="6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2" i="3"/>
  <c r="AD38" i="4"/>
  <c r="W38" i="4"/>
  <c r="T38" i="4"/>
  <c r="S38" i="4"/>
  <c r="R38" i="4"/>
  <c r="Q38" i="4"/>
  <c r="P38" i="4"/>
  <c r="O38" i="4"/>
  <c r="N38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2" i="4"/>
  <c r="W37" i="4"/>
  <c r="W36" i="4"/>
  <c r="W35" i="4"/>
  <c r="W34" i="4"/>
  <c r="W33" i="4"/>
  <c r="W32" i="4"/>
  <c r="W31" i="4"/>
  <c r="W30" i="4"/>
  <c r="Z30" i="4" s="1"/>
  <c r="W29" i="4"/>
  <c r="W28" i="4"/>
  <c r="W27" i="4"/>
  <c r="Z27" i="4" s="1"/>
  <c r="W26" i="4"/>
  <c r="W25" i="4"/>
  <c r="W24" i="4"/>
  <c r="W23" i="4"/>
  <c r="Z23" i="4" s="1"/>
  <c r="W22" i="4"/>
  <c r="W21" i="4"/>
  <c r="W20" i="4"/>
  <c r="W19" i="4"/>
  <c r="W18" i="4"/>
  <c r="W17" i="4"/>
  <c r="W16" i="4"/>
  <c r="Y16" i="4" s="1"/>
  <c r="W15" i="4"/>
  <c r="Y15" i="4" s="1"/>
  <c r="W14" i="4"/>
  <c r="W13" i="4"/>
  <c r="W12" i="4"/>
  <c r="W11" i="4"/>
  <c r="W10" i="4"/>
  <c r="W9" i="4"/>
  <c r="W8" i="4"/>
  <c r="W7" i="4"/>
  <c r="W6" i="4"/>
  <c r="X6" i="4" s="1"/>
  <c r="W5" i="4"/>
  <c r="W4" i="4"/>
  <c r="X4" i="4" s="1"/>
  <c r="W3" i="4"/>
  <c r="X3" i="4" s="1"/>
  <c r="W2" i="4"/>
  <c r="X2" i="4" s="1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2" i="5"/>
  <c r="AB40" i="5"/>
  <c r="AB41" i="5"/>
  <c r="AB42" i="5"/>
  <c r="AB43" i="5"/>
  <c r="AB44" i="5"/>
  <c r="AB45" i="5"/>
  <c r="AB46" i="5"/>
  <c r="AB47" i="5"/>
  <c r="AB48" i="5"/>
  <c r="AB39" i="5"/>
  <c r="AA30" i="5"/>
  <c r="AA31" i="5"/>
  <c r="AA32" i="5"/>
  <c r="AA33" i="5"/>
  <c r="AA34" i="5"/>
  <c r="AA35" i="5"/>
  <c r="AA36" i="5"/>
  <c r="AA37" i="5"/>
  <c r="AA38" i="5"/>
  <c r="AA29" i="5"/>
  <c r="Z21" i="5"/>
  <c r="Z22" i="5"/>
  <c r="Z23" i="5"/>
  <c r="Z24" i="5"/>
  <c r="Z25" i="5"/>
  <c r="Z26" i="5"/>
  <c r="Z27" i="5"/>
  <c r="Z28" i="5"/>
  <c r="Z20" i="5"/>
  <c r="Y13" i="5"/>
  <c r="Y14" i="5"/>
  <c r="Y15" i="5"/>
  <c r="Y16" i="5"/>
  <c r="Y17" i="5"/>
  <c r="Y18" i="5"/>
  <c r="Y19" i="5"/>
  <c r="Y12" i="5"/>
  <c r="X3" i="5"/>
  <c r="X4" i="5"/>
  <c r="X5" i="5"/>
  <c r="X6" i="5"/>
  <c r="X7" i="5"/>
  <c r="X8" i="5"/>
  <c r="X9" i="5"/>
  <c r="X10" i="5"/>
  <c r="X11" i="5"/>
  <c r="X2" i="5"/>
  <c r="T48" i="5"/>
  <c r="S48" i="5"/>
  <c r="R48" i="5"/>
  <c r="Q48" i="5"/>
  <c r="P48" i="5"/>
  <c r="O48" i="5"/>
  <c r="N48" i="5"/>
  <c r="T47" i="5"/>
  <c r="S47" i="5"/>
  <c r="R47" i="5"/>
  <c r="Q47" i="5"/>
  <c r="P47" i="5"/>
  <c r="O47" i="5"/>
  <c r="N47" i="5"/>
  <c r="T46" i="5"/>
  <c r="S46" i="5"/>
  <c r="R46" i="5"/>
  <c r="Q46" i="5"/>
  <c r="P46" i="5"/>
  <c r="O46" i="5"/>
  <c r="N46" i="5"/>
  <c r="T45" i="5"/>
  <c r="S45" i="5"/>
  <c r="R45" i="5"/>
  <c r="Q45" i="5"/>
  <c r="P45" i="5"/>
  <c r="O45" i="5"/>
  <c r="N45" i="5"/>
  <c r="T44" i="5"/>
  <c r="S44" i="5"/>
  <c r="R44" i="5"/>
  <c r="Q44" i="5"/>
  <c r="P44" i="5"/>
  <c r="O44" i="5"/>
  <c r="N44" i="5"/>
  <c r="T43" i="5"/>
  <c r="S43" i="5"/>
  <c r="R43" i="5"/>
  <c r="Q43" i="5"/>
  <c r="P43" i="5"/>
  <c r="O43" i="5"/>
  <c r="N43" i="5"/>
  <c r="T42" i="5"/>
  <c r="S42" i="5"/>
  <c r="R42" i="5"/>
  <c r="Q42" i="5"/>
  <c r="P42" i="5"/>
  <c r="O42" i="5"/>
  <c r="N42" i="5"/>
  <c r="T41" i="5"/>
  <c r="S41" i="5"/>
  <c r="R41" i="5"/>
  <c r="Q41" i="5"/>
  <c r="P41" i="5"/>
  <c r="O41" i="5"/>
  <c r="N41" i="5"/>
  <c r="T40" i="5"/>
  <c r="S40" i="5"/>
  <c r="R40" i="5"/>
  <c r="Q40" i="5"/>
  <c r="P40" i="5"/>
  <c r="O40" i="5"/>
  <c r="N40" i="5"/>
  <c r="T39" i="5"/>
  <c r="S39" i="5"/>
  <c r="R39" i="5"/>
  <c r="Q39" i="5"/>
  <c r="P39" i="5"/>
  <c r="O39" i="5"/>
  <c r="N39" i="5"/>
  <c r="T38" i="5"/>
  <c r="S38" i="5"/>
  <c r="R38" i="5"/>
  <c r="Q38" i="5"/>
  <c r="P38" i="5"/>
  <c r="O38" i="5"/>
  <c r="N38" i="5"/>
  <c r="T37" i="5"/>
  <c r="S37" i="5"/>
  <c r="R37" i="5"/>
  <c r="Q37" i="5"/>
  <c r="P37" i="5"/>
  <c r="O37" i="5"/>
  <c r="N37" i="5"/>
  <c r="T36" i="5"/>
  <c r="S36" i="5"/>
  <c r="R36" i="5"/>
  <c r="Q36" i="5"/>
  <c r="P36" i="5"/>
  <c r="O36" i="5"/>
  <c r="N36" i="5"/>
  <c r="T35" i="5"/>
  <c r="S35" i="5"/>
  <c r="R35" i="5"/>
  <c r="Q35" i="5"/>
  <c r="P35" i="5"/>
  <c r="O35" i="5"/>
  <c r="N35" i="5"/>
  <c r="T34" i="5"/>
  <c r="S34" i="5"/>
  <c r="R34" i="5"/>
  <c r="Q34" i="5"/>
  <c r="P34" i="5"/>
  <c r="O34" i="5"/>
  <c r="N34" i="5"/>
  <c r="T33" i="5"/>
  <c r="S33" i="5"/>
  <c r="R33" i="5"/>
  <c r="Q33" i="5"/>
  <c r="P33" i="5"/>
  <c r="O33" i="5"/>
  <c r="N33" i="5"/>
  <c r="T32" i="5"/>
  <c r="S32" i="5"/>
  <c r="R32" i="5"/>
  <c r="Q32" i="5"/>
  <c r="P32" i="5"/>
  <c r="O32" i="5"/>
  <c r="N32" i="5"/>
  <c r="T31" i="5"/>
  <c r="S31" i="5"/>
  <c r="R31" i="5"/>
  <c r="Q31" i="5"/>
  <c r="P31" i="5"/>
  <c r="O31" i="5"/>
  <c r="N31" i="5"/>
  <c r="T30" i="5"/>
  <c r="S30" i="5"/>
  <c r="R30" i="5"/>
  <c r="Q30" i="5"/>
  <c r="P30" i="5"/>
  <c r="O30" i="5"/>
  <c r="N30" i="5"/>
  <c r="T29" i="5"/>
  <c r="S29" i="5"/>
  <c r="R29" i="5"/>
  <c r="Q29" i="5"/>
  <c r="P29" i="5"/>
  <c r="O29" i="5"/>
  <c r="N29" i="5"/>
  <c r="T28" i="5"/>
  <c r="S28" i="5"/>
  <c r="R28" i="5"/>
  <c r="Q28" i="5"/>
  <c r="P28" i="5"/>
  <c r="O28" i="5"/>
  <c r="N28" i="5"/>
  <c r="T27" i="5"/>
  <c r="S27" i="5"/>
  <c r="R27" i="5"/>
  <c r="Q27" i="5"/>
  <c r="P27" i="5"/>
  <c r="O27" i="5"/>
  <c r="N27" i="5"/>
  <c r="T26" i="5"/>
  <c r="S26" i="5"/>
  <c r="R26" i="5"/>
  <c r="Q26" i="5"/>
  <c r="P26" i="5"/>
  <c r="O26" i="5"/>
  <c r="N26" i="5"/>
  <c r="T25" i="5"/>
  <c r="S25" i="5"/>
  <c r="R25" i="5"/>
  <c r="Q25" i="5"/>
  <c r="P25" i="5"/>
  <c r="O25" i="5"/>
  <c r="N25" i="5"/>
  <c r="T24" i="5"/>
  <c r="S24" i="5"/>
  <c r="R24" i="5"/>
  <c r="Q24" i="5"/>
  <c r="P24" i="5"/>
  <c r="O24" i="5"/>
  <c r="N24" i="5"/>
  <c r="T23" i="5"/>
  <c r="S23" i="5"/>
  <c r="R23" i="5"/>
  <c r="Q23" i="5"/>
  <c r="P23" i="5"/>
  <c r="O23" i="5"/>
  <c r="N23" i="5"/>
  <c r="T22" i="5"/>
  <c r="S22" i="5"/>
  <c r="R22" i="5"/>
  <c r="Q22" i="5"/>
  <c r="P22" i="5"/>
  <c r="O22" i="5"/>
  <c r="N22" i="5"/>
  <c r="T21" i="5"/>
  <c r="S21" i="5"/>
  <c r="R21" i="5"/>
  <c r="Q21" i="5"/>
  <c r="P21" i="5"/>
  <c r="O21" i="5"/>
  <c r="N21" i="5"/>
  <c r="T20" i="5"/>
  <c r="S20" i="5"/>
  <c r="R20" i="5"/>
  <c r="Q20" i="5"/>
  <c r="P20" i="5"/>
  <c r="O20" i="5"/>
  <c r="N20" i="5"/>
  <c r="T19" i="5"/>
  <c r="S19" i="5"/>
  <c r="R19" i="5"/>
  <c r="Q19" i="5"/>
  <c r="P19" i="5"/>
  <c r="O19" i="5"/>
  <c r="N19" i="5"/>
  <c r="T18" i="5"/>
  <c r="S18" i="5"/>
  <c r="R18" i="5"/>
  <c r="Q18" i="5"/>
  <c r="P18" i="5"/>
  <c r="O18" i="5"/>
  <c r="N18" i="5"/>
  <c r="T17" i="5"/>
  <c r="S17" i="5"/>
  <c r="R17" i="5"/>
  <c r="Q17" i="5"/>
  <c r="P17" i="5"/>
  <c r="O17" i="5"/>
  <c r="N17" i="5"/>
  <c r="T16" i="5"/>
  <c r="S16" i="5"/>
  <c r="R16" i="5"/>
  <c r="Q16" i="5"/>
  <c r="P16" i="5"/>
  <c r="O16" i="5"/>
  <c r="N16" i="5"/>
  <c r="T15" i="5"/>
  <c r="S15" i="5"/>
  <c r="R15" i="5"/>
  <c r="Q15" i="5"/>
  <c r="P15" i="5"/>
  <c r="O15" i="5"/>
  <c r="N15" i="5"/>
  <c r="T14" i="5"/>
  <c r="S14" i="5"/>
  <c r="R14" i="5"/>
  <c r="Q14" i="5"/>
  <c r="P14" i="5"/>
  <c r="O14" i="5"/>
  <c r="N14" i="5"/>
  <c r="T13" i="5"/>
  <c r="S13" i="5"/>
  <c r="R13" i="5"/>
  <c r="Q13" i="5"/>
  <c r="P13" i="5"/>
  <c r="O13" i="5"/>
  <c r="N13" i="5"/>
  <c r="T12" i="5"/>
  <c r="S12" i="5"/>
  <c r="R12" i="5"/>
  <c r="Q12" i="5"/>
  <c r="P12" i="5"/>
  <c r="O12" i="5"/>
  <c r="N12" i="5"/>
  <c r="T11" i="5"/>
  <c r="S11" i="5"/>
  <c r="R11" i="5"/>
  <c r="Q11" i="5"/>
  <c r="P11" i="5"/>
  <c r="O11" i="5"/>
  <c r="N11" i="5"/>
  <c r="T10" i="5"/>
  <c r="S10" i="5"/>
  <c r="R10" i="5"/>
  <c r="Q10" i="5"/>
  <c r="P10" i="5"/>
  <c r="O10" i="5"/>
  <c r="N10" i="5"/>
  <c r="T9" i="5"/>
  <c r="S9" i="5"/>
  <c r="R9" i="5"/>
  <c r="Q9" i="5"/>
  <c r="P9" i="5"/>
  <c r="O9" i="5"/>
  <c r="N9" i="5"/>
  <c r="T8" i="5"/>
  <c r="S8" i="5"/>
  <c r="R8" i="5"/>
  <c r="Q8" i="5"/>
  <c r="P8" i="5"/>
  <c r="O8" i="5"/>
  <c r="N8" i="5"/>
  <c r="T7" i="5"/>
  <c r="S7" i="5"/>
  <c r="R7" i="5"/>
  <c r="Q7" i="5"/>
  <c r="P7" i="5"/>
  <c r="O7" i="5"/>
  <c r="N7" i="5"/>
  <c r="T6" i="5"/>
  <c r="S6" i="5"/>
  <c r="R6" i="5"/>
  <c r="Q6" i="5"/>
  <c r="P6" i="5"/>
  <c r="O6" i="5"/>
  <c r="N6" i="5"/>
  <c r="T5" i="5"/>
  <c r="S5" i="5"/>
  <c r="R5" i="5"/>
  <c r="Q5" i="5"/>
  <c r="P5" i="5"/>
  <c r="O5" i="5"/>
  <c r="N5" i="5"/>
  <c r="T4" i="5"/>
  <c r="S4" i="5"/>
  <c r="R4" i="5"/>
  <c r="Q4" i="5"/>
  <c r="P4" i="5"/>
  <c r="O4" i="5"/>
  <c r="N4" i="5"/>
  <c r="T3" i="5"/>
  <c r="S3" i="5"/>
  <c r="R3" i="5"/>
  <c r="Q3" i="5"/>
  <c r="P3" i="5"/>
  <c r="O3" i="5"/>
  <c r="N3" i="5"/>
  <c r="T2" i="5"/>
  <c r="S2" i="5"/>
  <c r="R2" i="5"/>
  <c r="Q2" i="5"/>
  <c r="P2" i="5"/>
  <c r="O2" i="5"/>
  <c r="N2" i="5"/>
  <c r="AA35" i="4"/>
  <c r="AA34" i="4"/>
  <c r="AA32" i="4"/>
  <c r="Z31" i="4"/>
  <c r="Z26" i="4"/>
  <c r="Y17" i="4"/>
  <c r="Y14" i="4"/>
  <c r="Y13" i="4"/>
  <c r="X7" i="4"/>
  <c r="X5" i="4"/>
  <c r="AA33" i="4"/>
  <c r="AA36" i="4"/>
  <c r="AA37" i="4"/>
  <c r="Z24" i="4"/>
  <c r="Z25" i="4"/>
  <c r="Z28" i="4"/>
  <c r="Z29" i="4"/>
  <c r="Z22" i="4"/>
  <c r="Y18" i="4"/>
  <c r="Y19" i="4"/>
  <c r="Y20" i="4"/>
  <c r="Y21" i="4"/>
  <c r="Y12" i="4"/>
  <c r="X8" i="4"/>
  <c r="X9" i="4"/>
  <c r="X10" i="4"/>
  <c r="X11" i="4"/>
  <c r="T37" i="4"/>
  <c r="S37" i="4"/>
  <c r="R37" i="4"/>
  <c r="Q37" i="4"/>
  <c r="P37" i="4"/>
  <c r="O37" i="4"/>
  <c r="N37" i="4"/>
  <c r="T36" i="4"/>
  <c r="S36" i="4"/>
  <c r="R36" i="4"/>
  <c r="Q36" i="4"/>
  <c r="P36" i="4"/>
  <c r="O36" i="4"/>
  <c r="N36" i="4"/>
  <c r="T35" i="4"/>
  <c r="S35" i="4"/>
  <c r="R35" i="4"/>
  <c r="Q35" i="4"/>
  <c r="P35" i="4"/>
  <c r="O35" i="4"/>
  <c r="N35" i="4"/>
  <c r="T34" i="4"/>
  <c r="S34" i="4"/>
  <c r="R34" i="4"/>
  <c r="Q34" i="4"/>
  <c r="P34" i="4"/>
  <c r="O34" i="4"/>
  <c r="N34" i="4"/>
  <c r="T33" i="4"/>
  <c r="S33" i="4"/>
  <c r="R33" i="4"/>
  <c r="Q33" i="4"/>
  <c r="P33" i="4"/>
  <c r="O33" i="4"/>
  <c r="N33" i="4"/>
  <c r="T32" i="4"/>
  <c r="S32" i="4"/>
  <c r="R32" i="4"/>
  <c r="Q32" i="4"/>
  <c r="P32" i="4"/>
  <c r="O32" i="4"/>
  <c r="N32" i="4"/>
  <c r="T31" i="4"/>
  <c r="S31" i="4"/>
  <c r="R31" i="4"/>
  <c r="Q31" i="4"/>
  <c r="P31" i="4"/>
  <c r="O31" i="4"/>
  <c r="N31" i="4"/>
  <c r="T30" i="4"/>
  <c r="S30" i="4"/>
  <c r="R30" i="4"/>
  <c r="Q30" i="4"/>
  <c r="P30" i="4"/>
  <c r="O30" i="4"/>
  <c r="N30" i="4"/>
  <c r="T29" i="4"/>
  <c r="S29" i="4"/>
  <c r="R29" i="4"/>
  <c r="Q29" i="4"/>
  <c r="P29" i="4"/>
  <c r="O29" i="4"/>
  <c r="N29" i="4"/>
  <c r="T28" i="4"/>
  <c r="S28" i="4"/>
  <c r="R28" i="4"/>
  <c r="Q28" i="4"/>
  <c r="P28" i="4"/>
  <c r="O28" i="4"/>
  <c r="N28" i="4"/>
  <c r="T27" i="4"/>
  <c r="S27" i="4"/>
  <c r="R27" i="4"/>
  <c r="Q27" i="4"/>
  <c r="P27" i="4"/>
  <c r="O27" i="4"/>
  <c r="N27" i="4"/>
  <c r="T26" i="4"/>
  <c r="S26" i="4"/>
  <c r="R26" i="4"/>
  <c r="Q26" i="4"/>
  <c r="P26" i="4"/>
  <c r="O26" i="4"/>
  <c r="N26" i="4"/>
  <c r="T25" i="4"/>
  <c r="S25" i="4"/>
  <c r="R25" i="4"/>
  <c r="Q25" i="4"/>
  <c r="P25" i="4"/>
  <c r="O25" i="4"/>
  <c r="N25" i="4"/>
  <c r="T24" i="4"/>
  <c r="S24" i="4"/>
  <c r="R24" i="4"/>
  <c r="Q24" i="4"/>
  <c r="P24" i="4"/>
  <c r="O24" i="4"/>
  <c r="N24" i="4"/>
  <c r="T23" i="4"/>
  <c r="S23" i="4"/>
  <c r="R23" i="4"/>
  <c r="Q23" i="4"/>
  <c r="P23" i="4"/>
  <c r="O23" i="4"/>
  <c r="N23" i="4"/>
  <c r="T22" i="4"/>
  <c r="S22" i="4"/>
  <c r="R22" i="4"/>
  <c r="Q22" i="4"/>
  <c r="P22" i="4"/>
  <c r="O22" i="4"/>
  <c r="N22" i="4"/>
  <c r="T21" i="4"/>
  <c r="S21" i="4"/>
  <c r="R21" i="4"/>
  <c r="Q21" i="4"/>
  <c r="P21" i="4"/>
  <c r="O21" i="4"/>
  <c r="N21" i="4"/>
  <c r="T20" i="4"/>
  <c r="S20" i="4"/>
  <c r="R20" i="4"/>
  <c r="Q20" i="4"/>
  <c r="P20" i="4"/>
  <c r="O20" i="4"/>
  <c r="N20" i="4"/>
  <c r="T19" i="4"/>
  <c r="S19" i="4"/>
  <c r="R19" i="4"/>
  <c r="Q19" i="4"/>
  <c r="P19" i="4"/>
  <c r="O19" i="4"/>
  <c r="N19" i="4"/>
  <c r="T18" i="4"/>
  <c r="S18" i="4"/>
  <c r="R18" i="4"/>
  <c r="Q18" i="4"/>
  <c r="P18" i="4"/>
  <c r="O18" i="4"/>
  <c r="N18" i="4"/>
  <c r="T17" i="4"/>
  <c r="S17" i="4"/>
  <c r="R17" i="4"/>
  <c r="Q17" i="4"/>
  <c r="P17" i="4"/>
  <c r="O17" i="4"/>
  <c r="N17" i="4"/>
  <c r="T16" i="4"/>
  <c r="S16" i="4"/>
  <c r="R16" i="4"/>
  <c r="Q16" i="4"/>
  <c r="P16" i="4"/>
  <c r="N16" i="4"/>
  <c r="T15" i="4"/>
  <c r="S15" i="4"/>
  <c r="R15" i="4"/>
  <c r="Q15" i="4"/>
  <c r="P15" i="4"/>
  <c r="O15" i="4"/>
  <c r="N15" i="4"/>
  <c r="T14" i="4"/>
  <c r="S14" i="4"/>
  <c r="R14" i="4"/>
  <c r="Q14" i="4"/>
  <c r="P14" i="4"/>
  <c r="O14" i="4"/>
  <c r="N14" i="4"/>
  <c r="T13" i="4"/>
  <c r="S13" i="4"/>
  <c r="R13" i="4"/>
  <c r="Q13" i="4"/>
  <c r="P13" i="4"/>
  <c r="O13" i="4"/>
  <c r="N13" i="4"/>
  <c r="T12" i="4"/>
  <c r="S12" i="4"/>
  <c r="R12" i="4"/>
  <c r="Q12" i="4"/>
  <c r="P12" i="4"/>
  <c r="O12" i="4"/>
  <c r="N12" i="4"/>
  <c r="T11" i="4"/>
  <c r="S11" i="4"/>
  <c r="R11" i="4"/>
  <c r="Q11" i="4"/>
  <c r="P11" i="4"/>
  <c r="O11" i="4"/>
  <c r="N11" i="4"/>
  <c r="T10" i="4"/>
  <c r="S10" i="4"/>
  <c r="R10" i="4"/>
  <c r="Q10" i="4"/>
  <c r="P10" i="4"/>
  <c r="O10" i="4"/>
  <c r="N10" i="4"/>
  <c r="T9" i="4"/>
  <c r="S9" i="4"/>
  <c r="R9" i="4"/>
  <c r="Q9" i="4"/>
  <c r="P9" i="4"/>
  <c r="O9" i="4"/>
  <c r="N9" i="4"/>
  <c r="T8" i="4"/>
  <c r="S8" i="4"/>
  <c r="R8" i="4"/>
  <c r="Q8" i="4"/>
  <c r="P8" i="4"/>
  <c r="O8" i="4"/>
  <c r="N8" i="4"/>
  <c r="T7" i="4"/>
  <c r="S7" i="4"/>
  <c r="R7" i="4"/>
  <c r="Q7" i="4"/>
  <c r="P7" i="4"/>
  <c r="O7" i="4"/>
  <c r="N7" i="4"/>
  <c r="T6" i="4"/>
  <c r="S6" i="4"/>
  <c r="R6" i="4"/>
  <c r="Q6" i="4"/>
  <c r="P6" i="4"/>
  <c r="O6" i="4"/>
  <c r="N6" i="4"/>
  <c r="T5" i="4"/>
  <c r="S5" i="4"/>
  <c r="R5" i="4"/>
  <c r="Q5" i="4"/>
  <c r="P5" i="4"/>
  <c r="O5" i="4"/>
  <c r="N5" i="4"/>
  <c r="T4" i="4"/>
  <c r="S4" i="4"/>
  <c r="R4" i="4"/>
  <c r="Q4" i="4"/>
  <c r="P4" i="4"/>
  <c r="O4" i="4"/>
  <c r="N4" i="4"/>
  <c r="T3" i="4"/>
  <c r="S3" i="4"/>
  <c r="R3" i="4"/>
  <c r="Q3" i="4"/>
  <c r="P3" i="4"/>
  <c r="O3" i="4"/>
  <c r="N3" i="4"/>
  <c r="T2" i="4"/>
  <c r="S2" i="4"/>
  <c r="R2" i="4"/>
  <c r="Q2" i="4"/>
  <c r="P2" i="4"/>
  <c r="O2" i="4"/>
  <c r="N2" i="4"/>
  <c r="AA32" i="3"/>
  <c r="AA33" i="3"/>
  <c r="AA34" i="3"/>
  <c r="AA35" i="3"/>
  <c r="AA36" i="3"/>
  <c r="AA37" i="3"/>
  <c r="AA38" i="3"/>
  <c r="AA39" i="3"/>
  <c r="AA40" i="3"/>
  <c r="AA31" i="3"/>
  <c r="Z22" i="3"/>
  <c r="Z23" i="3"/>
  <c r="Z24" i="3"/>
  <c r="Z25" i="3"/>
  <c r="Z26" i="3"/>
  <c r="Z27" i="3"/>
  <c r="Z28" i="3"/>
  <c r="Z29" i="3"/>
  <c r="Z30" i="3"/>
  <c r="Z21" i="3"/>
  <c r="AB42" i="3"/>
  <c r="AB43" i="3"/>
  <c r="AB44" i="3"/>
  <c r="AB45" i="3"/>
  <c r="AB46" i="3"/>
  <c r="AB47" i="3"/>
  <c r="AB48" i="3"/>
  <c r="AB49" i="3"/>
  <c r="AB50" i="3"/>
  <c r="AB41" i="3"/>
  <c r="Y13" i="3"/>
  <c r="Y14" i="3"/>
  <c r="Y15" i="3"/>
  <c r="Y16" i="3"/>
  <c r="Y17" i="3"/>
  <c r="Y18" i="3"/>
  <c r="Y19" i="3"/>
  <c r="Y20" i="3"/>
  <c r="Y12" i="3"/>
  <c r="X3" i="3"/>
  <c r="X4" i="3"/>
  <c r="X5" i="3"/>
  <c r="X6" i="3"/>
  <c r="X7" i="3"/>
  <c r="X8" i="3"/>
  <c r="X9" i="3"/>
  <c r="X10" i="3"/>
  <c r="X11" i="3"/>
  <c r="X2" i="3"/>
  <c r="T50" i="3"/>
  <c r="S50" i="3"/>
  <c r="R50" i="3"/>
  <c r="Q50" i="3"/>
  <c r="P50" i="3"/>
  <c r="O50" i="3"/>
  <c r="N50" i="3"/>
  <c r="T49" i="3"/>
  <c r="S49" i="3"/>
  <c r="R49" i="3"/>
  <c r="Q49" i="3"/>
  <c r="P49" i="3"/>
  <c r="O49" i="3"/>
  <c r="N49" i="3"/>
  <c r="T48" i="3"/>
  <c r="S48" i="3"/>
  <c r="R48" i="3"/>
  <c r="Q48" i="3"/>
  <c r="P48" i="3"/>
  <c r="O48" i="3"/>
  <c r="N48" i="3"/>
  <c r="T47" i="3"/>
  <c r="S47" i="3"/>
  <c r="R47" i="3"/>
  <c r="Q47" i="3"/>
  <c r="P47" i="3"/>
  <c r="O47" i="3"/>
  <c r="N47" i="3"/>
  <c r="T46" i="3"/>
  <c r="S46" i="3"/>
  <c r="R46" i="3"/>
  <c r="Q46" i="3"/>
  <c r="P46" i="3"/>
  <c r="O46" i="3"/>
  <c r="N46" i="3"/>
  <c r="T45" i="3"/>
  <c r="S45" i="3"/>
  <c r="R45" i="3"/>
  <c r="Q45" i="3"/>
  <c r="P45" i="3"/>
  <c r="O45" i="3"/>
  <c r="N45" i="3"/>
  <c r="T44" i="3"/>
  <c r="S44" i="3"/>
  <c r="R44" i="3"/>
  <c r="Q44" i="3"/>
  <c r="P44" i="3"/>
  <c r="O44" i="3"/>
  <c r="N44" i="3"/>
  <c r="T43" i="3"/>
  <c r="S43" i="3"/>
  <c r="R43" i="3"/>
  <c r="Q43" i="3"/>
  <c r="P43" i="3"/>
  <c r="O43" i="3"/>
  <c r="N43" i="3"/>
  <c r="T42" i="3"/>
  <c r="S42" i="3"/>
  <c r="R42" i="3"/>
  <c r="Q42" i="3"/>
  <c r="P42" i="3"/>
  <c r="O42" i="3"/>
  <c r="N42" i="3"/>
  <c r="T41" i="3"/>
  <c r="S41" i="3"/>
  <c r="R41" i="3"/>
  <c r="Q41" i="3"/>
  <c r="P41" i="3"/>
  <c r="O41" i="3"/>
  <c r="N41" i="3"/>
  <c r="T40" i="3"/>
  <c r="S40" i="3"/>
  <c r="R40" i="3"/>
  <c r="Q40" i="3"/>
  <c r="P40" i="3"/>
  <c r="O40" i="3"/>
  <c r="N40" i="3"/>
  <c r="T39" i="3"/>
  <c r="S39" i="3"/>
  <c r="R39" i="3"/>
  <c r="Q39" i="3"/>
  <c r="P39" i="3"/>
  <c r="O39" i="3"/>
  <c r="N39" i="3"/>
  <c r="T38" i="3"/>
  <c r="S38" i="3"/>
  <c r="R38" i="3"/>
  <c r="Q38" i="3"/>
  <c r="P38" i="3"/>
  <c r="O38" i="3"/>
  <c r="N38" i="3"/>
  <c r="T37" i="3"/>
  <c r="S37" i="3"/>
  <c r="R37" i="3"/>
  <c r="Q37" i="3"/>
  <c r="P37" i="3"/>
  <c r="O37" i="3"/>
  <c r="N37" i="3"/>
  <c r="T36" i="3"/>
  <c r="S36" i="3"/>
  <c r="R36" i="3"/>
  <c r="Q36" i="3"/>
  <c r="P36" i="3"/>
  <c r="O36" i="3"/>
  <c r="N36" i="3"/>
  <c r="T35" i="3"/>
  <c r="S35" i="3"/>
  <c r="R35" i="3"/>
  <c r="Q35" i="3"/>
  <c r="P35" i="3"/>
  <c r="O35" i="3"/>
  <c r="N35" i="3"/>
  <c r="T34" i="3"/>
  <c r="S34" i="3"/>
  <c r="R34" i="3"/>
  <c r="Q34" i="3"/>
  <c r="P34" i="3"/>
  <c r="O34" i="3"/>
  <c r="N34" i="3"/>
  <c r="T33" i="3"/>
  <c r="S33" i="3"/>
  <c r="R33" i="3"/>
  <c r="Q33" i="3"/>
  <c r="P33" i="3"/>
  <c r="O33" i="3"/>
  <c r="N33" i="3"/>
  <c r="T32" i="3"/>
  <c r="S32" i="3"/>
  <c r="R32" i="3"/>
  <c r="Q32" i="3"/>
  <c r="P32" i="3"/>
  <c r="O32" i="3"/>
  <c r="N32" i="3"/>
  <c r="T31" i="3"/>
  <c r="S31" i="3"/>
  <c r="R31" i="3"/>
  <c r="Q31" i="3"/>
  <c r="P31" i="3"/>
  <c r="O31" i="3"/>
  <c r="N31" i="3"/>
  <c r="T30" i="3"/>
  <c r="S30" i="3"/>
  <c r="R30" i="3"/>
  <c r="Q30" i="3"/>
  <c r="P30" i="3"/>
  <c r="O30" i="3"/>
  <c r="N30" i="3"/>
  <c r="T29" i="3"/>
  <c r="S29" i="3"/>
  <c r="R29" i="3"/>
  <c r="Q29" i="3"/>
  <c r="P29" i="3"/>
  <c r="O29" i="3"/>
  <c r="N29" i="3"/>
  <c r="T28" i="3"/>
  <c r="S28" i="3"/>
  <c r="R28" i="3"/>
  <c r="Q28" i="3"/>
  <c r="P28" i="3"/>
  <c r="O28" i="3"/>
  <c r="N28" i="3"/>
  <c r="T27" i="3"/>
  <c r="S27" i="3"/>
  <c r="R27" i="3"/>
  <c r="Q27" i="3"/>
  <c r="P27" i="3"/>
  <c r="O27" i="3"/>
  <c r="N27" i="3"/>
  <c r="T26" i="3"/>
  <c r="S26" i="3"/>
  <c r="R26" i="3"/>
  <c r="Q26" i="3"/>
  <c r="P26" i="3"/>
  <c r="O26" i="3"/>
  <c r="N26" i="3"/>
  <c r="T25" i="3"/>
  <c r="S25" i="3"/>
  <c r="R25" i="3"/>
  <c r="Q25" i="3"/>
  <c r="P25" i="3"/>
  <c r="O25" i="3"/>
  <c r="N25" i="3"/>
  <c r="T24" i="3"/>
  <c r="S24" i="3"/>
  <c r="R24" i="3"/>
  <c r="Q24" i="3"/>
  <c r="P24" i="3"/>
  <c r="O24" i="3"/>
  <c r="N24" i="3"/>
  <c r="T23" i="3"/>
  <c r="S23" i="3"/>
  <c r="R23" i="3"/>
  <c r="Q23" i="3"/>
  <c r="P23" i="3"/>
  <c r="O23" i="3"/>
  <c r="N23" i="3"/>
  <c r="T22" i="3"/>
  <c r="S22" i="3"/>
  <c r="R22" i="3"/>
  <c r="Q22" i="3"/>
  <c r="P22" i="3"/>
  <c r="O22" i="3"/>
  <c r="N22" i="3"/>
  <c r="T21" i="3"/>
  <c r="S21" i="3"/>
  <c r="R21" i="3"/>
  <c r="Q21" i="3"/>
  <c r="P21" i="3"/>
  <c r="O21" i="3"/>
  <c r="N21" i="3"/>
  <c r="T20" i="3"/>
  <c r="S20" i="3"/>
  <c r="R20" i="3"/>
  <c r="Q20" i="3"/>
  <c r="P20" i="3"/>
  <c r="O20" i="3"/>
  <c r="N20" i="3"/>
  <c r="T19" i="3"/>
  <c r="S19" i="3"/>
  <c r="R19" i="3"/>
  <c r="Q19" i="3"/>
  <c r="P19" i="3"/>
  <c r="O19" i="3"/>
  <c r="N19" i="3"/>
  <c r="T18" i="3"/>
  <c r="S18" i="3"/>
  <c r="R18" i="3"/>
  <c r="Q18" i="3"/>
  <c r="P18" i="3"/>
  <c r="O18" i="3"/>
  <c r="N18" i="3"/>
  <c r="T17" i="3"/>
  <c r="S17" i="3"/>
  <c r="R17" i="3"/>
  <c r="Q17" i="3"/>
  <c r="P17" i="3"/>
  <c r="O17" i="3"/>
  <c r="N17" i="3"/>
  <c r="T16" i="3"/>
  <c r="S16" i="3"/>
  <c r="R16" i="3"/>
  <c r="Q16" i="3"/>
  <c r="P16" i="3"/>
  <c r="O16" i="3"/>
  <c r="N16" i="3"/>
  <c r="T15" i="3"/>
  <c r="S15" i="3"/>
  <c r="R15" i="3"/>
  <c r="Q15" i="3"/>
  <c r="P15" i="3"/>
  <c r="O15" i="3"/>
  <c r="N15" i="3"/>
  <c r="T14" i="3"/>
  <c r="S14" i="3"/>
  <c r="R14" i="3"/>
  <c r="Q14" i="3"/>
  <c r="P14" i="3"/>
  <c r="O14" i="3"/>
  <c r="N14" i="3"/>
  <c r="T13" i="3"/>
  <c r="S13" i="3"/>
  <c r="R13" i="3"/>
  <c r="Q13" i="3"/>
  <c r="P13" i="3"/>
  <c r="O13" i="3"/>
  <c r="N13" i="3"/>
  <c r="T12" i="3"/>
  <c r="S12" i="3"/>
  <c r="R12" i="3"/>
  <c r="Q12" i="3"/>
  <c r="P12" i="3"/>
  <c r="O12" i="3"/>
  <c r="N12" i="3"/>
  <c r="T11" i="3"/>
  <c r="S11" i="3"/>
  <c r="R11" i="3"/>
  <c r="Q11" i="3"/>
  <c r="P11" i="3"/>
  <c r="O11" i="3"/>
  <c r="N11" i="3"/>
  <c r="T10" i="3"/>
  <c r="S10" i="3"/>
  <c r="R10" i="3"/>
  <c r="Q10" i="3"/>
  <c r="P10" i="3"/>
  <c r="O10" i="3"/>
  <c r="N10" i="3"/>
  <c r="T9" i="3"/>
  <c r="S9" i="3"/>
  <c r="R9" i="3"/>
  <c r="Q9" i="3"/>
  <c r="P9" i="3"/>
  <c r="O9" i="3"/>
  <c r="N9" i="3"/>
  <c r="T8" i="3"/>
  <c r="S8" i="3"/>
  <c r="R8" i="3"/>
  <c r="Q8" i="3"/>
  <c r="P8" i="3"/>
  <c r="O8" i="3"/>
  <c r="N8" i="3"/>
  <c r="T7" i="3"/>
  <c r="S7" i="3"/>
  <c r="R7" i="3"/>
  <c r="Q7" i="3"/>
  <c r="P7" i="3"/>
  <c r="O7" i="3"/>
  <c r="N7" i="3"/>
  <c r="T6" i="3"/>
  <c r="S6" i="3"/>
  <c r="R6" i="3"/>
  <c r="Q6" i="3"/>
  <c r="P6" i="3"/>
  <c r="O6" i="3"/>
  <c r="N6" i="3"/>
  <c r="T5" i="3"/>
  <c r="S5" i="3"/>
  <c r="R5" i="3"/>
  <c r="Q5" i="3"/>
  <c r="P5" i="3"/>
  <c r="O5" i="3"/>
  <c r="N5" i="3"/>
  <c r="T4" i="3"/>
  <c r="S4" i="3"/>
  <c r="R4" i="3"/>
  <c r="Q4" i="3"/>
  <c r="P4" i="3"/>
  <c r="O4" i="3"/>
  <c r="N4" i="3"/>
  <c r="T3" i="3"/>
  <c r="S3" i="3"/>
  <c r="R3" i="3"/>
  <c r="Q3" i="3"/>
  <c r="P3" i="3"/>
  <c r="O3" i="3"/>
  <c r="N3" i="3"/>
  <c r="T2" i="3"/>
  <c r="S2" i="3"/>
  <c r="R2" i="3"/>
  <c r="Q2" i="3"/>
  <c r="P2" i="3"/>
  <c r="O2" i="3"/>
  <c r="N2" i="3"/>
  <c r="Y112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139" i="2"/>
  <c r="N140" i="2"/>
  <c r="O140" i="2"/>
  <c r="P140" i="2"/>
  <c r="Q140" i="2"/>
  <c r="R140" i="2"/>
  <c r="S140" i="2"/>
  <c r="T140" i="2"/>
  <c r="N141" i="2"/>
  <c r="O141" i="2"/>
  <c r="P141" i="2"/>
  <c r="Q141" i="2"/>
  <c r="R141" i="2"/>
  <c r="S141" i="2"/>
  <c r="T141" i="2"/>
  <c r="N142" i="2"/>
  <c r="O142" i="2"/>
  <c r="P142" i="2"/>
  <c r="Q142" i="2"/>
  <c r="R142" i="2"/>
  <c r="S142" i="2"/>
  <c r="T142" i="2"/>
  <c r="N143" i="2"/>
  <c r="O143" i="2"/>
  <c r="P143" i="2"/>
  <c r="Q143" i="2"/>
  <c r="R143" i="2"/>
  <c r="S143" i="2"/>
  <c r="T143" i="2"/>
  <c r="N144" i="2"/>
  <c r="O144" i="2"/>
  <c r="P144" i="2"/>
  <c r="Q144" i="2"/>
  <c r="R144" i="2"/>
  <c r="S144" i="2"/>
  <c r="T144" i="2"/>
  <c r="N145" i="2"/>
  <c r="O145" i="2"/>
  <c r="P145" i="2"/>
  <c r="Q145" i="2"/>
  <c r="R145" i="2"/>
  <c r="S145" i="2"/>
  <c r="T145" i="2"/>
  <c r="N146" i="2"/>
  <c r="O146" i="2"/>
  <c r="P146" i="2"/>
  <c r="Q146" i="2"/>
  <c r="R146" i="2"/>
  <c r="S146" i="2"/>
  <c r="T146" i="2"/>
  <c r="N147" i="2"/>
  <c r="O147" i="2"/>
  <c r="P147" i="2"/>
  <c r="Q147" i="2"/>
  <c r="R147" i="2"/>
  <c r="S147" i="2"/>
  <c r="T147" i="2"/>
  <c r="N148" i="2"/>
  <c r="O148" i="2"/>
  <c r="P148" i="2"/>
  <c r="Q148" i="2"/>
  <c r="R148" i="2"/>
  <c r="S148" i="2"/>
  <c r="T148" i="2"/>
  <c r="N149" i="2"/>
  <c r="O149" i="2"/>
  <c r="P149" i="2"/>
  <c r="Q149" i="2"/>
  <c r="R149" i="2"/>
  <c r="S149" i="2"/>
  <c r="T149" i="2"/>
  <c r="N150" i="2"/>
  <c r="O150" i="2"/>
  <c r="P150" i="2"/>
  <c r="Q150" i="2"/>
  <c r="R150" i="2"/>
  <c r="S150" i="2"/>
  <c r="T150" i="2"/>
  <c r="N151" i="2"/>
  <c r="O151" i="2"/>
  <c r="P151" i="2"/>
  <c r="Q151" i="2"/>
  <c r="R151" i="2"/>
  <c r="S151" i="2"/>
  <c r="T151" i="2"/>
  <c r="N152" i="2"/>
  <c r="O152" i="2"/>
  <c r="P152" i="2"/>
  <c r="Q152" i="2"/>
  <c r="R152" i="2"/>
  <c r="S152" i="2"/>
  <c r="T152" i="2"/>
  <c r="N153" i="2"/>
  <c r="O153" i="2"/>
  <c r="P153" i="2"/>
  <c r="Q153" i="2"/>
  <c r="R153" i="2"/>
  <c r="S153" i="2"/>
  <c r="T153" i="2"/>
  <c r="N154" i="2"/>
  <c r="O154" i="2"/>
  <c r="P154" i="2"/>
  <c r="Q154" i="2"/>
  <c r="R154" i="2"/>
  <c r="S154" i="2"/>
  <c r="T154" i="2"/>
  <c r="N155" i="2"/>
  <c r="O155" i="2"/>
  <c r="P155" i="2"/>
  <c r="Q155" i="2"/>
  <c r="R155" i="2"/>
  <c r="S155" i="2"/>
  <c r="T155" i="2"/>
  <c r="N156" i="2"/>
  <c r="O156" i="2"/>
  <c r="P156" i="2"/>
  <c r="Q156" i="2"/>
  <c r="R156" i="2"/>
  <c r="S156" i="2"/>
  <c r="T156" i="2"/>
  <c r="N157" i="2"/>
  <c r="O157" i="2"/>
  <c r="P157" i="2"/>
  <c r="Q157" i="2"/>
  <c r="R157" i="2"/>
  <c r="S157" i="2"/>
  <c r="T157" i="2"/>
  <c r="N158" i="2"/>
  <c r="O158" i="2"/>
  <c r="P158" i="2"/>
  <c r="Q158" i="2"/>
  <c r="R158" i="2"/>
  <c r="S158" i="2"/>
  <c r="T158" i="2"/>
  <c r="N159" i="2"/>
  <c r="O159" i="2"/>
  <c r="P159" i="2"/>
  <c r="Q159" i="2"/>
  <c r="R159" i="2"/>
  <c r="S159" i="2"/>
  <c r="T159" i="2"/>
  <c r="N160" i="2"/>
  <c r="O160" i="2"/>
  <c r="P160" i="2"/>
  <c r="Q160" i="2"/>
  <c r="R160" i="2"/>
  <c r="S160" i="2"/>
  <c r="T160" i="2"/>
  <c r="N161" i="2"/>
  <c r="O161" i="2"/>
  <c r="P161" i="2"/>
  <c r="Q161" i="2"/>
  <c r="R161" i="2"/>
  <c r="S161" i="2"/>
  <c r="T161" i="2"/>
  <c r="N162" i="2"/>
  <c r="O162" i="2"/>
  <c r="P162" i="2"/>
  <c r="Q162" i="2"/>
  <c r="R162" i="2"/>
  <c r="S162" i="2"/>
  <c r="T162" i="2"/>
  <c r="N163" i="2"/>
  <c r="O163" i="2"/>
  <c r="P163" i="2"/>
  <c r="Q163" i="2"/>
  <c r="R163" i="2"/>
  <c r="S163" i="2"/>
  <c r="T163" i="2"/>
  <c r="N164" i="2"/>
  <c r="O164" i="2"/>
  <c r="P164" i="2"/>
  <c r="Q164" i="2"/>
  <c r="R164" i="2"/>
  <c r="S164" i="2"/>
  <c r="T164" i="2"/>
  <c r="N165" i="2"/>
  <c r="O165" i="2"/>
  <c r="P165" i="2"/>
  <c r="Q165" i="2"/>
  <c r="R165" i="2"/>
  <c r="S165" i="2"/>
  <c r="T165" i="2"/>
  <c r="N166" i="2"/>
  <c r="O166" i="2"/>
  <c r="P166" i="2"/>
  <c r="Q166" i="2"/>
  <c r="R166" i="2"/>
  <c r="S166" i="2"/>
  <c r="T166" i="2"/>
  <c r="N167" i="2"/>
  <c r="O167" i="2"/>
  <c r="P167" i="2"/>
  <c r="Q167" i="2"/>
  <c r="R167" i="2"/>
  <c r="S167" i="2"/>
  <c r="T167" i="2"/>
  <c r="N168" i="2"/>
  <c r="O168" i="2"/>
  <c r="P168" i="2"/>
  <c r="Q168" i="2"/>
  <c r="R168" i="2"/>
  <c r="S168" i="2"/>
  <c r="T168" i="2"/>
  <c r="N169" i="2"/>
  <c r="O169" i="2"/>
  <c r="P169" i="2"/>
  <c r="Q169" i="2"/>
  <c r="R169" i="2"/>
  <c r="S169" i="2"/>
  <c r="T169" i="2"/>
  <c r="N170" i="2"/>
  <c r="O170" i="2"/>
  <c r="P170" i="2"/>
  <c r="Q170" i="2"/>
  <c r="R170" i="2"/>
  <c r="S170" i="2"/>
  <c r="T170" i="2"/>
  <c r="N171" i="2"/>
  <c r="O171" i="2"/>
  <c r="P171" i="2"/>
  <c r="Q171" i="2"/>
  <c r="R171" i="2"/>
  <c r="S171" i="2"/>
  <c r="T171" i="2"/>
  <c r="N172" i="2"/>
  <c r="O172" i="2"/>
  <c r="P172" i="2"/>
  <c r="Q172" i="2"/>
  <c r="R172" i="2"/>
  <c r="S172" i="2"/>
  <c r="T172" i="2"/>
  <c r="N173" i="2"/>
  <c r="O173" i="2"/>
  <c r="P173" i="2"/>
  <c r="Q173" i="2"/>
  <c r="R173" i="2"/>
  <c r="S173" i="2"/>
  <c r="T173" i="2"/>
  <c r="N174" i="2"/>
  <c r="O174" i="2"/>
  <c r="P174" i="2"/>
  <c r="Q174" i="2"/>
  <c r="R174" i="2"/>
  <c r="S174" i="2"/>
  <c r="T174" i="2"/>
  <c r="N175" i="2"/>
  <c r="O175" i="2"/>
  <c r="P175" i="2"/>
  <c r="Q175" i="2"/>
  <c r="R175" i="2"/>
  <c r="S175" i="2"/>
  <c r="T175" i="2"/>
  <c r="N176" i="2"/>
  <c r="O176" i="2"/>
  <c r="P176" i="2"/>
  <c r="Q176" i="2"/>
  <c r="R176" i="2"/>
  <c r="S176" i="2"/>
  <c r="T176" i="2"/>
  <c r="N177" i="2"/>
  <c r="O177" i="2"/>
  <c r="P177" i="2"/>
  <c r="Q177" i="2"/>
  <c r="R177" i="2"/>
  <c r="S177" i="2"/>
  <c r="T177" i="2"/>
  <c r="N178" i="2"/>
  <c r="O178" i="2"/>
  <c r="P178" i="2"/>
  <c r="Q178" i="2"/>
  <c r="R178" i="2"/>
  <c r="S178" i="2"/>
  <c r="T178" i="2"/>
  <c r="N179" i="2"/>
  <c r="O179" i="2"/>
  <c r="P179" i="2"/>
  <c r="Q179" i="2"/>
  <c r="R179" i="2"/>
  <c r="S179" i="2"/>
  <c r="T179" i="2"/>
  <c r="N180" i="2"/>
  <c r="O180" i="2"/>
  <c r="P180" i="2"/>
  <c r="Q180" i="2"/>
  <c r="R180" i="2"/>
  <c r="S180" i="2"/>
  <c r="T180" i="2"/>
  <c r="N181" i="2"/>
  <c r="O181" i="2"/>
  <c r="P181" i="2"/>
  <c r="Q181" i="2"/>
  <c r="R181" i="2"/>
  <c r="S181" i="2"/>
  <c r="T181" i="2"/>
  <c r="N182" i="2"/>
  <c r="O182" i="2"/>
  <c r="P182" i="2"/>
  <c r="Q182" i="2"/>
  <c r="R182" i="2"/>
  <c r="S182" i="2"/>
  <c r="T182" i="2"/>
  <c r="N183" i="2"/>
  <c r="O183" i="2"/>
  <c r="P183" i="2"/>
  <c r="Q183" i="2"/>
  <c r="R183" i="2"/>
  <c r="S183" i="2"/>
  <c r="T183" i="2"/>
  <c r="N184" i="2"/>
  <c r="O184" i="2"/>
  <c r="P184" i="2"/>
  <c r="Q184" i="2"/>
  <c r="R184" i="2"/>
  <c r="S184" i="2"/>
  <c r="T184" i="2"/>
  <c r="N185" i="2"/>
  <c r="O185" i="2"/>
  <c r="P185" i="2"/>
  <c r="Q185" i="2"/>
  <c r="R185" i="2"/>
  <c r="S185" i="2"/>
  <c r="T185" i="2"/>
  <c r="N186" i="2"/>
  <c r="O186" i="2"/>
  <c r="P186" i="2"/>
  <c r="Q186" i="2"/>
  <c r="R186" i="2"/>
  <c r="S186" i="2"/>
  <c r="T186" i="2"/>
  <c r="N187" i="2"/>
  <c r="O187" i="2"/>
  <c r="P187" i="2"/>
  <c r="Q187" i="2"/>
  <c r="R187" i="2"/>
  <c r="S187" i="2"/>
  <c r="T187" i="2"/>
  <c r="N188" i="2"/>
  <c r="O188" i="2"/>
  <c r="P188" i="2"/>
  <c r="Q188" i="2"/>
  <c r="R188" i="2"/>
  <c r="S188" i="2"/>
  <c r="T188" i="2"/>
  <c r="N189" i="2"/>
  <c r="O189" i="2"/>
  <c r="P189" i="2"/>
  <c r="Q189" i="2"/>
  <c r="R189" i="2"/>
  <c r="S189" i="2"/>
  <c r="T189" i="2"/>
  <c r="N190" i="2"/>
  <c r="O190" i="2"/>
  <c r="P190" i="2"/>
  <c r="Q190" i="2"/>
  <c r="R190" i="2"/>
  <c r="S190" i="2"/>
  <c r="T190" i="2"/>
  <c r="N191" i="2"/>
  <c r="O191" i="2"/>
  <c r="P191" i="2"/>
  <c r="Q191" i="2"/>
  <c r="R191" i="2"/>
  <c r="S191" i="2"/>
  <c r="T191" i="2"/>
  <c r="N192" i="2"/>
  <c r="O192" i="2"/>
  <c r="P192" i="2"/>
  <c r="Q192" i="2"/>
  <c r="R192" i="2"/>
  <c r="S192" i="2"/>
  <c r="T192" i="2"/>
  <c r="N193" i="2"/>
  <c r="O193" i="2"/>
  <c r="P193" i="2"/>
  <c r="Q193" i="2"/>
  <c r="R193" i="2"/>
  <c r="S193" i="2"/>
  <c r="T193" i="2"/>
  <c r="N194" i="2"/>
  <c r="O194" i="2"/>
  <c r="P194" i="2"/>
  <c r="Q194" i="2"/>
  <c r="R194" i="2"/>
  <c r="S194" i="2"/>
  <c r="T194" i="2"/>
  <c r="N195" i="2"/>
  <c r="O195" i="2"/>
  <c r="P195" i="2"/>
  <c r="Q195" i="2"/>
  <c r="R195" i="2"/>
  <c r="S195" i="2"/>
  <c r="T195" i="2"/>
  <c r="N196" i="2"/>
  <c r="O196" i="2"/>
  <c r="P196" i="2"/>
  <c r="Q196" i="2"/>
  <c r="R196" i="2"/>
  <c r="S196" i="2"/>
  <c r="T196" i="2"/>
  <c r="N197" i="2"/>
  <c r="O197" i="2"/>
  <c r="P197" i="2"/>
  <c r="Q197" i="2"/>
  <c r="R197" i="2"/>
  <c r="S197" i="2"/>
  <c r="T197" i="2"/>
  <c r="N198" i="2"/>
  <c r="O198" i="2"/>
  <c r="P198" i="2"/>
  <c r="Q198" i="2"/>
  <c r="R198" i="2"/>
  <c r="S198" i="2"/>
  <c r="T198" i="2"/>
  <c r="N199" i="2"/>
  <c r="O199" i="2"/>
  <c r="P199" i="2"/>
  <c r="Q199" i="2"/>
  <c r="R199" i="2"/>
  <c r="S199" i="2"/>
  <c r="T199" i="2"/>
  <c r="N200" i="2"/>
  <c r="O200" i="2"/>
  <c r="P200" i="2"/>
  <c r="Q200" i="2"/>
  <c r="R200" i="2"/>
  <c r="S200" i="2"/>
  <c r="T200" i="2"/>
  <c r="N201" i="2"/>
  <c r="O201" i="2"/>
  <c r="P201" i="2"/>
  <c r="Q201" i="2"/>
  <c r="R201" i="2"/>
  <c r="S201" i="2"/>
  <c r="T201" i="2"/>
  <c r="N202" i="2"/>
  <c r="O202" i="2"/>
  <c r="P202" i="2"/>
  <c r="Q202" i="2"/>
  <c r="R202" i="2"/>
  <c r="S202" i="2"/>
  <c r="T202" i="2"/>
  <c r="N203" i="2"/>
  <c r="O203" i="2"/>
  <c r="P203" i="2"/>
  <c r="Q203" i="2"/>
  <c r="R203" i="2"/>
  <c r="S203" i="2"/>
  <c r="T203" i="2"/>
  <c r="N204" i="2"/>
  <c r="O204" i="2"/>
  <c r="P204" i="2"/>
  <c r="Q204" i="2"/>
  <c r="R204" i="2"/>
  <c r="S204" i="2"/>
  <c r="T204" i="2"/>
  <c r="N205" i="2"/>
  <c r="O205" i="2"/>
  <c r="P205" i="2"/>
  <c r="Q205" i="2"/>
  <c r="R205" i="2"/>
  <c r="S205" i="2"/>
  <c r="T205" i="2"/>
  <c r="N206" i="2"/>
  <c r="O206" i="2"/>
  <c r="P206" i="2"/>
  <c r="Q206" i="2"/>
  <c r="R206" i="2"/>
  <c r="S206" i="2"/>
  <c r="T206" i="2"/>
  <c r="N207" i="2"/>
  <c r="O207" i="2"/>
  <c r="P207" i="2"/>
  <c r="Q207" i="2"/>
  <c r="R207" i="2"/>
  <c r="S207" i="2"/>
  <c r="T207" i="2"/>
  <c r="N208" i="2"/>
  <c r="O208" i="2"/>
  <c r="P208" i="2"/>
  <c r="Q208" i="2"/>
  <c r="R208" i="2"/>
  <c r="S208" i="2"/>
  <c r="T208" i="2"/>
  <c r="N209" i="2"/>
  <c r="O209" i="2"/>
  <c r="P209" i="2"/>
  <c r="Q209" i="2"/>
  <c r="R209" i="2"/>
  <c r="S209" i="2"/>
  <c r="T209" i="2"/>
  <c r="N210" i="2"/>
  <c r="O210" i="2"/>
  <c r="P210" i="2"/>
  <c r="Q210" i="2"/>
  <c r="R210" i="2"/>
  <c r="S210" i="2"/>
  <c r="T210" i="2"/>
  <c r="N211" i="2"/>
  <c r="O211" i="2"/>
  <c r="P211" i="2"/>
  <c r="Q211" i="2"/>
  <c r="R211" i="2"/>
  <c r="S211" i="2"/>
  <c r="T211" i="2"/>
  <c r="N212" i="2"/>
  <c r="O212" i="2"/>
  <c r="P212" i="2"/>
  <c r="Q212" i="2"/>
  <c r="R212" i="2"/>
  <c r="S212" i="2"/>
  <c r="T212" i="2"/>
  <c r="N213" i="2"/>
  <c r="O213" i="2"/>
  <c r="P213" i="2"/>
  <c r="Q213" i="2"/>
  <c r="R213" i="2"/>
  <c r="S213" i="2"/>
  <c r="T213" i="2"/>
  <c r="N214" i="2"/>
  <c r="O214" i="2"/>
  <c r="P214" i="2"/>
  <c r="Q214" i="2"/>
  <c r="R214" i="2"/>
  <c r="S214" i="2"/>
  <c r="T214" i="2"/>
  <c r="N215" i="2"/>
  <c r="O215" i="2"/>
  <c r="P215" i="2"/>
  <c r="Q215" i="2"/>
  <c r="R215" i="2"/>
  <c r="S215" i="2"/>
  <c r="T215" i="2"/>
  <c r="N216" i="2"/>
  <c r="O216" i="2"/>
  <c r="P216" i="2"/>
  <c r="Q216" i="2"/>
  <c r="R216" i="2"/>
  <c r="S216" i="2"/>
  <c r="T216" i="2"/>
  <c r="N217" i="2"/>
  <c r="O217" i="2"/>
  <c r="P217" i="2"/>
  <c r="Q217" i="2"/>
  <c r="R217" i="2"/>
  <c r="S217" i="2"/>
  <c r="T217" i="2"/>
  <c r="N218" i="2"/>
  <c r="O218" i="2"/>
  <c r="P218" i="2"/>
  <c r="Q218" i="2"/>
  <c r="R218" i="2"/>
  <c r="S218" i="2"/>
  <c r="T218" i="2"/>
  <c r="N219" i="2"/>
  <c r="O219" i="2"/>
  <c r="P219" i="2"/>
  <c r="Q219" i="2"/>
  <c r="R219" i="2"/>
  <c r="S219" i="2"/>
  <c r="T219" i="2"/>
  <c r="N220" i="2"/>
  <c r="O220" i="2"/>
  <c r="P220" i="2"/>
  <c r="Q220" i="2"/>
  <c r="R220" i="2"/>
  <c r="S220" i="2"/>
  <c r="T220" i="2"/>
  <c r="N221" i="2"/>
  <c r="O221" i="2"/>
  <c r="P221" i="2"/>
  <c r="Q221" i="2"/>
  <c r="R221" i="2"/>
  <c r="S221" i="2"/>
  <c r="T221" i="2"/>
  <c r="N222" i="2"/>
  <c r="O222" i="2"/>
  <c r="P222" i="2"/>
  <c r="Q222" i="2"/>
  <c r="R222" i="2"/>
  <c r="S222" i="2"/>
  <c r="T222" i="2"/>
  <c r="N223" i="2"/>
  <c r="O223" i="2"/>
  <c r="P223" i="2"/>
  <c r="Q223" i="2"/>
  <c r="R223" i="2"/>
  <c r="S223" i="2"/>
  <c r="T223" i="2"/>
  <c r="N224" i="2"/>
  <c r="O224" i="2"/>
  <c r="P224" i="2"/>
  <c r="Q224" i="2"/>
  <c r="R224" i="2"/>
  <c r="S224" i="2"/>
  <c r="T224" i="2"/>
  <c r="N225" i="2"/>
  <c r="O225" i="2"/>
  <c r="P225" i="2"/>
  <c r="Q225" i="2"/>
  <c r="R225" i="2"/>
  <c r="S225" i="2"/>
  <c r="T225" i="2"/>
  <c r="N226" i="2"/>
  <c r="O226" i="2"/>
  <c r="P226" i="2"/>
  <c r="Q226" i="2"/>
  <c r="R226" i="2"/>
  <c r="S226" i="2"/>
  <c r="T226" i="2"/>
  <c r="N227" i="2"/>
  <c r="O227" i="2"/>
  <c r="P227" i="2"/>
  <c r="Q227" i="2"/>
  <c r="R227" i="2"/>
  <c r="S227" i="2"/>
  <c r="T227" i="2"/>
  <c r="N228" i="2"/>
  <c r="O228" i="2"/>
  <c r="P228" i="2"/>
  <c r="Q228" i="2"/>
  <c r="R228" i="2"/>
  <c r="S228" i="2"/>
  <c r="T228" i="2"/>
  <c r="N229" i="2"/>
  <c r="O229" i="2"/>
  <c r="P229" i="2"/>
  <c r="Q229" i="2"/>
  <c r="R229" i="2"/>
  <c r="S229" i="2"/>
  <c r="T229" i="2"/>
  <c r="N230" i="2"/>
  <c r="O230" i="2"/>
  <c r="P230" i="2"/>
  <c r="Q230" i="2"/>
  <c r="R230" i="2"/>
  <c r="S230" i="2"/>
  <c r="T230" i="2"/>
  <c r="N231" i="2"/>
  <c r="O231" i="2"/>
  <c r="P231" i="2"/>
  <c r="Q231" i="2"/>
  <c r="R231" i="2"/>
  <c r="S231" i="2"/>
  <c r="T231" i="2"/>
  <c r="N232" i="2"/>
  <c r="O232" i="2"/>
  <c r="P232" i="2"/>
  <c r="Q232" i="2"/>
  <c r="R232" i="2"/>
  <c r="S232" i="2"/>
  <c r="T232" i="2"/>
  <c r="N233" i="2"/>
  <c r="O233" i="2"/>
  <c r="P233" i="2"/>
  <c r="Q233" i="2"/>
  <c r="R233" i="2"/>
  <c r="S233" i="2"/>
  <c r="T233" i="2"/>
  <c r="N234" i="2"/>
  <c r="O234" i="2"/>
  <c r="P234" i="2"/>
  <c r="Q234" i="2"/>
  <c r="R234" i="2"/>
  <c r="S234" i="2"/>
  <c r="T234" i="2"/>
  <c r="N235" i="2"/>
  <c r="O235" i="2"/>
  <c r="P235" i="2"/>
  <c r="Q235" i="2"/>
  <c r="R235" i="2"/>
  <c r="S235" i="2"/>
  <c r="T235" i="2"/>
  <c r="N236" i="2"/>
  <c r="O236" i="2"/>
  <c r="P236" i="2"/>
  <c r="Q236" i="2"/>
  <c r="R236" i="2"/>
  <c r="S236" i="2"/>
  <c r="T236" i="2"/>
  <c r="N237" i="2"/>
  <c r="O237" i="2"/>
  <c r="P237" i="2"/>
  <c r="Q237" i="2"/>
  <c r="R237" i="2"/>
  <c r="S237" i="2"/>
  <c r="T237" i="2"/>
  <c r="N238" i="2"/>
  <c r="O238" i="2"/>
  <c r="P238" i="2"/>
  <c r="Q238" i="2"/>
  <c r="R238" i="2"/>
  <c r="S238" i="2"/>
  <c r="T238" i="2"/>
  <c r="N239" i="2"/>
  <c r="O239" i="2"/>
  <c r="P239" i="2"/>
  <c r="Q239" i="2"/>
  <c r="R239" i="2"/>
  <c r="S239" i="2"/>
  <c r="T239" i="2"/>
  <c r="N240" i="2"/>
  <c r="O240" i="2"/>
  <c r="P240" i="2"/>
  <c r="Q240" i="2"/>
  <c r="R240" i="2"/>
  <c r="S240" i="2"/>
  <c r="T240" i="2"/>
  <c r="N241" i="2"/>
  <c r="O241" i="2"/>
  <c r="P241" i="2"/>
  <c r="Q241" i="2"/>
  <c r="R241" i="2"/>
  <c r="S241" i="2"/>
  <c r="T241" i="2"/>
  <c r="N242" i="2"/>
  <c r="O242" i="2"/>
  <c r="P242" i="2"/>
  <c r="Q242" i="2"/>
  <c r="R242" i="2"/>
  <c r="S242" i="2"/>
  <c r="T242" i="2"/>
  <c r="N243" i="2"/>
  <c r="O243" i="2"/>
  <c r="P243" i="2"/>
  <c r="Q243" i="2"/>
  <c r="R243" i="2"/>
  <c r="S243" i="2"/>
  <c r="T243" i="2"/>
  <c r="N244" i="2"/>
  <c r="O244" i="2"/>
  <c r="P244" i="2"/>
  <c r="Q244" i="2"/>
  <c r="R244" i="2"/>
  <c r="S244" i="2"/>
  <c r="T244" i="2"/>
  <c r="N245" i="2"/>
  <c r="O245" i="2"/>
  <c r="P245" i="2"/>
  <c r="Q245" i="2"/>
  <c r="R245" i="2"/>
  <c r="S245" i="2"/>
  <c r="T245" i="2"/>
  <c r="N246" i="2"/>
  <c r="O246" i="2"/>
  <c r="P246" i="2"/>
  <c r="Q246" i="2"/>
  <c r="R246" i="2"/>
  <c r="S246" i="2"/>
  <c r="T246" i="2"/>
  <c r="N247" i="2"/>
  <c r="O247" i="2"/>
  <c r="P247" i="2"/>
  <c r="Q247" i="2"/>
  <c r="R247" i="2"/>
  <c r="S247" i="2"/>
  <c r="T247" i="2"/>
  <c r="N248" i="2"/>
  <c r="O248" i="2"/>
  <c r="P248" i="2"/>
  <c r="Q248" i="2"/>
  <c r="R248" i="2"/>
  <c r="S248" i="2"/>
  <c r="T248" i="2"/>
  <c r="N249" i="2"/>
  <c r="O249" i="2"/>
  <c r="P249" i="2"/>
  <c r="Q249" i="2"/>
  <c r="R249" i="2"/>
  <c r="S249" i="2"/>
  <c r="T249" i="2"/>
  <c r="N250" i="2"/>
  <c r="O250" i="2"/>
  <c r="P250" i="2"/>
  <c r="Q250" i="2"/>
  <c r="R250" i="2"/>
  <c r="S250" i="2"/>
  <c r="T250" i="2"/>
  <c r="N251" i="2"/>
  <c r="O251" i="2"/>
  <c r="P251" i="2"/>
  <c r="Q251" i="2"/>
  <c r="R251" i="2"/>
  <c r="S251" i="2"/>
  <c r="T251" i="2"/>
  <c r="N252" i="2"/>
  <c r="O252" i="2"/>
  <c r="P252" i="2"/>
  <c r="Q252" i="2"/>
  <c r="R252" i="2"/>
  <c r="S252" i="2"/>
  <c r="T252" i="2"/>
  <c r="N253" i="2"/>
  <c r="O253" i="2"/>
  <c r="P253" i="2"/>
  <c r="Q253" i="2"/>
  <c r="R253" i="2"/>
  <c r="S253" i="2"/>
  <c r="T253" i="2"/>
  <c r="N254" i="2"/>
  <c r="O254" i="2"/>
  <c r="P254" i="2"/>
  <c r="Q254" i="2"/>
  <c r="R254" i="2"/>
  <c r="S254" i="2"/>
  <c r="T254" i="2"/>
  <c r="N255" i="2"/>
  <c r="O255" i="2"/>
  <c r="P255" i="2"/>
  <c r="Q255" i="2"/>
  <c r="R255" i="2"/>
  <c r="S255" i="2"/>
  <c r="T255" i="2"/>
  <c r="N256" i="2"/>
  <c r="O256" i="2"/>
  <c r="P256" i="2"/>
  <c r="Q256" i="2"/>
  <c r="R256" i="2"/>
  <c r="S256" i="2"/>
  <c r="T256" i="2"/>
  <c r="N257" i="2"/>
  <c r="O257" i="2"/>
  <c r="P257" i="2"/>
  <c r="Q257" i="2"/>
  <c r="R257" i="2"/>
  <c r="S257" i="2"/>
  <c r="T257" i="2"/>
  <c r="N258" i="2"/>
  <c r="O258" i="2"/>
  <c r="P258" i="2"/>
  <c r="Q258" i="2"/>
  <c r="R258" i="2"/>
  <c r="S258" i="2"/>
  <c r="T258" i="2"/>
  <c r="N259" i="2"/>
  <c r="O259" i="2"/>
  <c r="P259" i="2"/>
  <c r="Q259" i="2"/>
  <c r="R259" i="2"/>
  <c r="S259" i="2"/>
  <c r="T259" i="2"/>
  <c r="N260" i="2"/>
  <c r="O260" i="2"/>
  <c r="P260" i="2"/>
  <c r="Q260" i="2"/>
  <c r="R260" i="2"/>
  <c r="S260" i="2"/>
  <c r="T260" i="2"/>
  <c r="N261" i="2"/>
  <c r="O261" i="2"/>
  <c r="P261" i="2"/>
  <c r="Q261" i="2"/>
  <c r="R261" i="2"/>
  <c r="S261" i="2"/>
  <c r="T261" i="2"/>
  <c r="N262" i="2"/>
  <c r="O262" i="2"/>
  <c r="P262" i="2"/>
  <c r="Q262" i="2"/>
  <c r="R262" i="2"/>
  <c r="S262" i="2"/>
  <c r="T262" i="2"/>
  <c r="N263" i="2"/>
  <c r="O263" i="2"/>
  <c r="P263" i="2"/>
  <c r="Q263" i="2"/>
  <c r="R263" i="2"/>
  <c r="S263" i="2"/>
  <c r="T263" i="2"/>
  <c r="N264" i="2"/>
  <c r="O264" i="2"/>
  <c r="P264" i="2"/>
  <c r="Q264" i="2"/>
  <c r="R264" i="2"/>
  <c r="S264" i="2"/>
  <c r="T264" i="2"/>
  <c r="N265" i="2"/>
  <c r="O265" i="2"/>
  <c r="P265" i="2"/>
  <c r="Q265" i="2"/>
  <c r="R265" i="2"/>
  <c r="S265" i="2"/>
  <c r="T265" i="2"/>
  <c r="N266" i="2"/>
  <c r="O266" i="2"/>
  <c r="P266" i="2"/>
  <c r="Q266" i="2"/>
  <c r="R266" i="2"/>
  <c r="S266" i="2"/>
  <c r="T266" i="2"/>
  <c r="N267" i="2"/>
  <c r="O267" i="2"/>
  <c r="P267" i="2"/>
  <c r="Q267" i="2"/>
  <c r="R267" i="2"/>
  <c r="S267" i="2"/>
  <c r="T267" i="2"/>
  <c r="N268" i="2"/>
  <c r="O268" i="2"/>
  <c r="P268" i="2"/>
  <c r="Q268" i="2"/>
  <c r="R268" i="2"/>
  <c r="S268" i="2"/>
  <c r="T268" i="2"/>
  <c r="N269" i="2"/>
  <c r="O269" i="2"/>
  <c r="P269" i="2"/>
  <c r="Q269" i="2"/>
  <c r="R269" i="2"/>
  <c r="S269" i="2"/>
  <c r="T269" i="2"/>
  <c r="N270" i="2"/>
  <c r="O270" i="2"/>
  <c r="P270" i="2"/>
  <c r="Q270" i="2"/>
  <c r="R270" i="2"/>
  <c r="S270" i="2"/>
  <c r="T270" i="2"/>
  <c r="T139" i="2"/>
  <c r="S139" i="2"/>
  <c r="R139" i="2"/>
  <c r="Q139" i="2"/>
  <c r="P139" i="2"/>
  <c r="O139" i="2"/>
  <c r="N139" i="2"/>
  <c r="Y134" i="2"/>
  <c r="T134" i="2"/>
  <c r="S134" i="2"/>
  <c r="R134" i="2"/>
  <c r="Q134" i="2"/>
  <c r="P134" i="2"/>
  <c r="O134" i="2"/>
  <c r="N134" i="2"/>
  <c r="Y133" i="2"/>
  <c r="T133" i="2"/>
  <c r="S133" i="2"/>
  <c r="R133" i="2"/>
  <c r="Q133" i="2"/>
  <c r="P133" i="2"/>
  <c r="O133" i="2"/>
  <c r="N133" i="2"/>
  <c r="Y132" i="2"/>
  <c r="T132" i="2"/>
  <c r="S132" i="2"/>
  <c r="R132" i="2"/>
  <c r="Q132" i="2"/>
  <c r="P132" i="2"/>
  <c r="O132" i="2"/>
  <c r="N132" i="2"/>
  <c r="Y131" i="2"/>
  <c r="T131" i="2"/>
  <c r="S131" i="2"/>
  <c r="R131" i="2"/>
  <c r="Q131" i="2"/>
  <c r="P131" i="2"/>
  <c r="O131" i="2"/>
  <c r="N131" i="2"/>
  <c r="Y130" i="2"/>
  <c r="T130" i="2"/>
  <c r="S130" i="2"/>
  <c r="R130" i="2"/>
  <c r="Q130" i="2"/>
  <c r="P130" i="2"/>
  <c r="O130" i="2"/>
  <c r="N130" i="2"/>
  <c r="Y129" i="2"/>
  <c r="T129" i="2"/>
  <c r="S129" i="2"/>
  <c r="R129" i="2"/>
  <c r="Q129" i="2"/>
  <c r="P129" i="2"/>
  <c r="O129" i="2"/>
  <c r="N129" i="2"/>
  <c r="Y128" i="2"/>
  <c r="T128" i="2"/>
  <c r="S128" i="2"/>
  <c r="R128" i="2"/>
  <c r="Q128" i="2"/>
  <c r="P128" i="2"/>
  <c r="O128" i="2"/>
  <c r="N128" i="2"/>
  <c r="Y127" i="2"/>
  <c r="T127" i="2"/>
  <c r="S127" i="2"/>
  <c r="R127" i="2"/>
  <c r="Q127" i="2"/>
  <c r="P127" i="2"/>
  <c r="O127" i="2"/>
  <c r="N127" i="2"/>
  <c r="Y126" i="2"/>
  <c r="T126" i="2"/>
  <c r="S126" i="2"/>
  <c r="R126" i="2"/>
  <c r="Q126" i="2"/>
  <c r="P126" i="2"/>
  <c r="O126" i="2"/>
  <c r="N126" i="2"/>
  <c r="Y125" i="2"/>
  <c r="T125" i="2"/>
  <c r="S125" i="2"/>
  <c r="R125" i="2"/>
  <c r="Q125" i="2"/>
  <c r="P125" i="2"/>
  <c r="O125" i="2"/>
  <c r="N125" i="2"/>
  <c r="Y124" i="2"/>
  <c r="T124" i="2"/>
  <c r="S124" i="2"/>
  <c r="R124" i="2"/>
  <c r="Q124" i="2"/>
  <c r="P124" i="2"/>
  <c r="O124" i="2"/>
  <c r="N124" i="2"/>
  <c r="Y123" i="2"/>
  <c r="T123" i="2"/>
  <c r="S123" i="2"/>
  <c r="R123" i="2"/>
  <c r="Q123" i="2"/>
  <c r="P123" i="2"/>
  <c r="O123" i="2"/>
  <c r="N123" i="2"/>
  <c r="Y122" i="2"/>
  <c r="T122" i="2"/>
  <c r="S122" i="2"/>
  <c r="R122" i="2"/>
  <c r="Q122" i="2"/>
  <c r="P122" i="2"/>
  <c r="O122" i="2"/>
  <c r="N122" i="2"/>
  <c r="Y121" i="2"/>
  <c r="T121" i="2"/>
  <c r="S121" i="2"/>
  <c r="R121" i="2"/>
  <c r="Q121" i="2"/>
  <c r="P121" i="2"/>
  <c r="O121" i="2"/>
  <c r="N121" i="2"/>
  <c r="Y120" i="2"/>
  <c r="T120" i="2"/>
  <c r="S120" i="2"/>
  <c r="R120" i="2"/>
  <c r="Q120" i="2"/>
  <c r="P120" i="2"/>
  <c r="O120" i="2"/>
  <c r="N120" i="2"/>
  <c r="Y119" i="2"/>
  <c r="T119" i="2"/>
  <c r="S119" i="2"/>
  <c r="R119" i="2"/>
  <c r="Q119" i="2"/>
  <c r="P119" i="2"/>
  <c r="O119" i="2"/>
  <c r="N119" i="2"/>
  <c r="Y118" i="2"/>
  <c r="T118" i="2"/>
  <c r="S118" i="2"/>
  <c r="R118" i="2"/>
  <c r="Q118" i="2"/>
  <c r="P118" i="2"/>
  <c r="O118" i="2"/>
  <c r="N118" i="2"/>
  <c r="Y117" i="2"/>
  <c r="T117" i="2"/>
  <c r="S117" i="2"/>
  <c r="R117" i="2"/>
  <c r="Q117" i="2"/>
  <c r="P117" i="2"/>
  <c r="O117" i="2"/>
  <c r="N117" i="2"/>
  <c r="Y116" i="2"/>
  <c r="T116" i="2"/>
  <c r="S116" i="2"/>
  <c r="R116" i="2"/>
  <c r="Q116" i="2"/>
  <c r="P116" i="2"/>
  <c r="O116" i="2"/>
  <c r="N116" i="2"/>
  <c r="Y115" i="2"/>
  <c r="T115" i="2"/>
  <c r="S115" i="2"/>
  <c r="R115" i="2"/>
  <c r="Q115" i="2"/>
  <c r="P115" i="2"/>
  <c r="O115" i="2"/>
  <c r="N115" i="2"/>
  <c r="Y114" i="2"/>
  <c r="T114" i="2"/>
  <c r="S114" i="2"/>
  <c r="R114" i="2"/>
  <c r="Q114" i="2"/>
  <c r="P114" i="2"/>
  <c r="O114" i="2"/>
  <c r="N114" i="2"/>
  <c r="Y113" i="2"/>
  <c r="T113" i="2"/>
  <c r="S113" i="2"/>
  <c r="R113" i="2"/>
  <c r="Q113" i="2"/>
  <c r="P113" i="2"/>
  <c r="O113" i="2"/>
  <c r="N113" i="2"/>
  <c r="T112" i="2"/>
  <c r="S112" i="2"/>
  <c r="R112" i="2"/>
  <c r="Q112" i="2"/>
  <c r="P112" i="2"/>
  <c r="N112" i="2"/>
  <c r="Y111" i="2"/>
  <c r="T111" i="2"/>
  <c r="S111" i="2"/>
  <c r="R111" i="2"/>
  <c r="Q111" i="2"/>
  <c r="P111" i="2"/>
  <c r="O111" i="2"/>
  <c r="N111" i="2"/>
  <c r="Y110" i="2"/>
  <c r="T110" i="2"/>
  <c r="S110" i="2"/>
  <c r="R110" i="2"/>
  <c r="Q110" i="2"/>
  <c r="P110" i="2"/>
  <c r="O110" i="2"/>
  <c r="N110" i="2"/>
  <c r="Y109" i="2"/>
  <c r="T109" i="2"/>
  <c r="S109" i="2"/>
  <c r="R109" i="2"/>
  <c r="Q109" i="2"/>
  <c r="P109" i="2"/>
  <c r="O109" i="2"/>
  <c r="N109" i="2"/>
  <c r="Y108" i="2"/>
  <c r="T108" i="2"/>
  <c r="S108" i="2"/>
  <c r="R108" i="2"/>
  <c r="Q108" i="2"/>
  <c r="P108" i="2"/>
  <c r="O108" i="2"/>
  <c r="N108" i="2"/>
  <c r="Y107" i="2"/>
  <c r="T107" i="2"/>
  <c r="S107" i="2"/>
  <c r="R107" i="2"/>
  <c r="Q107" i="2"/>
  <c r="P107" i="2"/>
  <c r="O107" i="2"/>
  <c r="N107" i="2"/>
  <c r="Y106" i="2"/>
  <c r="T106" i="2"/>
  <c r="S106" i="2"/>
  <c r="R106" i="2"/>
  <c r="Q106" i="2"/>
  <c r="P106" i="2"/>
  <c r="O106" i="2"/>
  <c r="N106" i="2"/>
  <c r="Y105" i="2"/>
  <c r="T105" i="2"/>
  <c r="S105" i="2"/>
  <c r="R105" i="2"/>
  <c r="Q105" i="2"/>
  <c r="P105" i="2"/>
  <c r="O105" i="2"/>
  <c r="N105" i="2"/>
  <c r="Y104" i="2"/>
  <c r="T104" i="2"/>
  <c r="S104" i="2"/>
  <c r="R104" i="2"/>
  <c r="Q104" i="2"/>
  <c r="P104" i="2"/>
  <c r="O104" i="2"/>
  <c r="N104" i="2"/>
  <c r="Y103" i="2"/>
  <c r="T103" i="2"/>
  <c r="S103" i="2"/>
  <c r="R103" i="2"/>
  <c r="Q103" i="2"/>
  <c r="P103" i="2"/>
  <c r="O103" i="2"/>
  <c r="N103" i="2"/>
  <c r="Y102" i="2"/>
  <c r="T102" i="2"/>
  <c r="S102" i="2"/>
  <c r="R102" i="2"/>
  <c r="Q102" i="2"/>
  <c r="P102" i="2"/>
  <c r="O102" i="2"/>
  <c r="N102" i="2"/>
  <c r="Y101" i="2"/>
  <c r="T101" i="2"/>
  <c r="S101" i="2"/>
  <c r="R101" i="2"/>
  <c r="Q101" i="2"/>
  <c r="P101" i="2"/>
  <c r="O101" i="2"/>
  <c r="N101" i="2"/>
  <c r="Y100" i="2"/>
  <c r="T100" i="2"/>
  <c r="S100" i="2"/>
  <c r="R100" i="2"/>
  <c r="Q100" i="2"/>
  <c r="P100" i="2"/>
  <c r="O100" i="2"/>
  <c r="N100" i="2"/>
  <c r="Y99" i="2"/>
  <c r="T99" i="2"/>
  <c r="S99" i="2"/>
  <c r="R99" i="2"/>
  <c r="Q99" i="2"/>
  <c r="P99" i="2"/>
  <c r="O99" i="2"/>
  <c r="N99" i="2"/>
  <c r="Y98" i="2"/>
  <c r="T98" i="2"/>
  <c r="S98" i="2"/>
  <c r="R98" i="2"/>
  <c r="Q98" i="2"/>
  <c r="P98" i="2"/>
  <c r="O98" i="2"/>
  <c r="N98" i="2"/>
  <c r="X97" i="2"/>
  <c r="T97" i="2"/>
  <c r="S97" i="2"/>
  <c r="R97" i="2"/>
  <c r="Q97" i="2"/>
  <c r="P97" i="2"/>
  <c r="O97" i="2"/>
  <c r="N97" i="2"/>
  <c r="X96" i="2"/>
  <c r="T96" i="2"/>
  <c r="S96" i="2"/>
  <c r="R96" i="2"/>
  <c r="Q96" i="2"/>
  <c r="P96" i="2"/>
  <c r="O96" i="2"/>
  <c r="N96" i="2"/>
  <c r="X95" i="2"/>
  <c r="T95" i="2"/>
  <c r="S95" i="2"/>
  <c r="R95" i="2"/>
  <c r="Q95" i="2"/>
  <c r="P95" i="2"/>
  <c r="O95" i="2"/>
  <c r="N95" i="2"/>
  <c r="X94" i="2"/>
  <c r="T94" i="2"/>
  <c r="S94" i="2"/>
  <c r="R94" i="2"/>
  <c r="Q94" i="2"/>
  <c r="P94" i="2"/>
  <c r="O94" i="2"/>
  <c r="N94" i="2"/>
  <c r="X93" i="2"/>
  <c r="T93" i="2"/>
  <c r="S93" i="2"/>
  <c r="R93" i="2"/>
  <c r="Q93" i="2"/>
  <c r="P93" i="2"/>
  <c r="O93" i="2"/>
  <c r="N93" i="2"/>
  <c r="X92" i="2"/>
  <c r="T92" i="2"/>
  <c r="S92" i="2"/>
  <c r="R92" i="2"/>
  <c r="Q92" i="2"/>
  <c r="P92" i="2"/>
  <c r="O92" i="2"/>
  <c r="N92" i="2"/>
  <c r="X91" i="2"/>
  <c r="T91" i="2"/>
  <c r="S91" i="2"/>
  <c r="R91" i="2"/>
  <c r="Q91" i="2"/>
  <c r="P91" i="2"/>
  <c r="O91" i="2"/>
  <c r="N91" i="2"/>
  <c r="X90" i="2"/>
  <c r="T90" i="2"/>
  <c r="S90" i="2"/>
  <c r="R90" i="2"/>
  <c r="Q90" i="2"/>
  <c r="P90" i="2"/>
  <c r="O90" i="2"/>
  <c r="N90" i="2"/>
  <c r="X89" i="2"/>
  <c r="T89" i="2"/>
  <c r="S89" i="2"/>
  <c r="R89" i="2"/>
  <c r="Q89" i="2"/>
  <c r="P89" i="2"/>
  <c r="O89" i="2"/>
  <c r="N89" i="2"/>
  <c r="X88" i="2"/>
  <c r="T88" i="2"/>
  <c r="S88" i="2"/>
  <c r="R88" i="2"/>
  <c r="Q88" i="2"/>
  <c r="P88" i="2"/>
  <c r="O88" i="2"/>
  <c r="N88" i="2"/>
  <c r="X87" i="2"/>
  <c r="T87" i="2"/>
  <c r="S87" i="2"/>
  <c r="R87" i="2"/>
  <c r="Q87" i="2"/>
  <c r="P87" i="2"/>
  <c r="O87" i="2"/>
  <c r="N87" i="2"/>
  <c r="X86" i="2"/>
  <c r="T86" i="2"/>
  <c r="S86" i="2"/>
  <c r="R86" i="2"/>
  <c r="Q86" i="2"/>
  <c r="P86" i="2"/>
  <c r="O86" i="2"/>
  <c r="N86" i="2"/>
  <c r="X85" i="2"/>
  <c r="T85" i="2"/>
  <c r="S85" i="2"/>
  <c r="R85" i="2"/>
  <c r="Q85" i="2"/>
  <c r="P85" i="2"/>
  <c r="O85" i="2"/>
  <c r="N85" i="2"/>
  <c r="X84" i="2"/>
  <c r="T84" i="2"/>
  <c r="S84" i="2"/>
  <c r="R84" i="2"/>
  <c r="Q84" i="2"/>
  <c r="P84" i="2"/>
  <c r="O84" i="2"/>
  <c r="N84" i="2"/>
  <c r="X83" i="2"/>
  <c r="T83" i="2"/>
  <c r="S83" i="2"/>
  <c r="R83" i="2"/>
  <c r="Q83" i="2"/>
  <c r="P83" i="2"/>
  <c r="O83" i="2"/>
  <c r="N83" i="2"/>
  <c r="X82" i="2"/>
  <c r="T82" i="2"/>
  <c r="S82" i="2"/>
  <c r="R82" i="2"/>
  <c r="Q82" i="2"/>
  <c r="P82" i="2"/>
  <c r="O82" i="2"/>
  <c r="N82" i="2"/>
  <c r="X81" i="2"/>
  <c r="T81" i="2"/>
  <c r="S81" i="2"/>
  <c r="R81" i="2"/>
  <c r="Q81" i="2"/>
  <c r="P81" i="2"/>
  <c r="O81" i="2"/>
  <c r="N81" i="2"/>
  <c r="X80" i="2"/>
  <c r="T80" i="2"/>
  <c r="S80" i="2"/>
  <c r="R80" i="2"/>
  <c r="Q80" i="2"/>
  <c r="P80" i="2"/>
  <c r="O80" i="2"/>
  <c r="N80" i="2"/>
  <c r="X79" i="2"/>
  <c r="T79" i="2"/>
  <c r="S79" i="2"/>
  <c r="R79" i="2"/>
  <c r="Q79" i="2"/>
  <c r="P79" i="2"/>
  <c r="O79" i="2"/>
  <c r="N79" i="2"/>
  <c r="X78" i="2"/>
  <c r="T78" i="2"/>
  <c r="S78" i="2"/>
  <c r="R78" i="2"/>
  <c r="Q78" i="2"/>
  <c r="P78" i="2"/>
  <c r="O78" i="2"/>
  <c r="N78" i="2"/>
  <c r="X77" i="2"/>
  <c r="T77" i="2"/>
  <c r="S77" i="2"/>
  <c r="R77" i="2"/>
  <c r="Q77" i="2"/>
  <c r="P77" i="2"/>
  <c r="O77" i="2"/>
  <c r="N77" i="2"/>
  <c r="X76" i="2"/>
  <c r="T76" i="2"/>
  <c r="S76" i="2"/>
  <c r="R76" i="2"/>
  <c r="Q76" i="2"/>
  <c r="P76" i="2"/>
  <c r="O76" i="2"/>
  <c r="N76" i="2"/>
  <c r="X75" i="2"/>
  <c r="T75" i="2"/>
  <c r="S75" i="2"/>
  <c r="R75" i="2"/>
  <c r="Q75" i="2"/>
  <c r="P75" i="2"/>
  <c r="O75" i="2"/>
  <c r="N75" i="2"/>
  <c r="X74" i="2"/>
  <c r="T74" i="2"/>
  <c r="S74" i="2"/>
  <c r="R74" i="2"/>
  <c r="Q74" i="2"/>
  <c r="P74" i="2"/>
  <c r="O74" i="2"/>
  <c r="N74" i="2"/>
  <c r="X73" i="2"/>
  <c r="T73" i="2"/>
  <c r="S73" i="2"/>
  <c r="R73" i="2"/>
  <c r="Q73" i="2"/>
  <c r="P73" i="2"/>
  <c r="O73" i="2"/>
  <c r="N73" i="2"/>
  <c r="X72" i="2"/>
  <c r="T72" i="2"/>
  <c r="S72" i="2"/>
  <c r="R72" i="2"/>
  <c r="Q72" i="2"/>
  <c r="P72" i="2"/>
  <c r="O72" i="2"/>
  <c r="N72" i="2"/>
  <c r="X71" i="2"/>
  <c r="T71" i="2"/>
  <c r="S71" i="2"/>
  <c r="R71" i="2"/>
  <c r="Q71" i="2"/>
  <c r="P71" i="2"/>
  <c r="O71" i="2"/>
  <c r="N71" i="2"/>
  <c r="X70" i="2"/>
  <c r="T70" i="2"/>
  <c r="S70" i="2"/>
  <c r="R70" i="2"/>
  <c r="Q70" i="2"/>
  <c r="P70" i="2"/>
  <c r="O70" i="2"/>
  <c r="N70" i="2"/>
  <c r="X69" i="2"/>
  <c r="T69" i="2"/>
  <c r="S69" i="2"/>
  <c r="R69" i="2"/>
  <c r="Q69" i="2"/>
  <c r="P69" i="2"/>
  <c r="O69" i="2"/>
  <c r="N69" i="2"/>
  <c r="X68" i="2"/>
  <c r="T68" i="2"/>
  <c r="S68" i="2"/>
  <c r="R68" i="2"/>
  <c r="Q68" i="2"/>
  <c r="P68" i="2"/>
  <c r="O68" i="2"/>
  <c r="N68" i="2"/>
  <c r="X67" i="2"/>
  <c r="T67" i="2"/>
  <c r="S67" i="2"/>
  <c r="R67" i="2"/>
  <c r="Q67" i="2"/>
  <c r="P67" i="2"/>
  <c r="O67" i="2"/>
  <c r="N67" i="2"/>
  <c r="X66" i="2"/>
  <c r="T66" i="2"/>
  <c r="S66" i="2"/>
  <c r="R66" i="2"/>
  <c r="Q66" i="2"/>
  <c r="P66" i="2"/>
  <c r="O66" i="2"/>
  <c r="N66" i="2"/>
  <c r="X65" i="2"/>
  <c r="T65" i="2"/>
  <c r="S65" i="2"/>
  <c r="R65" i="2"/>
  <c r="Q65" i="2"/>
  <c r="P65" i="2"/>
  <c r="O65" i="2"/>
  <c r="N65" i="2"/>
  <c r="X64" i="2"/>
  <c r="T64" i="2"/>
  <c r="S64" i="2"/>
  <c r="R64" i="2"/>
  <c r="Q64" i="2"/>
  <c r="P64" i="2"/>
  <c r="O64" i="2"/>
  <c r="N64" i="2"/>
  <c r="X63" i="2"/>
  <c r="T63" i="2"/>
  <c r="S63" i="2"/>
  <c r="R63" i="2"/>
  <c r="Q63" i="2"/>
  <c r="P63" i="2"/>
  <c r="O63" i="2"/>
  <c r="N63" i="2"/>
  <c r="X62" i="2"/>
  <c r="T62" i="2"/>
  <c r="S62" i="2"/>
  <c r="R62" i="2"/>
  <c r="Q62" i="2"/>
  <c r="P62" i="2"/>
  <c r="O62" i="2"/>
  <c r="N62" i="2"/>
  <c r="X61" i="2"/>
  <c r="T61" i="2"/>
  <c r="S61" i="2"/>
  <c r="R61" i="2"/>
  <c r="Q61" i="2"/>
  <c r="P61" i="2"/>
  <c r="O61" i="2"/>
  <c r="N61" i="2"/>
  <c r="X60" i="2"/>
  <c r="T60" i="2"/>
  <c r="S60" i="2"/>
  <c r="R60" i="2"/>
  <c r="Q60" i="2"/>
  <c r="P60" i="2"/>
  <c r="O60" i="2"/>
  <c r="N60" i="2"/>
  <c r="X59" i="2"/>
  <c r="T59" i="2"/>
  <c r="S59" i="2"/>
  <c r="R59" i="2"/>
  <c r="Q59" i="2"/>
  <c r="P59" i="2"/>
  <c r="O59" i="2"/>
  <c r="N59" i="2"/>
  <c r="X58" i="2"/>
  <c r="T58" i="2"/>
  <c r="S58" i="2"/>
  <c r="R58" i="2"/>
  <c r="Q58" i="2"/>
  <c r="P58" i="2"/>
  <c r="O58" i="2"/>
  <c r="N58" i="2"/>
  <c r="X57" i="2"/>
  <c r="T57" i="2"/>
  <c r="S57" i="2"/>
  <c r="R57" i="2"/>
  <c r="Q57" i="2"/>
  <c r="P57" i="2"/>
  <c r="O57" i="2"/>
  <c r="N57" i="2"/>
  <c r="X56" i="2"/>
  <c r="T56" i="2"/>
  <c r="S56" i="2"/>
  <c r="R56" i="2"/>
  <c r="Q56" i="2"/>
  <c r="P56" i="2"/>
  <c r="O56" i="2"/>
  <c r="N56" i="2"/>
  <c r="X55" i="2"/>
  <c r="T55" i="2"/>
  <c r="S55" i="2"/>
  <c r="R55" i="2"/>
  <c r="Q55" i="2"/>
  <c r="P55" i="2"/>
  <c r="O55" i="2"/>
  <c r="N55" i="2"/>
  <c r="X54" i="2"/>
  <c r="T54" i="2"/>
  <c r="S54" i="2"/>
  <c r="R54" i="2"/>
  <c r="Q54" i="2"/>
  <c r="P54" i="2"/>
  <c r="O54" i="2"/>
  <c r="N54" i="2"/>
  <c r="X53" i="2"/>
  <c r="T53" i="2"/>
  <c r="S53" i="2"/>
  <c r="R53" i="2"/>
  <c r="Q53" i="2"/>
  <c r="P53" i="2"/>
  <c r="O53" i="2"/>
  <c r="N53" i="2"/>
  <c r="X52" i="2"/>
  <c r="T52" i="2"/>
  <c r="S52" i="2"/>
  <c r="R52" i="2"/>
  <c r="Q52" i="2"/>
  <c r="P52" i="2"/>
  <c r="O52" i="2"/>
  <c r="N52" i="2"/>
  <c r="X51" i="2"/>
  <c r="T51" i="2"/>
  <c r="S51" i="2"/>
  <c r="R51" i="2"/>
  <c r="Q51" i="2"/>
  <c r="P51" i="2"/>
  <c r="O51" i="2"/>
  <c r="N51" i="2"/>
  <c r="W50" i="2"/>
  <c r="T50" i="2"/>
  <c r="S50" i="2"/>
  <c r="R50" i="2"/>
  <c r="Q50" i="2"/>
  <c r="P50" i="2"/>
  <c r="O50" i="2"/>
  <c r="N50" i="2"/>
  <c r="W49" i="2"/>
  <c r="T49" i="2"/>
  <c r="S49" i="2"/>
  <c r="R49" i="2"/>
  <c r="Q49" i="2"/>
  <c r="P49" i="2"/>
  <c r="O49" i="2"/>
  <c r="N49" i="2"/>
  <c r="W48" i="2"/>
  <c r="T48" i="2"/>
  <c r="S48" i="2"/>
  <c r="R48" i="2"/>
  <c r="Q48" i="2"/>
  <c r="P48" i="2"/>
  <c r="O48" i="2"/>
  <c r="N48" i="2"/>
  <c r="W47" i="2"/>
  <c r="T47" i="2"/>
  <c r="S47" i="2"/>
  <c r="R47" i="2"/>
  <c r="Q47" i="2"/>
  <c r="P47" i="2"/>
  <c r="O47" i="2"/>
  <c r="N47" i="2"/>
  <c r="W46" i="2"/>
  <c r="T46" i="2"/>
  <c r="S46" i="2"/>
  <c r="R46" i="2"/>
  <c r="Q46" i="2"/>
  <c r="P46" i="2"/>
  <c r="O46" i="2"/>
  <c r="N46" i="2"/>
  <c r="W45" i="2"/>
  <c r="T45" i="2"/>
  <c r="S45" i="2"/>
  <c r="R45" i="2"/>
  <c r="Q45" i="2"/>
  <c r="P45" i="2"/>
  <c r="O45" i="2"/>
  <c r="N45" i="2"/>
  <c r="W44" i="2"/>
  <c r="T44" i="2"/>
  <c r="S44" i="2"/>
  <c r="R44" i="2"/>
  <c r="Q44" i="2"/>
  <c r="P44" i="2"/>
  <c r="O44" i="2"/>
  <c r="N44" i="2"/>
  <c r="W43" i="2"/>
  <c r="T43" i="2"/>
  <c r="S43" i="2"/>
  <c r="R43" i="2"/>
  <c r="Q43" i="2"/>
  <c r="P43" i="2"/>
  <c r="O43" i="2"/>
  <c r="N43" i="2"/>
  <c r="W42" i="2"/>
  <c r="T42" i="2"/>
  <c r="S42" i="2"/>
  <c r="R42" i="2"/>
  <c r="Q42" i="2"/>
  <c r="P42" i="2"/>
  <c r="O42" i="2"/>
  <c r="N42" i="2"/>
  <c r="W41" i="2"/>
  <c r="T41" i="2"/>
  <c r="S41" i="2"/>
  <c r="R41" i="2"/>
  <c r="Q41" i="2"/>
  <c r="P41" i="2"/>
  <c r="O41" i="2"/>
  <c r="N41" i="2"/>
  <c r="W40" i="2"/>
  <c r="T40" i="2"/>
  <c r="S40" i="2"/>
  <c r="R40" i="2"/>
  <c r="Q40" i="2"/>
  <c r="P40" i="2"/>
  <c r="O40" i="2"/>
  <c r="N40" i="2"/>
  <c r="W39" i="2"/>
  <c r="T39" i="2"/>
  <c r="S39" i="2"/>
  <c r="R39" i="2"/>
  <c r="Q39" i="2"/>
  <c r="P39" i="2"/>
  <c r="O39" i="2"/>
  <c r="N39" i="2"/>
  <c r="W38" i="2"/>
  <c r="T38" i="2"/>
  <c r="S38" i="2"/>
  <c r="R38" i="2"/>
  <c r="Q38" i="2"/>
  <c r="P38" i="2"/>
  <c r="O38" i="2"/>
  <c r="N38" i="2"/>
  <c r="W37" i="2"/>
  <c r="T37" i="2"/>
  <c r="S37" i="2"/>
  <c r="R37" i="2"/>
  <c r="Q37" i="2"/>
  <c r="P37" i="2"/>
  <c r="O37" i="2"/>
  <c r="N37" i="2"/>
  <c r="W36" i="2"/>
  <c r="T36" i="2"/>
  <c r="S36" i="2"/>
  <c r="R36" i="2"/>
  <c r="Q36" i="2"/>
  <c r="P36" i="2"/>
  <c r="O36" i="2"/>
  <c r="N36" i="2"/>
  <c r="W35" i="2"/>
  <c r="T35" i="2"/>
  <c r="S35" i="2"/>
  <c r="R35" i="2"/>
  <c r="Q35" i="2"/>
  <c r="P35" i="2"/>
  <c r="O35" i="2"/>
  <c r="N35" i="2"/>
  <c r="W34" i="2"/>
  <c r="T34" i="2"/>
  <c r="S34" i="2"/>
  <c r="R34" i="2"/>
  <c r="Q34" i="2"/>
  <c r="P34" i="2"/>
  <c r="O34" i="2"/>
  <c r="N34" i="2"/>
  <c r="W33" i="2"/>
  <c r="T33" i="2"/>
  <c r="S33" i="2"/>
  <c r="R33" i="2"/>
  <c r="Q33" i="2"/>
  <c r="P33" i="2"/>
  <c r="O33" i="2"/>
  <c r="N33" i="2"/>
  <c r="W32" i="2"/>
  <c r="T32" i="2"/>
  <c r="S32" i="2"/>
  <c r="R32" i="2"/>
  <c r="Q32" i="2"/>
  <c r="P32" i="2"/>
  <c r="O32" i="2"/>
  <c r="N32" i="2"/>
  <c r="W31" i="2"/>
  <c r="T31" i="2"/>
  <c r="S31" i="2"/>
  <c r="R31" i="2"/>
  <c r="Q31" i="2"/>
  <c r="P31" i="2"/>
  <c r="O31" i="2"/>
  <c r="N31" i="2"/>
  <c r="W30" i="2"/>
  <c r="T30" i="2"/>
  <c r="S30" i="2"/>
  <c r="R30" i="2"/>
  <c r="Q30" i="2"/>
  <c r="P30" i="2"/>
  <c r="O30" i="2"/>
  <c r="N30" i="2"/>
  <c r="W29" i="2"/>
  <c r="T29" i="2"/>
  <c r="S29" i="2"/>
  <c r="R29" i="2"/>
  <c r="Q29" i="2"/>
  <c r="P29" i="2"/>
  <c r="O29" i="2"/>
  <c r="N29" i="2"/>
  <c r="W28" i="2"/>
  <c r="T28" i="2"/>
  <c r="S28" i="2"/>
  <c r="R28" i="2"/>
  <c r="Q28" i="2"/>
  <c r="P28" i="2"/>
  <c r="O28" i="2"/>
  <c r="N28" i="2"/>
  <c r="W27" i="2"/>
  <c r="T27" i="2"/>
  <c r="S27" i="2"/>
  <c r="R27" i="2"/>
  <c r="Q27" i="2"/>
  <c r="P27" i="2"/>
  <c r="O27" i="2"/>
  <c r="N27" i="2"/>
  <c r="W26" i="2"/>
  <c r="T26" i="2"/>
  <c r="S26" i="2"/>
  <c r="R26" i="2"/>
  <c r="Q26" i="2"/>
  <c r="P26" i="2"/>
  <c r="O26" i="2"/>
  <c r="N26" i="2"/>
  <c r="W25" i="2"/>
  <c r="T25" i="2"/>
  <c r="S25" i="2"/>
  <c r="R25" i="2"/>
  <c r="Q25" i="2"/>
  <c r="P25" i="2"/>
  <c r="O25" i="2"/>
  <c r="N25" i="2"/>
  <c r="W24" i="2"/>
  <c r="T24" i="2"/>
  <c r="S24" i="2"/>
  <c r="R24" i="2"/>
  <c r="Q24" i="2"/>
  <c r="P24" i="2"/>
  <c r="O24" i="2"/>
  <c r="N24" i="2"/>
  <c r="W23" i="2"/>
  <c r="T23" i="2"/>
  <c r="S23" i="2"/>
  <c r="R23" i="2"/>
  <c r="Q23" i="2"/>
  <c r="P23" i="2"/>
  <c r="O23" i="2"/>
  <c r="N23" i="2"/>
  <c r="W22" i="2"/>
  <c r="T22" i="2"/>
  <c r="S22" i="2"/>
  <c r="R22" i="2"/>
  <c r="Q22" i="2"/>
  <c r="P22" i="2"/>
  <c r="O22" i="2"/>
  <c r="N22" i="2"/>
  <c r="W21" i="2"/>
  <c r="T21" i="2"/>
  <c r="S21" i="2"/>
  <c r="R21" i="2"/>
  <c r="Q21" i="2"/>
  <c r="P21" i="2"/>
  <c r="O21" i="2"/>
  <c r="N21" i="2"/>
  <c r="W20" i="2"/>
  <c r="T20" i="2"/>
  <c r="S20" i="2"/>
  <c r="R20" i="2"/>
  <c r="Q20" i="2"/>
  <c r="P20" i="2"/>
  <c r="O20" i="2"/>
  <c r="N20" i="2"/>
  <c r="W19" i="2"/>
  <c r="T19" i="2"/>
  <c r="S19" i="2"/>
  <c r="R19" i="2"/>
  <c r="Q19" i="2"/>
  <c r="P19" i="2"/>
  <c r="O19" i="2"/>
  <c r="N19" i="2"/>
  <c r="W18" i="2"/>
  <c r="T18" i="2"/>
  <c r="S18" i="2"/>
  <c r="R18" i="2"/>
  <c r="Q18" i="2"/>
  <c r="P18" i="2"/>
  <c r="O18" i="2"/>
  <c r="N18" i="2"/>
  <c r="W17" i="2"/>
  <c r="T17" i="2"/>
  <c r="S17" i="2"/>
  <c r="R17" i="2"/>
  <c r="Q17" i="2"/>
  <c r="P17" i="2"/>
  <c r="O17" i="2"/>
  <c r="N17" i="2"/>
  <c r="W16" i="2"/>
  <c r="T16" i="2"/>
  <c r="S16" i="2"/>
  <c r="R16" i="2"/>
  <c r="Q16" i="2"/>
  <c r="P16" i="2"/>
  <c r="O16" i="2"/>
  <c r="N16" i="2"/>
  <c r="W15" i="2"/>
  <c r="T15" i="2"/>
  <c r="S15" i="2"/>
  <c r="R15" i="2"/>
  <c r="Q15" i="2"/>
  <c r="P15" i="2"/>
  <c r="O15" i="2"/>
  <c r="N15" i="2"/>
  <c r="W14" i="2"/>
  <c r="T14" i="2"/>
  <c r="S14" i="2"/>
  <c r="R14" i="2"/>
  <c r="Q14" i="2"/>
  <c r="P14" i="2"/>
  <c r="O14" i="2"/>
  <c r="N14" i="2"/>
  <c r="W13" i="2"/>
  <c r="T13" i="2"/>
  <c r="S13" i="2"/>
  <c r="R13" i="2"/>
  <c r="Q13" i="2"/>
  <c r="P13" i="2"/>
  <c r="O13" i="2"/>
  <c r="N13" i="2"/>
  <c r="W12" i="2"/>
  <c r="T12" i="2"/>
  <c r="S12" i="2"/>
  <c r="R12" i="2"/>
  <c r="Q12" i="2"/>
  <c r="P12" i="2"/>
  <c r="O12" i="2"/>
  <c r="N12" i="2"/>
  <c r="W11" i="2"/>
  <c r="T11" i="2"/>
  <c r="S11" i="2"/>
  <c r="R11" i="2"/>
  <c r="Q11" i="2"/>
  <c r="P11" i="2"/>
  <c r="O11" i="2"/>
  <c r="N11" i="2"/>
  <c r="W10" i="2"/>
  <c r="T10" i="2"/>
  <c r="S10" i="2"/>
  <c r="R10" i="2"/>
  <c r="Q10" i="2"/>
  <c r="P10" i="2"/>
  <c r="O10" i="2"/>
  <c r="N10" i="2"/>
  <c r="W9" i="2"/>
  <c r="T9" i="2"/>
  <c r="S9" i="2"/>
  <c r="R9" i="2"/>
  <c r="Q9" i="2"/>
  <c r="P9" i="2"/>
  <c r="O9" i="2"/>
  <c r="N9" i="2"/>
  <c r="W8" i="2"/>
  <c r="T8" i="2"/>
  <c r="S8" i="2"/>
  <c r="R8" i="2"/>
  <c r="Q8" i="2"/>
  <c r="P8" i="2"/>
  <c r="O8" i="2"/>
  <c r="N8" i="2"/>
  <c r="W7" i="2"/>
  <c r="T7" i="2"/>
  <c r="S7" i="2"/>
  <c r="R7" i="2"/>
  <c r="Q7" i="2"/>
  <c r="P7" i="2"/>
  <c r="O7" i="2"/>
  <c r="N7" i="2"/>
  <c r="W6" i="2"/>
  <c r="T6" i="2"/>
  <c r="S6" i="2"/>
  <c r="R6" i="2"/>
  <c r="Q6" i="2"/>
  <c r="P6" i="2"/>
  <c r="O6" i="2"/>
  <c r="N6" i="2"/>
  <c r="W5" i="2"/>
  <c r="T5" i="2"/>
  <c r="S5" i="2"/>
  <c r="R5" i="2"/>
  <c r="Q5" i="2"/>
  <c r="P5" i="2"/>
  <c r="O5" i="2"/>
  <c r="N5" i="2"/>
  <c r="W4" i="2"/>
  <c r="T4" i="2"/>
  <c r="S4" i="2"/>
  <c r="R4" i="2"/>
  <c r="Q4" i="2"/>
  <c r="P4" i="2"/>
  <c r="O4" i="2"/>
  <c r="N4" i="2"/>
  <c r="W3" i="2"/>
  <c r="T3" i="2"/>
  <c r="S3" i="2"/>
  <c r="R3" i="2"/>
  <c r="Q3" i="2"/>
  <c r="P3" i="2"/>
  <c r="O3" i="2"/>
  <c r="N3" i="2"/>
  <c r="W2" i="2"/>
  <c r="T2" i="2"/>
  <c r="S2" i="2"/>
  <c r="R2" i="2"/>
  <c r="Q2" i="2"/>
  <c r="P2" i="2"/>
  <c r="O2" i="2"/>
  <c r="N2" i="2"/>
  <c r="X11" i="11" l="1"/>
  <c r="Z22" i="11"/>
  <c r="AA33" i="11"/>
  <c r="AB44" i="11"/>
  <c r="X10" i="11"/>
  <c r="Z21" i="11"/>
  <c r="AA32" i="11"/>
  <c r="AB43" i="11"/>
  <c r="AB44" i="10"/>
  <c r="X10" i="10"/>
  <c r="Z21" i="10"/>
  <c r="AA32" i="10"/>
  <c r="AB43" i="10"/>
  <c r="X9" i="10"/>
  <c r="Y20" i="10"/>
  <c r="AA31" i="10"/>
  <c r="AB42" i="10"/>
  <c r="Z24" i="10"/>
  <c r="AA35" i="10"/>
  <c r="AB46" i="10"/>
  <c r="Y12" i="10"/>
  <c r="Z23" i="10"/>
  <c r="AA34" i="10"/>
  <c r="AB45" i="10"/>
  <c r="AA31" i="7"/>
  <c r="AB41" i="7"/>
  <c r="X9" i="7"/>
  <c r="Y19" i="7"/>
  <c r="AA30" i="7"/>
  <c r="AB42" i="7"/>
  <c r="X8" i="7"/>
  <c r="Z27" i="7"/>
  <c r="Z24" i="7"/>
  <c r="AA38" i="7"/>
  <c r="X4" i="7"/>
  <c r="Y15" i="7"/>
  <c r="AA35" i="7"/>
  <c r="Y12" i="7"/>
  <c r="AB46" i="7"/>
  <c r="Z26" i="7"/>
  <c r="AA37" i="7"/>
  <c r="X3" i="7"/>
  <c r="Y14" i="7"/>
  <c r="AA34" i="7"/>
  <c r="AB48" i="7"/>
  <c r="AB45" i="7"/>
  <c r="Z25" i="7"/>
  <c r="X5" i="7"/>
  <c r="Y16" i="7"/>
  <c r="AA36" i="7"/>
  <c r="X2" i="7"/>
  <c r="Y13" i="7"/>
  <c r="AB47" i="7"/>
  <c r="Z23" i="7"/>
  <c r="X10" i="7"/>
  <c r="AA32" i="7"/>
  <c r="X7" i="7"/>
  <c r="Y18" i="7"/>
  <c r="AB40" i="7"/>
  <c r="X6" i="7"/>
  <c r="Y17" i="7"/>
  <c r="Z28" i="7"/>
  <c r="AB39" i="7"/>
  <c r="X8" i="6"/>
  <c r="Y19" i="6"/>
  <c r="AA30" i="6"/>
  <c r="AB41" i="6"/>
  <c r="Y13" i="6"/>
  <c r="Z24" i="6"/>
  <c r="AA35" i="6"/>
  <c r="AB46" i="6"/>
  <c r="Y12" i="6"/>
  <c r="Z23" i="6"/>
  <c r="AA34" i="6"/>
  <c r="AB45" i="6"/>
  <c r="AA35" i="9"/>
  <c r="AA34" i="9"/>
  <c r="AA35" i="8"/>
  <c r="Z24" i="8"/>
  <c r="Y19" i="9"/>
  <c r="Z29" i="9"/>
  <c r="AA32" i="9"/>
  <c r="AA37" i="9"/>
  <c r="Z26" i="9"/>
  <c r="X9" i="9"/>
  <c r="X6" i="9"/>
  <c r="Z31" i="9"/>
  <c r="Y18" i="9"/>
  <c r="Y21" i="9"/>
  <c r="Z28" i="9"/>
  <c r="X8" i="9"/>
  <c r="X11" i="9"/>
  <c r="X5" i="9"/>
  <c r="Y20" i="9"/>
  <c r="Z30" i="9"/>
  <c r="Y17" i="9"/>
  <c r="Z27" i="9"/>
  <c r="X10" i="9"/>
  <c r="X7" i="9"/>
  <c r="X3" i="9"/>
  <c r="Y14" i="9"/>
  <c r="Z24" i="9"/>
  <c r="X2" i="9"/>
  <c r="Y13" i="9"/>
  <c r="Y12" i="9"/>
  <c r="Z22" i="9"/>
  <c r="X9" i="8"/>
  <c r="Z27" i="8"/>
  <c r="AA37" i="8"/>
  <c r="X6" i="8"/>
  <c r="Y19" i="8"/>
  <c r="Y16" i="8"/>
  <c r="AA32" i="8"/>
  <c r="Z29" i="8"/>
  <c r="X8" i="8"/>
  <c r="Z26" i="8"/>
  <c r="X5" i="8"/>
  <c r="Y18" i="8"/>
  <c r="Z28" i="8"/>
  <c r="Z31" i="8"/>
  <c r="X7" i="8"/>
  <c r="X10" i="8"/>
  <c r="Y17" i="8"/>
  <c r="Y20" i="8"/>
  <c r="Z30" i="8"/>
  <c r="AA36" i="8"/>
  <c r="Y12" i="8"/>
  <c r="Z22" i="8"/>
  <c r="AA33" i="8"/>
  <c r="X11" i="8"/>
  <c r="Y21" i="8"/>
</calcChain>
</file>

<file path=xl/sharedStrings.xml><?xml version="1.0" encoding="utf-8"?>
<sst xmlns="http://schemas.openxmlformats.org/spreadsheetml/2006/main" count="941" uniqueCount="44">
  <si>
    <t>treatment</t>
  </si>
  <si>
    <t>temp_target</t>
  </si>
  <si>
    <t>pH_target</t>
  </si>
  <si>
    <t>Li_target</t>
  </si>
  <si>
    <t>BL</t>
  </si>
  <si>
    <t>GR</t>
  </si>
  <si>
    <t>BR1</t>
  </si>
  <si>
    <t>BR2</t>
  </si>
  <si>
    <t>POR1</t>
  </si>
  <si>
    <t>POR2</t>
  </si>
  <si>
    <t>AL1</t>
  </si>
  <si>
    <t>AL2</t>
  </si>
  <si>
    <t>Total Ca</t>
  </si>
  <si>
    <t>BR</t>
  </si>
  <si>
    <t>POR</t>
  </si>
  <si>
    <t>AL</t>
  </si>
  <si>
    <t>Sbr</t>
  </si>
  <si>
    <t>Spor</t>
  </si>
  <si>
    <t>Sal</t>
  </si>
  <si>
    <t>Li</t>
  </si>
  <si>
    <t>pH</t>
  </si>
  <si>
    <t>Temp</t>
  </si>
  <si>
    <t>temp</t>
  </si>
  <si>
    <t>MS</t>
  </si>
  <si>
    <t>Li 0.18</t>
  </si>
  <si>
    <t>Li 3</t>
  </si>
  <si>
    <t>Li 7</t>
  </si>
  <si>
    <t>Li 10</t>
  </si>
  <si>
    <t>Li 20</t>
  </si>
  <si>
    <t>T12</t>
  </si>
  <si>
    <t>T16</t>
  </si>
  <si>
    <t>T20</t>
  </si>
  <si>
    <t>T24</t>
  </si>
  <si>
    <t>pH8.1</t>
  </si>
  <si>
    <t>pH7.95</t>
  </si>
  <si>
    <t>pH7.7</t>
  </si>
  <si>
    <t>pH7.45</t>
  </si>
  <si>
    <t>pH7.2</t>
  </si>
  <si>
    <t>StAL</t>
  </si>
  <si>
    <t>Sttemp</t>
  </si>
  <si>
    <t>St_pH_POR</t>
  </si>
  <si>
    <t>St_pH_BR</t>
  </si>
  <si>
    <t>St_Li_POR</t>
  </si>
  <si>
    <t>St_Li_BR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</si>
</sst>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1"/>
      <color rgb="FF000000"/>
      <name val="Calibri"/>
      <family val="2"/>
    </font>
    <font>
      <sz val="12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4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right"/>
    </xf>
  </cellXfs>
  <cellStyles count="3">
    <cellStyle name="Normal" xfId="0" builtinId="0"/>
    <cellStyle name="Normal 2" xfId="1" xr:uid="{C64F0237-05DC-4568-86E9-E5DBCD928B8C}"/>
    <cellStyle name="Normal 3" xfId="2" xr:uid="{DACACEBE-9F0D-4071-A24D-57672DA95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data'!$W$1</c:f>
              <c:strCache>
                <c:ptCount val="1"/>
                <c:pt idx="0">
                  <c:v>Li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662994994478153"/>
                  <c:y val="-6.15189984124629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'All data'!$E$2:$E$144</c:f>
              <c:numCache>
                <c:formatCode>General</c:formatCode>
                <c:ptCount val="143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  <c:pt idx="49">
                  <c:v>391.83</c:v>
                </c:pt>
                <c:pt idx="50">
                  <c:v>358.69</c:v>
                </c:pt>
                <c:pt idx="51">
                  <c:v>376.24</c:v>
                </c:pt>
                <c:pt idx="52">
                  <c:v>360.65</c:v>
                </c:pt>
                <c:pt idx="53">
                  <c:v>332.78</c:v>
                </c:pt>
                <c:pt idx="54">
                  <c:v>330.1</c:v>
                </c:pt>
                <c:pt idx="55">
                  <c:v>384.32</c:v>
                </c:pt>
                <c:pt idx="56">
                  <c:v>339.23</c:v>
                </c:pt>
                <c:pt idx="57">
                  <c:v>358</c:v>
                </c:pt>
                <c:pt idx="58">
                  <c:v>343.93</c:v>
                </c:pt>
                <c:pt idx="59">
                  <c:v>384.98</c:v>
                </c:pt>
                <c:pt idx="60">
                  <c:v>405.67</c:v>
                </c:pt>
                <c:pt idx="61">
                  <c:v>383.56</c:v>
                </c:pt>
                <c:pt idx="62">
                  <c:v>374.09</c:v>
                </c:pt>
                <c:pt idx="63">
                  <c:v>370.11</c:v>
                </c:pt>
                <c:pt idx="64">
                  <c:v>388.07</c:v>
                </c:pt>
                <c:pt idx="65">
                  <c:v>377.1</c:v>
                </c:pt>
                <c:pt idx="66">
                  <c:v>336.3</c:v>
                </c:pt>
                <c:pt idx="67">
                  <c:v>377.84</c:v>
                </c:pt>
                <c:pt idx="68">
                  <c:v>335.41</c:v>
                </c:pt>
                <c:pt idx="69">
                  <c:v>290.43</c:v>
                </c:pt>
                <c:pt idx="70">
                  <c:v>301.79000000000002</c:v>
                </c:pt>
                <c:pt idx="71">
                  <c:v>292.54000000000002</c:v>
                </c:pt>
                <c:pt idx="72">
                  <c:v>376.17</c:v>
                </c:pt>
                <c:pt idx="73">
                  <c:v>339.27</c:v>
                </c:pt>
                <c:pt idx="74">
                  <c:v>394.45</c:v>
                </c:pt>
                <c:pt idx="75">
                  <c:v>381.53</c:v>
                </c:pt>
                <c:pt idx="76">
                  <c:v>385.86</c:v>
                </c:pt>
                <c:pt idx="77">
                  <c:v>346.83</c:v>
                </c:pt>
                <c:pt idx="78">
                  <c:v>378.21</c:v>
                </c:pt>
                <c:pt idx="79">
                  <c:v>306.06</c:v>
                </c:pt>
                <c:pt idx="80">
                  <c:v>302.5</c:v>
                </c:pt>
                <c:pt idx="81">
                  <c:v>350.88</c:v>
                </c:pt>
                <c:pt idx="82">
                  <c:v>300.23</c:v>
                </c:pt>
                <c:pt idx="83">
                  <c:v>320.39999999999998</c:v>
                </c:pt>
                <c:pt idx="84">
                  <c:v>316</c:v>
                </c:pt>
                <c:pt idx="85">
                  <c:v>369.94</c:v>
                </c:pt>
                <c:pt idx="86">
                  <c:v>361.89</c:v>
                </c:pt>
                <c:pt idx="87">
                  <c:v>344.77</c:v>
                </c:pt>
                <c:pt idx="88">
                  <c:v>334.85</c:v>
                </c:pt>
                <c:pt idx="89">
                  <c:v>368.95</c:v>
                </c:pt>
                <c:pt idx="90">
                  <c:v>292.37</c:v>
                </c:pt>
                <c:pt idx="91">
                  <c:v>325.58999999999997</c:v>
                </c:pt>
                <c:pt idx="92">
                  <c:v>346.97</c:v>
                </c:pt>
                <c:pt idx="93">
                  <c:v>338.15</c:v>
                </c:pt>
                <c:pt idx="94">
                  <c:v>356.37</c:v>
                </c:pt>
                <c:pt idx="95">
                  <c:v>342.08</c:v>
                </c:pt>
                <c:pt idx="96">
                  <c:v>262.94</c:v>
                </c:pt>
                <c:pt idx="97">
                  <c:v>254.65</c:v>
                </c:pt>
                <c:pt idx="98">
                  <c:v>274.92</c:v>
                </c:pt>
                <c:pt idx="99">
                  <c:v>279.45999999999998</c:v>
                </c:pt>
                <c:pt idx="100">
                  <c:v>275.61</c:v>
                </c:pt>
                <c:pt idx="101">
                  <c:v>283.70999999999998</c:v>
                </c:pt>
                <c:pt idx="102">
                  <c:v>277.16000000000003</c:v>
                </c:pt>
                <c:pt idx="103">
                  <c:v>260.06</c:v>
                </c:pt>
                <c:pt idx="104">
                  <c:v>265.97000000000003</c:v>
                </c:pt>
                <c:pt idx="105">
                  <c:v>264.98</c:v>
                </c:pt>
                <c:pt idx="106">
                  <c:v>377.65</c:v>
                </c:pt>
                <c:pt idx="107">
                  <c:v>389.99</c:v>
                </c:pt>
                <c:pt idx="108">
                  <c:v>357</c:v>
                </c:pt>
                <c:pt idx="109">
                  <c:v>397.92</c:v>
                </c:pt>
                <c:pt idx="110">
                  <c:v>394.43</c:v>
                </c:pt>
                <c:pt idx="111">
                  <c:v>376.38</c:v>
                </c:pt>
                <c:pt idx="112">
                  <c:v>386.83</c:v>
                </c:pt>
                <c:pt idx="113">
                  <c:v>406.46</c:v>
                </c:pt>
                <c:pt idx="114">
                  <c:v>406.13</c:v>
                </c:pt>
                <c:pt idx="115">
                  <c:v>385.14</c:v>
                </c:pt>
                <c:pt idx="116">
                  <c:v>384.07</c:v>
                </c:pt>
                <c:pt idx="117">
                  <c:v>321.63</c:v>
                </c:pt>
                <c:pt idx="118">
                  <c:v>398.77</c:v>
                </c:pt>
                <c:pt idx="119">
                  <c:v>365.19</c:v>
                </c:pt>
                <c:pt idx="120">
                  <c:v>386.85</c:v>
                </c:pt>
                <c:pt idx="121">
                  <c:v>372.05</c:v>
                </c:pt>
                <c:pt idx="122">
                  <c:v>403.28</c:v>
                </c:pt>
                <c:pt idx="123">
                  <c:v>376.91</c:v>
                </c:pt>
                <c:pt idx="124">
                  <c:v>387.6</c:v>
                </c:pt>
                <c:pt idx="125">
                  <c:v>391.15</c:v>
                </c:pt>
                <c:pt idx="126">
                  <c:v>379.92</c:v>
                </c:pt>
                <c:pt idx="127">
                  <c:v>357.88</c:v>
                </c:pt>
                <c:pt idx="128">
                  <c:v>343.37</c:v>
                </c:pt>
                <c:pt idx="129">
                  <c:v>337.54</c:v>
                </c:pt>
                <c:pt idx="130">
                  <c:v>363.07</c:v>
                </c:pt>
                <c:pt idx="131">
                  <c:v>385.96</c:v>
                </c:pt>
                <c:pt idx="132">
                  <c:v>374.42</c:v>
                </c:pt>
                <c:pt idx="133">
                  <c:v>315.85599999999999</c:v>
                </c:pt>
                <c:pt idx="134">
                  <c:v>376.46100000000001</c:v>
                </c:pt>
                <c:pt idx="135">
                  <c:v>269.60899999999998</c:v>
                </c:pt>
                <c:pt idx="136">
                  <c:v>281.84500000000003</c:v>
                </c:pt>
                <c:pt idx="137">
                  <c:v>405</c:v>
                </c:pt>
                <c:pt idx="138">
                  <c:v>351</c:v>
                </c:pt>
                <c:pt idx="139">
                  <c:v>404</c:v>
                </c:pt>
                <c:pt idx="140">
                  <c:v>334</c:v>
                </c:pt>
                <c:pt idx="141">
                  <c:v>328</c:v>
                </c:pt>
                <c:pt idx="142">
                  <c:v>367</c:v>
                </c:pt>
              </c:numCache>
            </c:numRef>
          </c:xVal>
          <c:yVal>
            <c:numRef>
              <c:f>'All data'!$W$2:$W$144</c:f>
              <c:numCache>
                <c:formatCode>General</c:formatCode>
                <c:ptCount val="143"/>
                <c:pt idx="0">
                  <c:v>138.321</c:v>
                </c:pt>
                <c:pt idx="1">
                  <c:v>199.17</c:v>
                </c:pt>
                <c:pt idx="2">
                  <c:v>142.91800000000001</c:v>
                </c:pt>
                <c:pt idx="3">
                  <c:v>173.17</c:v>
                </c:pt>
                <c:pt idx="4">
                  <c:v>137.405</c:v>
                </c:pt>
                <c:pt idx="5">
                  <c:v>165.90100000000001</c:v>
                </c:pt>
                <c:pt idx="6">
                  <c:v>139.91900000000001</c:v>
                </c:pt>
                <c:pt idx="7">
                  <c:v>151.602</c:v>
                </c:pt>
                <c:pt idx="8">
                  <c:v>167.566</c:v>
                </c:pt>
                <c:pt idx="9">
                  <c:v>197.36</c:v>
                </c:pt>
                <c:pt idx="10">
                  <c:v>172.047</c:v>
                </c:pt>
                <c:pt idx="11">
                  <c:v>159.834</c:v>
                </c:pt>
                <c:pt idx="12">
                  <c:v>205.114</c:v>
                </c:pt>
                <c:pt idx="13">
                  <c:v>199.78200000000001</c:v>
                </c:pt>
                <c:pt idx="14">
                  <c:v>166.501</c:v>
                </c:pt>
                <c:pt idx="15">
                  <c:v>220.34299999999999</c:v>
                </c:pt>
                <c:pt idx="16">
                  <c:v>182.857</c:v>
                </c:pt>
                <c:pt idx="17">
                  <c:v>176.46199999999999</c:v>
                </c:pt>
                <c:pt idx="18">
                  <c:v>188.56899999999999</c:v>
                </c:pt>
                <c:pt idx="19">
                  <c:v>213.92099999999999</c:v>
                </c:pt>
                <c:pt idx="20">
                  <c:v>222.93199999999999</c:v>
                </c:pt>
                <c:pt idx="21">
                  <c:v>209.15700000000001</c:v>
                </c:pt>
                <c:pt idx="22">
                  <c:v>202.22300000000001</c:v>
                </c:pt>
                <c:pt idx="23">
                  <c:v>240.733</c:v>
                </c:pt>
                <c:pt idx="24">
                  <c:v>250.911</c:v>
                </c:pt>
                <c:pt idx="25">
                  <c:v>200.679</c:v>
                </c:pt>
                <c:pt idx="26">
                  <c:v>172.83099999999999</c:v>
                </c:pt>
                <c:pt idx="27">
                  <c:v>255.376</c:v>
                </c:pt>
                <c:pt idx="28">
                  <c:v>179.209</c:v>
                </c:pt>
                <c:pt idx="29">
                  <c:v>169.8</c:v>
                </c:pt>
                <c:pt idx="30">
                  <c:v>165.18799999999999</c:v>
                </c:pt>
                <c:pt idx="31">
                  <c:v>194.44</c:v>
                </c:pt>
                <c:pt idx="32">
                  <c:v>174.601</c:v>
                </c:pt>
                <c:pt idx="33">
                  <c:v>203.13300000000001</c:v>
                </c:pt>
                <c:pt idx="34">
                  <c:v>144.28899999999999</c:v>
                </c:pt>
                <c:pt idx="35">
                  <c:v>100.59699999999999</c:v>
                </c:pt>
                <c:pt idx="36">
                  <c:v>163.39099999999999</c:v>
                </c:pt>
                <c:pt idx="37">
                  <c:v>224.97900000000001</c:v>
                </c:pt>
                <c:pt idx="38">
                  <c:v>220.06700000000001</c:v>
                </c:pt>
                <c:pt idx="39">
                  <c:v>219.876</c:v>
                </c:pt>
                <c:pt idx="40">
                  <c:v>171.898</c:v>
                </c:pt>
                <c:pt idx="41">
                  <c:v>197.16800000000001</c:v>
                </c:pt>
                <c:pt idx="42">
                  <c:v>202.904</c:v>
                </c:pt>
                <c:pt idx="43">
                  <c:v>189.29400000000001</c:v>
                </c:pt>
                <c:pt idx="44">
                  <c:v>161.69300000000001</c:v>
                </c:pt>
                <c:pt idx="45">
                  <c:v>157.96299999999999</c:v>
                </c:pt>
                <c:pt idx="46">
                  <c:v>204.52699999999999</c:v>
                </c:pt>
                <c:pt idx="47">
                  <c:v>170.22</c:v>
                </c:pt>
                <c:pt idx="48">
                  <c:v>155.476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9C-456C-ADB2-89D883134DD3}"/>
            </c:ext>
          </c:extLst>
        </c:ser>
        <c:ser>
          <c:idx val="1"/>
          <c:order val="1"/>
          <c:tx>
            <c:strRef>
              <c:f>'All data'!$X$1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593613298337706"/>
                  <c:y val="5.0267206182560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'All data'!$E$2:$E$144</c:f>
              <c:numCache>
                <c:formatCode>General</c:formatCode>
                <c:ptCount val="143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  <c:pt idx="49">
                  <c:v>391.83</c:v>
                </c:pt>
                <c:pt idx="50">
                  <c:v>358.69</c:v>
                </c:pt>
                <c:pt idx="51">
                  <c:v>376.24</c:v>
                </c:pt>
                <c:pt idx="52">
                  <c:v>360.65</c:v>
                </c:pt>
                <c:pt idx="53">
                  <c:v>332.78</c:v>
                </c:pt>
                <c:pt idx="54">
                  <c:v>330.1</c:v>
                </c:pt>
                <c:pt idx="55">
                  <c:v>384.32</c:v>
                </c:pt>
                <c:pt idx="56">
                  <c:v>339.23</c:v>
                </c:pt>
                <c:pt idx="57">
                  <c:v>358</c:v>
                </c:pt>
                <c:pt idx="58">
                  <c:v>343.93</c:v>
                </c:pt>
                <c:pt idx="59">
                  <c:v>384.98</c:v>
                </c:pt>
                <c:pt idx="60">
                  <c:v>405.67</c:v>
                </c:pt>
                <c:pt idx="61">
                  <c:v>383.56</c:v>
                </c:pt>
                <c:pt idx="62">
                  <c:v>374.09</c:v>
                </c:pt>
                <c:pt idx="63">
                  <c:v>370.11</c:v>
                </c:pt>
                <c:pt idx="64">
                  <c:v>388.07</c:v>
                </c:pt>
                <c:pt idx="65">
                  <c:v>377.1</c:v>
                </c:pt>
                <c:pt idx="66">
                  <c:v>336.3</c:v>
                </c:pt>
                <c:pt idx="67">
                  <c:v>377.84</c:v>
                </c:pt>
                <c:pt idx="68">
                  <c:v>335.41</c:v>
                </c:pt>
                <c:pt idx="69">
                  <c:v>290.43</c:v>
                </c:pt>
                <c:pt idx="70">
                  <c:v>301.79000000000002</c:v>
                </c:pt>
                <c:pt idx="71">
                  <c:v>292.54000000000002</c:v>
                </c:pt>
                <c:pt idx="72">
                  <c:v>376.17</c:v>
                </c:pt>
                <c:pt idx="73">
                  <c:v>339.27</c:v>
                </c:pt>
                <c:pt idx="74">
                  <c:v>394.45</c:v>
                </c:pt>
                <c:pt idx="75">
                  <c:v>381.53</c:v>
                </c:pt>
                <c:pt idx="76">
                  <c:v>385.86</c:v>
                </c:pt>
                <c:pt idx="77">
                  <c:v>346.83</c:v>
                </c:pt>
                <c:pt idx="78">
                  <c:v>378.21</c:v>
                </c:pt>
                <c:pt idx="79">
                  <c:v>306.06</c:v>
                </c:pt>
                <c:pt idx="80">
                  <c:v>302.5</c:v>
                </c:pt>
                <c:pt idx="81">
                  <c:v>350.88</c:v>
                </c:pt>
                <c:pt idx="82">
                  <c:v>300.23</c:v>
                </c:pt>
                <c:pt idx="83">
                  <c:v>320.39999999999998</c:v>
                </c:pt>
                <c:pt idx="84">
                  <c:v>316</c:v>
                </c:pt>
                <c:pt idx="85">
                  <c:v>369.94</c:v>
                </c:pt>
                <c:pt idx="86">
                  <c:v>361.89</c:v>
                </c:pt>
                <c:pt idx="87">
                  <c:v>344.77</c:v>
                </c:pt>
                <c:pt idx="88">
                  <c:v>334.85</c:v>
                </c:pt>
                <c:pt idx="89">
                  <c:v>368.95</c:v>
                </c:pt>
                <c:pt idx="90">
                  <c:v>292.37</c:v>
                </c:pt>
                <c:pt idx="91">
                  <c:v>325.58999999999997</c:v>
                </c:pt>
                <c:pt idx="92">
                  <c:v>346.97</c:v>
                </c:pt>
                <c:pt idx="93">
                  <c:v>338.15</c:v>
                </c:pt>
                <c:pt idx="94">
                  <c:v>356.37</c:v>
                </c:pt>
                <c:pt idx="95">
                  <c:v>342.08</c:v>
                </c:pt>
                <c:pt idx="96">
                  <c:v>262.94</c:v>
                </c:pt>
                <c:pt idx="97">
                  <c:v>254.65</c:v>
                </c:pt>
                <c:pt idx="98">
                  <c:v>274.92</c:v>
                </c:pt>
                <c:pt idx="99">
                  <c:v>279.45999999999998</c:v>
                </c:pt>
                <c:pt idx="100">
                  <c:v>275.61</c:v>
                </c:pt>
                <c:pt idx="101">
                  <c:v>283.70999999999998</c:v>
                </c:pt>
                <c:pt idx="102">
                  <c:v>277.16000000000003</c:v>
                </c:pt>
                <c:pt idx="103">
                  <c:v>260.06</c:v>
                </c:pt>
                <c:pt idx="104">
                  <c:v>265.97000000000003</c:v>
                </c:pt>
                <c:pt idx="105">
                  <c:v>264.98</c:v>
                </c:pt>
                <c:pt idx="106">
                  <c:v>377.65</c:v>
                </c:pt>
                <c:pt idx="107">
                  <c:v>389.99</c:v>
                </c:pt>
                <c:pt idx="108">
                  <c:v>357</c:v>
                </c:pt>
                <c:pt idx="109">
                  <c:v>397.92</c:v>
                </c:pt>
                <c:pt idx="110">
                  <c:v>394.43</c:v>
                </c:pt>
                <c:pt idx="111">
                  <c:v>376.38</c:v>
                </c:pt>
                <c:pt idx="112">
                  <c:v>386.83</c:v>
                </c:pt>
                <c:pt idx="113">
                  <c:v>406.46</c:v>
                </c:pt>
                <c:pt idx="114">
                  <c:v>406.13</c:v>
                </c:pt>
                <c:pt idx="115">
                  <c:v>385.14</c:v>
                </c:pt>
                <c:pt idx="116">
                  <c:v>384.07</c:v>
                </c:pt>
                <c:pt idx="117">
                  <c:v>321.63</c:v>
                </c:pt>
                <c:pt idx="118">
                  <c:v>398.77</c:v>
                </c:pt>
                <c:pt idx="119">
                  <c:v>365.19</c:v>
                </c:pt>
                <c:pt idx="120">
                  <c:v>386.85</c:v>
                </c:pt>
                <c:pt idx="121">
                  <c:v>372.05</c:v>
                </c:pt>
                <c:pt idx="122">
                  <c:v>403.28</c:v>
                </c:pt>
                <c:pt idx="123">
                  <c:v>376.91</c:v>
                </c:pt>
                <c:pt idx="124">
                  <c:v>387.6</c:v>
                </c:pt>
                <c:pt idx="125">
                  <c:v>391.15</c:v>
                </c:pt>
                <c:pt idx="126">
                  <c:v>379.92</c:v>
                </c:pt>
                <c:pt idx="127">
                  <c:v>357.88</c:v>
                </c:pt>
                <c:pt idx="128">
                  <c:v>343.37</c:v>
                </c:pt>
                <c:pt idx="129">
                  <c:v>337.54</c:v>
                </c:pt>
                <c:pt idx="130">
                  <c:v>363.07</c:v>
                </c:pt>
                <c:pt idx="131">
                  <c:v>385.96</c:v>
                </c:pt>
                <c:pt idx="132">
                  <c:v>374.42</c:v>
                </c:pt>
                <c:pt idx="133">
                  <c:v>315.85599999999999</c:v>
                </c:pt>
                <c:pt idx="134">
                  <c:v>376.46100000000001</c:v>
                </c:pt>
                <c:pt idx="135">
                  <c:v>269.60899999999998</c:v>
                </c:pt>
                <c:pt idx="136">
                  <c:v>281.84500000000003</c:v>
                </c:pt>
                <c:pt idx="137">
                  <c:v>405</c:v>
                </c:pt>
                <c:pt idx="138">
                  <c:v>351</c:v>
                </c:pt>
                <c:pt idx="139">
                  <c:v>404</c:v>
                </c:pt>
                <c:pt idx="140">
                  <c:v>334</c:v>
                </c:pt>
                <c:pt idx="141">
                  <c:v>328</c:v>
                </c:pt>
                <c:pt idx="142">
                  <c:v>367</c:v>
                </c:pt>
              </c:numCache>
            </c:numRef>
          </c:xVal>
          <c:yVal>
            <c:numRef>
              <c:f>'All data'!$X$2:$X$144</c:f>
              <c:numCache>
                <c:formatCode>General</c:formatCode>
                <c:ptCount val="143"/>
                <c:pt idx="49">
                  <c:v>180.624</c:v>
                </c:pt>
                <c:pt idx="50">
                  <c:v>193.64400000000001</c:v>
                </c:pt>
                <c:pt idx="51">
                  <c:v>146.78700000000001</c:v>
                </c:pt>
                <c:pt idx="52">
                  <c:v>184.41200000000001</c:v>
                </c:pt>
                <c:pt idx="53">
                  <c:v>118.62</c:v>
                </c:pt>
                <c:pt idx="54">
                  <c:v>174.834</c:v>
                </c:pt>
                <c:pt idx="55">
                  <c:v>218.81700000000001</c:v>
                </c:pt>
                <c:pt idx="56">
                  <c:v>113.054</c:v>
                </c:pt>
                <c:pt idx="57">
                  <c:v>186.58699999999999</c:v>
                </c:pt>
                <c:pt idx="58">
                  <c:v>161.708</c:v>
                </c:pt>
                <c:pt idx="59">
                  <c:v>189.422</c:v>
                </c:pt>
                <c:pt idx="60">
                  <c:v>229.589</c:v>
                </c:pt>
                <c:pt idx="61">
                  <c:v>116.35299999999999</c:v>
                </c:pt>
                <c:pt idx="62">
                  <c:v>157.33199999999999</c:v>
                </c:pt>
                <c:pt idx="63">
                  <c:v>113.61199999999999</c:v>
                </c:pt>
                <c:pt idx="64">
                  <c:v>120.88200000000001</c:v>
                </c:pt>
                <c:pt idx="65">
                  <c:v>125.791</c:v>
                </c:pt>
                <c:pt idx="66">
                  <c:v>85.475999999999999</c:v>
                </c:pt>
                <c:pt idx="67">
                  <c:v>198.28399999999999</c:v>
                </c:pt>
                <c:pt idx="68">
                  <c:v>138.876</c:v>
                </c:pt>
                <c:pt idx="69">
                  <c:v>197.87100000000001</c:v>
                </c:pt>
                <c:pt idx="70">
                  <c:v>261.73</c:v>
                </c:pt>
                <c:pt idx="71">
                  <c:v>199.93100000000001</c:v>
                </c:pt>
                <c:pt idx="72">
                  <c:v>216.39099999999999</c:v>
                </c:pt>
                <c:pt idx="73">
                  <c:v>141.12299999999999</c:v>
                </c:pt>
                <c:pt idx="74">
                  <c:v>240.292</c:v>
                </c:pt>
                <c:pt idx="75">
                  <c:v>145.92500000000001</c:v>
                </c:pt>
                <c:pt idx="76">
                  <c:v>197.18299999999999</c:v>
                </c:pt>
                <c:pt idx="77">
                  <c:v>108.97499999999999</c:v>
                </c:pt>
                <c:pt idx="78">
                  <c:v>177.25</c:v>
                </c:pt>
                <c:pt idx="79">
                  <c:v>98.834999999999994</c:v>
                </c:pt>
                <c:pt idx="80">
                  <c:v>129.00299999999999</c:v>
                </c:pt>
                <c:pt idx="81">
                  <c:v>137.59299999999999</c:v>
                </c:pt>
                <c:pt idx="82">
                  <c:v>90.197999999999993</c:v>
                </c:pt>
                <c:pt idx="83">
                  <c:v>154.9</c:v>
                </c:pt>
                <c:pt idx="84">
                  <c:v>116.86799999999999</c:v>
                </c:pt>
                <c:pt idx="85">
                  <c:v>192.607</c:v>
                </c:pt>
                <c:pt idx="86">
                  <c:v>215.92599999999999</c:v>
                </c:pt>
                <c:pt idx="87">
                  <c:v>172.244</c:v>
                </c:pt>
                <c:pt idx="88">
                  <c:v>153.172</c:v>
                </c:pt>
                <c:pt idx="89">
                  <c:v>158.63900000000001</c:v>
                </c:pt>
                <c:pt idx="90">
                  <c:v>162.32300000000001</c:v>
                </c:pt>
                <c:pt idx="91">
                  <c:v>216.297</c:v>
                </c:pt>
                <c:pt idx="92">
                  <c:v>154.017</c:v>
                </c:pt>
                <c:pt idx="93">
                  <c:v>166.155</c:v>
                </c:pt>
                <c:pt idx="94">
                  <c:v>170.58099999999999</c:v>
                </c:pt>
                <c:pt idx="95">
                  <c:v>127.97799999999999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9C-456C-ADB2-89D883134DD3}"/>
            </c:ext>
          </c:extLst>
        </c:ser>
        <c:ser>
          <c:idx val="2"/>
          <c:order val="2"/>
          <c:tx>
            <c:strRef>
              <c:f>'All data'!$Y$1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315835520559929"/>
                  <c:y val="0.157128900554097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'All data'!$E$2:$E$144</c:f>
              <c:numCache>
                <c:formatCode>General</c:formatCode>
                <c:ptCount val="143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  <c:pt idx="49">
                  <c:v>391.83</c:v>
                </c:pt>
                <c:pt idx="50">
                  <c:v>358.69</c:v>
                </c:pt>
                <c:pt idx="51">
                  <c:v>376.24</c:v>
                </c:pt>
                <c:pt idx="52">
                  <c:v>360.65</c:v>
                </c:pt>
                <c:pt idx="53">
                  <c:v>332.78</c:v>
                </c:pt>
                <c:pt idx="54">
                  <c:v>330.1</c:v>
                </c:pt>
                <c:pt idx="55">
                  <c:v>384.32</c:v>
                </c:pt>
                <c:pt idx="56">
                  <c:v>339.23</c:v>
                </c:pt>
                <c:pt idx="57">
                  <c:v>358</c:v>
                </c:pt>
                <c:pt idx="58">
                  <c:v>343.93</c:v>
                </c:pt>
                <c:pt idx="59">
                  <c:v>384.98</c:v>
                </c:pt>
                <c:pt idx="60">
                  <c:v>405.67</c:v>
                </c:pt>
                <c:pt idx="61">
                  <c:v>383.56</c:v>
                </c:pt>
                <c:pt idx="62">
                  <c:v>374.09</c:v>
                </c:pt>
                <c:pt idx="63">
                  <c:v>370.11</c:v>
                </c:pt>
                <c:pt idx="64">
                  <c:v>388.07</c:v>
                </c:pt>
                <c:pt idx="65">
                  <c:v>377.1</c:v>
                </c:pt>
                <c:pt idx="66">
                  <c:v>336.3</c:v>
                </c:pt>
                <c:pt idx="67">
                  <c:v>377.84</c:v>
                </c:pt>
                <c:pt idx="68">
                  <c:v>335.41</c:v>
                </c:pt>
                <c:pt idx="69">
                  <c:v>290.43</c:v>
                </c:pt>
                <c:pt idx="70">
                  <c:v>301.79000000000002</c:v>
                </c:pt>
                <c:pt idx="71">
                  <c:v>292.54000000000002</c:v>
                </c:pt>
                <c:pt idx="72">
                  <c:v>376.17</c:v>
                </c:pt>
                <c:pt idx="73">
                  <c:v>339.27</c:v>
                </c:pt>
                <c:pt idx="74">
                  <c:v>394.45</c:v>
                </c:pt>
                <c:pt idx="75">
                  <c:v>381.53</c:v>
                </c:pt>
                <c:pt idx="76">
                  <c:v>385.86</c:v>
                </c:pt>
                <c:pt idx="77">
                  <c:v>346.83</c:v>
                </c:pt>
                <c:pt idx="78">
                  <c:v>378.21</c:v>
                </c:pt>
                <c:pt idx="79">
                  <c:v>306.06</c:v>
                </c:pt>
                <c:pt idx="80">
                  <c:v>302.5</c:v>
                </c:pt>
                <c:pt idx="81">
                  <c:v>350.88</c:v>
                </c:pt>
                <c:pt idx="82">
                  <c:v>300.23</c:v>
                </c:pt>
                <c:pt idx="83">
                  <c:v>320.39999999999998</c:v>
                </c:pt>
                <c:pt idx="84">
                  <c:v>316</c:v>
                </c:pt>
                <c:pt idx="85">
                  <c:v>369.94</c:v>
                </c:pt>
                <c:pt idx="86">
                  <c:v>361.89</c:v>
                </c:pt>
                <c:pt idx="87">
                  <c:v>344.77</c:v>
                </c:pt>
                <c:pt idx="88">
                  <c:v>334.85</c:v>
                </c:pt>
                <c:pt idx="89">
                  <c:v>368.95</c:v>
                </c:pt>
                <c:pt idx="90">
                  <c:v>292.37</c:v>
                </c:pt>
                <c:pt idx="91">
                  <c:v>325.58999999999997</c:v>
                </c:pt>
                <c:pt idx="92">
                  <c:v>346.97</c:v>
                </c:pt>
                <c:pt idx="93">
                  <c:v>338.15</c:v>
                </c:pt>
                <c:pt idx="94">
                  <c:v>356.37</c:v>
                </c:pt>
                <c:pt idx="95">
                  <c:v>342.08</c:v>
                </c:pt>
                <c:pt idx="96">
                  <c:v>262.94</c:v>
                </c:pt>
                <c:pt idx="97">
                  <c:v>254.65</c:v>
                </c:pt>
                <c:pt idx="98">
                  <c:v>274.92</c:v>
                </c:pt>
                <c:pt idx="99">
                  <c:v>279.45999999999998</c:v>
                </c:pt>
                <c:pt idx="100">
                  <c:v>275.61</c:v>
                </c:pt>
                <c:pt idx="101">
                  <c:v>283.70999999999998</c:v>
                </c:pt>
                <c:pt idx="102">
                  <c:v>277.16000000000003</c:v>
                </c:pt>
                <c:pt idx="103">
                  <c:v>260.06</c:v>
                </c:pt>
                <c:pt idx="104">
                  <c:v>265.97000000000003</c:v>
                </c:pt>
                <c:pt idx="105">
                  <c:v>264.98</c:v>
                </c:pt>
                <c:pt idx="106">
                  <c:v>377.65</c:v>
                </c:pt>
                <c:pt idx="107">
                  <c:v>389.99</c:v>
                </c:pt>
                <c:pt idx="108">
                  <c:v>357</c:v>
                </c:pt>
                <c:pt idx="109">
                  <c:v>397.92</c:v>
                </c:pt>
                <c:pt idx="110">
                  <c:v>394.43</c:v>
                </c:pt>
                <c:pt idx="111">
                  <c:v>376.38</c:v>
                </c:pt>
                <c:pt idx="112">
                  <c:v>386.83</c:v>
                </c:pt>
                <c:pt idx="113">
                  <c:v>406.46</c:v>
                </c:pt>
                <c:pt idx="114">
                  <c:v>406.13</c:v>
                </c:pt>
                <c:pt idx="115">
                  <c:v>385.14</c:v>
                </c:pt>
                <c:pt idx="116">
                  <c:v>384.07</c:v>
                </c:pt>
                <c:pt idx="117">
                  <c:v>321.63</c:v>
                </c:pt>
                <c:pt idx="118">
                  <c:v>398.77</c:v>
                </c:pt>
                <c:pt idx="119">
                  <c:v>365.19</c:v>
                </c:pt>
                <c:pt idx="120">
                  <c:v>386.85</c:v>
                </c:pt>
                <c:pt idx="121">
                  <c:v>372.05</c:v>
                </c:pt>
                <c:pt idx="122">
                  <c:v>403.28</c:v>
                </c:pt>
                <c:pt idx="123">
                  <c:v>376.91</c:v>
                </c:pt>
                <c:pt idx="124">
                  <c:v>387.6</c:v>
                </c:pt>
                <c:pt idx="125">
                  <c:v>391.15</c:v>
                </c:pt>
                <c:pt idx="126">
                  <c:v>379.92</c:v>
                </c:pt>
                <c:pt idx="127">
                  <c:v>357.88</c:v>
                </c:pt>
                <c:pt idx="128">
                  <c:v>343.37</c:v>
                </c:pt>
                <c:pt idx="129">
                  <c:v>337.54</c:v>
                </c:pt>
                <c:pt idx="130">
                  <c:v>363.07</c:v>
                </c:pt>
                <c:pt idx="131">
                  <c:v>385.96</c:v>
                </c:pt>
                <c:pt idx="132">
                  <c:v>374.42</c:v>
                </c:pt>
                <c:pt idx="133">
                  <c:v>315.85599999999999</c:v>
                </c:pt>
                <c:pt idx="134">
                  <c:v>376.46100000000001</c:v>
                </c:pt>
                <c:pt idx="135">
                  <c:v>269.60899999999998</c:v>
                </c:pt>
                <c:pt idx="136">
                  <c:v>281.84500000000003</c:v>
                </c:pt>
                <c:pt idx="137">
                  <c:v>405</c:v>
                </c:pt>
                <c:pt idx="138">
                  <c:v>351</c:v>
                </c:pt>
                <c:pt idx="139">
                  <c:v>404</c:v>
                </c:pt>
                <c:pt idx="140">
                  <c:v>334</c:v>
                </c:pt>
                <c:pt idx="141">
                  <c:v>328</c:v>
                </c:pt>
                <c:pt idx="142">
                  <c:v>367</c:v>
                </c:pt>
              </c:numCache>
            </c:numRef>
          </c:xVal>
          <c:yVal>
            <c:numRef>
              <c:f>'All data'!$Y$2:$Y$144</c:f>
              <c:numCache>
                <c:formatCode>General</c:formatCode>
                <c:ptCount val="143"/>
                <c:pt idx="96">
                  <c:v>125.965</c:v>
                </c:pt>
                <c:pt idx="97">
                  <c:v>88.430999999999997</c:v>
                </c:pt>
                <c:pt idx="98">
                  <c:v>85.688999999999993</c:v>
                </c:pt>
                <c:pt idx="99">
                  <c:v>82.605000000000004</c:v>
                </c:pt>
                <c:pt idx="100">
                  <c:v>96.277000000000001</c:v>
                </c:pt>
                <c:pt idx="101">
                  <c:v>110.645</c:v>
                </c:pt>
                <c:pt idx="102">
                  <c:v>126.71</c:v>
                </c:pt>
                <c:pt idx="103">
                  <c:v>124.595</c:v>
                </c:pt>
                <c:pt idx="104">
                  <c:v>93.076999999999998</c:v>
                </c:pt>
                <c:pt idx="105">
                  <c:v>110.51600000000001</c:v>
                </c:pt>
                <c:pt idx="106">
                  <c:v>133.48699999999999</c:v>
                </c:pt>
                <c:pt idx="107">
                  <c:v>115.869</c:v>
                </c:pt>
                <c:pt idx="108">
                  <c:v>121.268</c:v>
                </c:pt>
                <c:pt idx="109">
                  <c:v>143.64699999999999</c:v>
                </c:pt>
                <c:pt idx="110">
                  <c:v>168.876</c:v>
                </c:pt>
                <c:pt idx="111">
                  <c:v>133.46100000000001</c:v>
                </c:pt>
                <c:pt idx="112">
                  <c:v>103.893</c:v>
                </c:pt>
                <c:pt idx="113">
                  <c:v>210.93299999999999</c:v>
                </c:pt>
                <c:pt idx="114">
                  <c:v>206.04400000000001</c:v>
                </c:pt>
                <c:pt idx="115">
                  <c:v>131.07499999999999</c:v>
                </c:pt>
                <c:pt idx="116">
                  <c:v>195.38300000000001</c:v>
                </c:pt>
                <c:pt idx="117">
                  <c:v>165.649</c:v>
                </c:pt>
                <c:pt idx="118">
                  <c:v>193.09200000000001</c:v>
                </c:pt>
                <c:pt idx="119">
                  <c:v>200.98699999999999</c:v>
                </c:pt>
                <c:pt idx="120">
                  <c:v>206.554</c:v>
                </c:pt>
                <c:pt idx="121">
                  <c:v>198.59700000000001</c:v>
                </c:pt>
                <c:pt idx="122">
                  <c:v>241.821</c:v>
                </c:pt>
                <c:pt idx="123">
                  <c:v>209.17699999999999</c:v>
                </c:pt>
                <c:pt idx="124">
                  <c:v>175.21100000000001</c:v>
                </c:pt>
                <c:pt idx="125">
                  <c:v>176.86600000000001</c:v>
                </c:pt>
                <c:pt idx="126">
                  <c:v>156.27099999999999</c:v>
                </c:pt>
                <c:pt idx="127">
                  <c:v>149.75399999999999</c:v>
                </c:pt>
                <c:pt idx="128">
                  <c:v>118.187</c:v>
                </c:pt>
                <c:pt idx="129">
                  <c:v>98.501000000000005</c:v>
                </c:pt>
                <c:pt idx="130">
                  <c:v>117.621</c:v>
                </c:pt>
                <c:pt idx="131">
                  <c:v>176.95599999999999</c:v>
                </c:pt>
                <c:pt idx="132">
                  <c:v>107.989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9C-456C-ADB2-89D883134DD3}"/>
            </c:ext>
          </c:extLst>
        </c:ser>
        <c:ser>
          <c:idx val="3"/>
          <c:order val="3"/>
          <c:tx>
            <c:strRef>
              <c:f>'All data'!$Z$1</c:f>
              <c:strCache>
                <c:ptCount val="1"/>
                <c:pt idx="0">
                  <c:v>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067357017531279"/>
                  <c:y val="0.298954317901528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'All data'!$E$2:$E$144</c:f>
              <c:numCache>
                <c:formatCode>General</c:formatCode>
                <c:ptCount val="143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  <c:pt idx="49">
                  <c:v>391.83</c:v>
                </c:pt>
                <c:pt idx="50">
                  <c:v>358.69</c:v>
                </c:pt>
                <c:pt idx="51">
                  <c:v>376.24</c:v>
                </c:pt>
                <c:pt idx="52">
                  <c:v>360.65</c:v>
                </c:pt>
                <c:pt idx="53">
                  <c:v>332.78</c:v>
                </c:pt>
                <c:pt idx="54">
                  <c:v>330.1</c:v>
                </c:pt>
                <c:pt idx="55">
                  <c:v>384.32</c:v>
                </c:pt>
                <c:pt idx="56">
                  <c:v>339.23</c:v>
                </c:pt>
                <c:pt idx="57">
                  <c:v>358</c:v>
                </c:pt>
                <c:pt idx="58">
                  <c:v>343.93</c:v>
                </c:pt>
                <c:pt idx="59">
                  <c:v>384.98</c:v>
                </c:pt>
                <c:pt idx="60">
                  <c:v>405.67</c:v>
                </c:pt>
                <c:pt idx="61">
                  <c:v>383.56</c:v>
                </c:pt>
                <c:pt idx="62">
                  <c:v>374.09</c:v>
                </c:pt>
                <c:pt idx="63">
                  <c:v>370.11</c:v>
                </c:pt>
                <c:pt idx="64">
                  <c:v>388.07</c:v>
                </c:pt>
                <c:pt idx="65">
                  <c:v>377.1</c:v>
                </c:pt>
                <c:pt idx="66">
                  <c:v>336.3</c:v>
                </c:pt>
                <c:pt idx="67">
                  <c:v>377.84</c:v>
                </c:pt>
                <c:pt idx="68">
                  <c:v>335.41</c:v>
                </c:pt>
                <c:pt idx="69">
                  <c:v>290.43</c:v>
                </c:pt>
                <c:pt idx="70">
                  <c:v>301.79000000000002</c:v>
                </c:pt>
                <c:pt idx="71">
                  <c:v>292.54000000000002</c:v>
                </c:pt>
                <c:pt idx="72">
                  <c:v>376.17</c:v>
                </c:pt>
                <c:pt idx="73">
                  <c:v>339.27</c:v>
                </c:pt>
                <c:pt idx="74">
                  <c:v>394.45</c:v>
                </c:pt>
                <c:pt idx="75">
                  <c:v>381.53</c:v>
                </c:pt>
                <c:pt idx="76">
                  <c:v>385.86</c:v>
                </c:pt>
                <c:pt idx="77">
                  <c:v>346.83</c:v>
                </c:pt>
                <c:pt idx="78">
                  <c:v>378.21</c:v>
                </c:pt>
                <c:pt idx="79">
                  <c:v>306.06</c:v>
                </c:pt>
                <c:pt idx="80">
                  <c:v>302.5</c:v>
                </c:pt>
                <c:pt idx="81">
                  <c:v>350.88</c:v>
                </c:pt>
                <c:pt idx="82">
                  <c:v>300.23</c:v>
                </c:pt>
                <c:pt idx="83">
                  <c:v>320.39999999999998</c:v>
                </c:pt>
                <c:pt idx="84">
                  <c:v>316</c:v>
                </c:pt>
                <c:pt idx="85">
                  <c:v>369.94</c:v>
                </c:pt>
                <c:pt idx="86">
                  <c:v>361.89</c:v>
                </c:pt>
                <c:pt idx="87">
                  <c:v>344.77</c:v>
                </c:pt>
                <c:pt idx="88">
                  <c:v>334.85</c:v>
                </c:pt>
                <c:pt idx="89">
                  <c:v>368.95</c:v>
                </c:pt>
                <c:pt idx="90">
                  <c:v>292.37</c:v>
                </c:pt>
                <c:pt idx="91">
                  <c:v>325.58999999999997</c:v>
                </c:pt>
                <c:pt idx="92">
                  <c:v>346.97</c:v>
                </c:pt>
                <c:pt idx="93">
                  <c:v>338.15</c:v>
                </c:pt>
                <c:pt idx="94">
                  <c:v>356.37</c:v>
                </c:pt>
                <c:pt idx="95">
                  <c:v>342.08</c:v>
                </c:pt>
                <c:pt idx="96">
                  <c:v>262.94</c:v>
                </c:pt>
                <c:pt idx="97">
                  <c:v>254.65</c:v>
                </c:pt>
                <c:pt idx="98">
                  <c:v>274.92</c:v>
                </c:pt>
                <c:pt idx="99">
                  <c:v>279.45999999999998</c:v>
                </c:pt>
                <c:pt idx="100">
                  <c:v>275.61</c:v>
                </c:pt>
                <c:pt idx="101">
                  <c:v>283.70999999999998</c:v>
                </c:pt>
                <c:pt idx="102">
                  <c:v>277.16000000000003</c:v>
                </c:pt>
                <c:pt idx="103">
                  <c:v>260.06</c:v>
                </c:pt>
                <c:pt idx="104">
                  <c:v>265.97000000000003</c:v>
                </c:pt>
                <c:pt idx="105">
                  <c:v>264.98</c:v>
                </c:pt>
                <c:pt idx="106">
                  <c:v>377.65</c:v>
                </c:pt>
                <c:pt idx="107">
                  <c:v>389.99</c:v>
                </c:pt>
                <c:pt idx="108">
                  <c:v>357</c:v>
                </c:pt>
                <c:pt idx="109">
                  <c:v>397.92</c:v>
                </c:pt>
                <c:pt idx="110">
                  <c:v>394.43</c:v>
                </c:pt>
                <c:pt idx="111">
                  <c:v>376.38</c:v>
                </c:pt>
                <c:pt idx="112">
                  <c:v>386.83</c:v>
                </c:pt>
                <c:pt idx="113">
                  <c:v>406.46</c:v>
                </c:pt>
                <c:pt idx="114">
                  <c:v>406.13</c:v>
                </c:pt>
                <c:pt idx="115">
                  <c:v>385.14</c:v>
                </c:pt>
                <c:pt idx="116">
                  <c:v>384.07</c:v>
                </c:pt>
                <c:pt idx="117">
                  <c:v>321.63</c:v>
                </c:pt>
                <c:pt idx="118">
                  <c:v>398.77</c:v>
                </c:pt>
                <c:pt idx="119">
                  <c:v>365.19</c:v>
                </c:pt>
                <c:pt idx="120">
                  <c:v>386.85</c:v>
                </c:pt>
                <c:pt idx="121">
                  <c:v>372.05</c:v>
                </c:pt>
                <c:pt idx="122">
                  <c:v>403.28</c:v>
                </c:pt>
                <c:pt idx="123">
                  <c:v>376.91</c:v>
                </c:pt>
                <c:pt idx="124">
                  <c:v>387.6</c:v>
                </c:pt>
                <c:pt idx="125">
                  <c:v>391.15</c:v>
                </c:pt>
                <c:pt idx="126">
                  <c:v>379.92</c:v>
                </c:pt>
                <c:pt idx="127">
                  <c:v>357.88</c:v>
                </c:pt>
                <c:pt idx="128">
                  <c:v>343.37</c:v>
                </c:pt>
                <c:pt idx="129">
                  <c:v>337.54</c:v>
                </c:pt>
                <c:pt idx="130">
                  <c:v>363.07</c:v>
                </c:pt>
                <c:pt idx="131">
                  <c:v>385.96</c:v>
                </c:pt>
                <c:pt idx="132">
                  <c:v>374.42</c:v>
                </c:pt>
                <c:pt idx="133">
                  <c:v>315.85599999999999</c:v>
                </c:pt>
                <c:pt idx="134">
                  <c:v>376.46100000000001</c:v>
                </c:pt>
                <c:pt idx="135">
                  <c:v>269.60899999999998</c:v>
                </c:pt>
                <c:pt idx="136">
                  <c:v>281.84500000000003</c:v>
                </c:pt>
                <c:pt idx="137">
                  <c:v>405</c:v>
                </c:pt>
                <c:pt idx="138">
                  <c:v>351</c:v>
                </c:pt>
                <c:pt idx="139">
                  <c:v>404</c:v>
                </c:pt>
                <c:pt idx="140">
                  <c:v>334</c:v>
                </c:pt>
                <c:pt idx="141">
                  <c:v>328</c:v>
                </c:pt>
                <c:pt idx="142">
                  <c:v>367</c:v>
                </c:pt>
              </c:numCache>
            </c:numRef>
          </c:xVal>
          <c:yVal>
            <c:numRef>
              <c:f>'All data'!$Z$2:$Z$144</c:f>
              <c:numCache>
                <c:formatCode>General</c:formatCode>
                <c:ptCount val="143"/>
                <c:pt idx="137">
                  <c:v>239</c:v>
                </c:pt>
                <c:pt idx="138">
                  <c:v>199</c:v>
                </c:pt>
                <c:pt idx="139">
                  <c:v>111</c:v>
                </c:pt>
                <c:pt idx="140">
                  <c:v>160</c:v>
                </c:pt>
                <c:pt idx="141">
                  <c:v>145</c:v>
                </c:pt>
                <c:pt idx="142">
                  <c:v>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B9C-456C-ADB2-89D883134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922287"/>
        <c:axId val="1040922767"/>
      </c:scatterChart>
      <c:valAx>
        <c:axId val="1040922287"/>
        <c:scaling>
          <c:orientation val="minMax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BL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40922767"/>
        <c:crosses val="autoZero"/>
        <c:crossBetween val="midCat"/>
      </c:valAx>
      <c:valAx>
        <c:axId val="1040922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Parameter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4092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pH!$X$1</c:f>
              <c:strCache>
                <c:ptCount val="1"/>
                <c:pt idx="0">
                  <c:v>pH8.1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44776749289593"/>
                  <c:y val="-0.200213171370727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pH!$X$2:$X$48</c:f>
              <c:numCache>
                <c:formatCode>General</c:formatCode>
                <c:ptCount val="47"/>
                <c:pt idx="0">
                  <c:v>180.624</c:v>
                </c:pt>
                <c:pt idx="1">
                  <c:v>193.64400000000001</c:v>
                </c:pt>
                <c:pt idx="2">
                  <c:v>146.78700000000001</c:v>
                </c:pt>
                <c:pt idx="3">
                  <c:v>184.41200000000001</c:v>
                </c:pt>
                <c:pt idx="4">
                  <c:v>118.62</c:v>
                </c:pt>
                <c:pt idx="5">
                  <c:v>174.834</c:v>
                </c:pt>
                <c:pt idx="6">
                  <c:v>218.81700000000001</c:v>
                </c:pt>
                <c:pt idx="7">
                  <c:v>113.054</c:v>
                </c:pt>
                <c:pt idx="8">
                  <c:v>186.58699999999999</c:v>
                </c:pt>
                <c:pt idx="9">
                  <c:v>161.708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5-49A3-B2A0-3F5DCC40B85B}"/>
            </c:ext>
          </c:extLst>
        </c:ser>
        <c:ser>
          <c:idx val="1"/>
          <c:order val="1"/>
          <c:tx>
            <c:strRef>
              <c:f>pH!$Y$1</c:f>
              <c:strCache>
                <c:ptCount val="1"/>
                <c:pt idx="0">
                  <c:v>pH7.95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08656231073703"/>
                  <c:y val="-0.241467786114088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pH!$Y$2:$Y$48</c:f>
              <c:numCache>
                <c:formatCode>General</c:formatCode>
                <c:ptCount val="47"/>
                <c:pt idx="10">
                  <c:v>189.422</c:v>
                </c:pt>
                <c:pt idx="11">
                  <c:v>229.589</c:v>
                </c:pt>
                <c:pt idx="12">
                  <c:v>116.35299999999999</c:v>
                </c:pt>
                <c:pt idx="13">
                  <c:v>157.33199999999999</c:v>
                </c:pt>
                <c:pt idx="14">
                  <c:v>113.61199999999999</c:v>
                </c:pt>
                <c:pt idx="15">
                  <c:v>120.88200000000001</c:v>
                </c:pt>
                <c:pt idx="16">
                  <c:v>125.791</c:v>
                </c:pt>
                <c:pt idx="17">
                  <c:v>85.475999999999999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F5-49A3-B2A0-3F5DCC40B85B}"/>
            </c:ext>
          </c:extLst>
        </c:ser>
        <c:ser>
          <c:idx val="2"/>
          <c:order val="2"/>
          <c:tx>
            <c:strRef>
              <c:f>pH!$Z$1</c:f>
              <c:strCache>
                <c:ptCount val="1"/>
                <c:pt idx="0">
                  <c:v>pH7.7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67804305237392"/>
                  <c:y val="-0.254815410265571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pH!$Z$2:$Z$48</c:f>
              <c:numCache>
                <c:formatCode>General</c:formatCode>
                <c:ptCount val="47"/>
                <c:pt idx="18">
                  <c:v>198.28399999999999</c:v>
                </c:pt>
                <c:pt idx="19">
                  <c:v>138.876</c:v>
                </c:pt>
                <c:pt idx="20">
                  <c:v>197.87100000000001</c:v>
                </c:pt>
                <c:pt idx="21">
                  <c:v>261.73</c:v>
                </c:pt>
                <c:pt idx="22">
                  <c:v>199.93100000000001</c:v>
                </c:pt>
                <c:pt idx="23">
                  <c:v>216.39099999999999</c:v>
                </c:pt>
                <c:pt idx="24">
                  <c:v>141.12299999999999</c:v>
                </c:pt>
                <c:pt idx="25">
                  <c:v>240.292</c:v>
                </c:pt>
                <c:pt idx="26">
                  <c:v>145.92500000000001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F5-49A3-B2A0-3F5DCC40B85B}"/>
            </c:ext>
          </c:extLst>
        </c:ser>
        <c:ser>
          <c:idx val="3"/>
          <c:order val="3"/>
          <c:tx>
            <c:strRef>
              <c:f>pH!$AA$1</c:f>
              <c:strCache>
                <c:ptCount val="1"/>
                <c:pt idx="0">
                  <c:v>pH7.45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761472019806924E-2"/>
                  <c:y val="-0.197132309158032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pH!$AA$2:$AA$48</c:f>
              <c:numCache>
                <c:formatCode>General</c:formatCode>
                <c:ptCount val="47"/>
                <c:pt idx="27">
                  <c:v>197.18299999999999</c:v>
                </c:pt>
                <c:pt idx="28">
                  <c:v>108.97499999999999</c:v>
                </c:pt>
                <c:pt idx="29">
                  <c:v>177.25</c:v>
                </c:pt>
                <c:pt idx="30">
                  <c:v>98.834999999999994</c:v>
                </c:pt>
                <c:pt idx="31">
                  <c:v>129.00299999999999</c:v>
                </c:pt>
                <c:pt idx="32">
                  <c:v>137.59299999999999</c:v>
                </c:pt>
                <c:pt idx="33">
                  <c:v>90.197999999999993</c:v>
                </c:pt>
                <c:pt idx="34">
                  <c:v>154.9</c:v>
                </c:pt>
                <c:pt idx="35">
                  <c:v>116.86799999999999</c:v>
                </c:pt>
                <c:pt idx="36">
                  <c:v>192.607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F5-49A3-B2A0-3F5DCC40B85B}"/>
            </c:ext>
          </c:extLst>
        </c:ser>
        <c:ser>
          <c:idx val="4"/>
          <c:order val="4"/>
          <c:tx>
            <c:strRef>
              <c:f>pH!$AB$1</c:f>
              <c:strCache>
                <c:ptCount val="1"/>
                <c:pt idx="0">
                  <c:v>pH7.2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71261348374171"/>
                  <c:y val="-0.282094795760390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pH!$AB$2:$AB$48</c:f>
              <c:numCache>
                <c:formatCode>General</c:formatCode>
                <c:ptCount val="47"/>
                <c:pt idx="37">
                  <c:v>215.92599999999999</c:v>
                </c:pt>
                <c:pt idx="38">
                  <c:v>172.244</c:v>
                </c:pt>
                <c:pt idx="39">
                  <c:v>153.172</c:v>
                </c:pt>
                <c:pt idx="40">
                  <c:v>158.63900000000001</c:v>
                </c:pt>
                <c:pt idx="41">
                  <c:v>162.32300000000001</c:v>
                </c:pt>
                <c:pt idx="42">
                  <c:v>216.297</c:v>
                </c:pt>
                <c:pt idx="43">
                  <c:v>154.017</c:v>
                </c:pt>
                <c:pt idx="44">
                  <c:v>166.155</c:v>
                </c:pt>
                <c:pt idx="45">
                  <c:v>170.58099999999999</c:v>
                </c:pt>
                <c:pt idx="46">
                  <c:v>127.97799999999999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AF5-49A3-B2A0-3F5DCC40B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141039"/>
        <c:axId val="1436141999"/>
      </c:scatterChart>
      <c:valAx>
        <c:axId val="1436141039"/>
        <c:scaling>
          <c:orientation val="minMax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BL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141999"/>
        <c:crosses val="autoZero"/>
        <c:crossBetween val="midCat"/>
      </c:valAx>
      <c:valAx>
        <c:axId val="1436141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14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pH!$AE$1</c:f>
              <c:strCache>
                <c:ptCount val="1"/>
                <c:pt idx="0">
                  <c:v>StAL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7287959387899672"/>
                  <c:y val="0.211890798727296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pH!$AD$2:$AD$48</c:f>
              <c:numCache>
                <c:formatCode>General</c:formatCode>
                <c:ptCount val="47"/>
                <c:pt idx="0">
                  <c:v>8.1</c:v>
                </c:pt>
                <c:pt idx="1">
                  <c:v>8.1</c:v>
                </c:pt>
                <c:pt idx="2">
                  <c:v>8.1</c:v>
                </c:pt>
                <c:pt idx="3">
                  <c:v>8.1</c:v>
                </c:pt>
                <c:pt idx="4">
                  <c:v>8.1</c:v>
                </c:pt>
                <c:pt idx="5">
                  <c:v>8.1</c:v>
                </c:pt>
                <c:pt idx="6">
                  <c:v>8.1</c:v>
                </c:pt>
                <c:pt idx="7">
                  <c:v>8.1</c:v>
                </c:pt>
                <c:pt idx="8">
                  <c:v>8.1</c:v>
                </c:pt>
                <c:pt idx="9">
                  <c:v>8.1</c:v>
                </c:pt>
                <c:pt idx="10">
                  <c:v>7.95</c:v>
                </c:pt>
                <c:pt idx="11">
                  <c:v>7.95</c:v>
                </c:pt>
                <c:pt idx="12">
                  <c:v>7.95</c:v>
                </c:pt>
                <c:pt idx="13">
                  <c:v>7.95</c:v>
                </c:pt>
                <c:pt idx="14">
                  <c:v>7.95</c:v>
                </c:pt>
                <c:pt idx="15">
                  <c:v>7.95</c:v>
                </c:pt>
                <c:pt idx="16">
                  <c:v>7.95</c:v>
                </c:pt>
                <c:pt idx="17">
                  <c:v>7.95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7.7</c:v>
                </c:pt>
                <c:pt idx="25">
                  <c:v>7.7</c:v>
                </c:pt>
                <c:pt idx="26">
                  <c:v>7.7</c:v>
                </c:pt>
                <c:pt idx="27">
                  <c:v>7.45</c:v>
                </c:pt>
                <c:pt idx="28">
                  <c:v>7.45</c:v>
                </c:pt>
                <c:pt idx="29">
                  <c:v>7.45</c:v>
                </c:pt>
                <c:pt idx="30">
                  <c:v>7.45</c:v>
                </c:pt>
                <c:pt idx="31">
                  <c:v>7.45</c:v>
                </c:pt>
                <c:pt idx="32">
                  <c:v>7.45</c:v>
                </c:pt>
                <c:pt idx="33">
                  <c:v>7.45</c:v>
                </c:pt>
                <c:pt idx="34">
                  <c:v>7.45</c:v>
                </c:pt>
                <c:pt idx="35">
                  <c:v>7.45</c:v>
                </c:pt>
                <c:pt idx="36">
                  <c:v>7.45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7.2</c:v>
                </c:pt>
                <c:pt idx="42">
                  <c:v>7.2</c:v>
                </c:pt>
                <c:pt idx="43">
                  <c:v>7.2</c:v>
                </c:pt>
                <c:pt idx="44">
                  <c:v>7.2</c:v>
                </c:pt>
                <c:pt idx="45">
                  <c:v>7.2</c:v>
                </c:pt>
                <c:pt idx="46">
                  <c:v>7.2</c:v>
                </c:pt>
              </c:numCache>
            </c:numRef>
          </c:xVal>
          <c:yVal>
            <c:numRef>
              <c:f>pH!$AE$2:$AE$48</c:f>
              <c:numCache>
                <c:formatCode>General</c:formatCode>
                <c:ptCount val="47"/>
                <c:pt idx="0">
                  <c:v>0.9497914219501038</c:v>
                </c:pt>
                <c:pt idx="1">
                  <c:v>1.0791427105051143</c:v>
                </c:pt>
                <c:pt idx="2">
                  <c:v>0.88608216923193217</c:v>
                </c:pt>
                <c:pt idx="3">
                  <c:v>1.0439423890174104</c:v>
                </c:pt>
                <c:pt idx="4">
                  <c:v>0.90480245339282461</c:v>
                </c:pt>
                <c:pt idx="5">
                  <c:v>1.1073051505864042</c:v>
                </c:pt>
                <c:pt idx="6">
                  <c:v>1.0822386770669945</c:v>
                </c:pt>
                <c:pt idx="7">
                  <c:v>0.8687955719971957</c:v>
                </c:pt>
                <c:pt idx="8">
                  <c:v>1.0586323284808643</c:v>
                </c:pt>
                <c:pt idx="9">
                  <c:v>1.0190417474242179</c:v>
                </c:pt>
                <c:pt idx="10">
                  <c:v>0.99288088964547239</c:v>
                </c:pt>
                <c:pt idx="11">
                  <c:v>1.0557119957311956</c:v>
                </c:pt>
                <c:pt idx="12">
                  <c:v>0.77824115497150637</c:v>
                </c:pt>
                <c:pt idx="13">
                  <c:v>0.92347865536542573</c:v>
                </c:pt>
                <c:pt idx="14">
                  <c:v>0.79803569248168382</c:v>
                </c:pt>
                <c:pt idx="15">
                  <c:v>0.78257122033902493</c:v>
                </c:pt>
                <c:pt idx="16">
                  <c:v>0.82025491839631892</c:v>
                </c:pt>
                <c:pt idx="17">
                  <c:v>0.78238810956541316</c:v>
                </c:pt>
                <c:pt idx="18">
                  <c:v>1.0385219695057599</c:v>
                </c:pt>
                <c:pt idx="19">
                  <c:v>0.96691674584961151</c:v>
                </c:pt>
                <c:pt idx="20">
                  <c:v>1.3494537161062461</c:v>
                </c:pt>
                <c:pt idx="21">
                  <c:v>1.541152079398636</c:v>
                </c:pt>
                <c:pt idx="22">
                  <c:v>1.3477904003317203</c:v>
                </c:pt>
                <c:pt idx="23">
                  <c:v>1.098295375118453</c:v>
                </c:pt>
                <c:pt idx="24">
                  <c:v>0.96350578817886479</c:v>
                </c:pt>
                <c:pt idx="25">
                  <c:v>1.1168369329814458</c:v>
                </c:pt>
                <c:pt idx="26">
                  <c:v>0.87120725226504137</c:v>
                </c:pt>
                <c:pt idx="27">
                  <c:v>1.0136666004596429</c:v>
                </c:pt>
                <c:pt idx="28">
                  <c:v>0.83627998160134476</c:v>
                </c:pt>
                <c:pt idx="29">
                  <c:v>0.97377162770965053</c:v>
                </c:pt>
                <c:pt idx="30">
                  <c:v>0.90971228311643626</c:v>
                </c:pt>
                <c:pt idx="31">
                  <c:v>1.0347077130566389</c:v>
                </c:pt>
                <c:pt idx="32">
                  <c:v>0.92009583657458627</c:v>
                </c:pt>
                <c:pt idx="33">
                  <c:v>0.89440940416152326</c:v>
                </c:pt>
                <c:pt idx="34">
                  <c:v>1.0695288922310326</c:v>
                </c:pt>
                <c:pt idx="35">
                  <c:v>0.94649483429413628</c:v>
                </c:pt>
                <c:pt idx="36">
                  <c:v>1.043113197696163</c:v>
                </c:pt>
                <c:pt idx="37">
                  <c:v>1.1401610462990202</c:v>
                </c:pt>
                <c:pt idx="38">
                  <c:v>1.0515801520472072</c:v>
                </c:pt>
                <c:pt idx="39">
                  <c:v>1.0174608579325288</c:v>
                </c:pt>
                <c:pt idx="40">
                  <c:v>0.94040372078813161</c:v>
                </c:pt>
                <c:pt idx="41">
                  <c:v>1.2011622891320153</c:v>
                </c:pt>
                <c:pt idx="42">
                  <c:v>1.2685833324586717</c:v>
                </c:pt>
                <c:pt idx="43">
                  <c:v>0.98471089335117001</c:v>
                </c:pt>
                <c:pt idx="44">
                  <c:v>1.0515312501260294</c:v>
                </c:pt>
                <c:pt idx="45">
                  <c:v>1.0120029471027192</c:v>
                </c:pt>
                <c:pt idx="46">
                  <c:v>0.91155411812959863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4-4929-AD0F-1E1508D63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041487"/>
        <c:axId val="706047247"/>
      </c:scatterChart>
      <c:valAx>
        <c:axId val="70604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pH target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06047247"/>
        <c:crosses val="autoZero"/>
        <c:crossBetween val="midCat"/>
      </c:valAx>
      <c:valAx>
        <c:axId val="7060472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06041487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pH_POR!$X$1</c:f>
              <c:strCache>
                <c:ptCount val="1"/>
                <c:pt idx="0">
                  <c:v>pH8.1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44776749289593"/>
                  <c:y val="-0.200213171370727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pH_POR!$V$2:$V$48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pH_POR!$X$2:$X$48</c:f>
              <c:numCache>
                <c:formatCode>General</c:formatCode>
                <c:ptCount val="47"/>
                <c:pt idx="0">
                  <c:v>291.61399999999998</c:v>
                </c:pt>
                <c:pt idx="1">
                  <c:v>197.58600000000001</c:v>
                </c:pt>
                <c:pt idx="2">
                  <c:v>188.34700000000001</c:v>
                </c:pt>
                <c:pt idx="3">
                  <c:v>229.77799999999999</c:v>
                </c:pt>
                <c:pt idx="4">
                  <c:v>275.83100000000002</c:v>
                </c:pt>
                <c:pt idx="5">
                  <c:v>239.14099999999999</c:v>
                </c:pt>
                <c:pt idx="6">
                  <c:v>316.39100000000002</c:v>
                </c:pt>
                <c:pt idx="7">
                  <c:v>258.495</c:v>
                </c:pt>
                <c:pt idx="8">
                  <c:v>199.768</c:v>
                </c:pt>
                <c:pt idx="9">
                  <c:v>293.52800000000002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E2-4B4B-BD9D-6653A6319C02}"/>
            </c:ext>
          </c:extLst>
        </c:ser>
        <c:ser>
          <c:idx val="1"/>
          <c:order val="1"/>
          <c:tx>
            <c:strRef>
              <c:f>pH_POR!$Y$1</c:f>
              <c:strCache>
                <c:ptCount val="1"/>
                <c:pt idx="0">
                  <c:v>pH7.95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08656231073703"/>
                  <c:y val="-0.241467786114088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pH_POR!$V$2:$V$48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pH_POR!$Y$2:$Y$48</c:f>
              <c:numCache>
                <c:formatCode>General</c:formatCode>
                <c:ptCount val="47"/>
                <c:pt idx="10">
                  <c:v>280.81</c:v>
                </c:pt>
                <c:pt idx="11">
                  <c:v>278.798</c:v>
                </c:pt>
                <c:pt idx="12">
                  <c:v>134.86799999999999</c:v>
                </c:pt>
                <c:pt idx="13">
                  <c:v>304.18799999999999</c:v>
                </c:pt>
                <c:pt idx="14">
                  <c:v>190.76499999999999</c:v>
                </c:pt>
                <c:pt idx="15">
                  <c:v>305.38</c:v>
                </c:pt>
                <c:pt idx="16">
                  <c:v>317.67</c:v>
                </c:pt>
                <c:pt idx="17">
                  <c:v>142.80699999999999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E2-4B4B-BD9D-6653A6319C02}"/>
            </c:ext>
          </c:extLst>
        </c:ser>
        <c:ser>
          <c:idx val="2"/>
          <c:order val="2"/>
          <c:tx>
            <c:strRef>
              <c:f>pH_POR!$Z$1</c:f>
              <c:strCache>
                <c:ptCount val="1"/>
                <c:pt idx="0">
                  <c:v>pH7.7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67804305237392"/>
                  <c:y val="-0.254815410265571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pH_POR!$V$2:$V$48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pH_POR!$Z$2:$Z$48</c:f>
              <c:numCache>
                <c:formatCode>General</c:formatCode>
                <c:ptCount val="47"/>
                <c:pt idx="18">
                  <c:v>361.90199999999999</c:v>
                </c:pt>
                <c:pt idx="19">
                  <c:v>136.04499999999999</c:v>
                </c:pt>
                <c:pt idx="20">
                  <c:v>190.64599999999999</c:v>
                </c:pt>
                <c:pt idx="21">
                  <c:v>369.90699999999998</c:v>
                </c:pt>
                <c:pt idx="22">
                  <c:v>188.929</c:v>
                </c:pt>
                <c:pt idx="23">
                  <c:v>237.363</c:v>
                </c:pt>
                <c:pt idx="24">
                  <c:v>303.69400000000002</c:v>
                </c:pt>
                <c:pt idx="25">
                  <c:v>256.23599999999999</c:v>
                </c:pt>
                <c:pt idx="26">
                  <c:v>263.05900000000003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E2-4B4B-BD9D-6653A6319C02}"/>
            </c:ext>
          </c:extLst>
        </c:ser>
        <c:ser>
          <c:idx val="3"/>
          <c:order val="3"/>
          <c:tx>
            <c:strRef>
              <c:f>pH_POR!$AA$1</c:f>
              <c:strCache>
                <c:ptCount val="1"/>
                <c:pt idx="0">
                  <c:v>pH7.45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761472019806924E-2"/>
                  <c:y val="-0.197132309158032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pH_POR!$V$2:$V$48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pH_POR!$AA$2:$AA$48</c:f>
              <c:numCache>
                <c:formatCode>General</c:formatCode>
                <c:ptCount val="47"/>
                <c:pt idx="27">
                  <c:v>212.71299999999999</c:v>
                </c:pt>
                <c:pt idx="28">
                  <c:v>93.966999999999999</c:v>
                </c:pt>
                <c:pt idx="29">
                  <c:v>184.12899999999999</c:v>
                </c:pt>
                <c:pt idx="30">
                  <c:v>71.248000000000005</c:v>
                </c:pt>
                <c:pt idx="31">
                  <c:v>139.208</c:v>
                </c:pt>
                <c:pt idx="32">
                  <c:v>142.25700000000001</c:v>
                </c:pt>
                <c:pt idx="33">
                  <c:v>84.066999999999993</c:v>
                </c:pt>
                <c:pt idx="34">
                  <c:v>130.77199999999999</c:v>
                </c:pt>
                <c:pt idx="35">
                  <c:v>125.565</c:v>
                </c:pt>
                <c:pt idx="36">
                  <c:v>234.834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E2-4B4B-BD9D-6653A6319C02}"/>
            </c:ext>
          </c:extLst>
        </c:ser>
        <c:ser>
          <c:idx val="4"/>
          <c:order val="4"/>
          <c:tx>
            <c:strRef>
              <c:f>pH_POR!$AB$1</c:f>
              <c:strCache>
                <c:ptCount val="1"/>
                <c:pt idx="0">
                  <c:v>pH7.2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71261348374171"/>
                  <c:y val="-0.282094795760390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pH_POR!$V$2:$V$48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pH_POR!$AB$2:$AB$48</c:f>
              <c:numCache>
                <c:formatCode>General</c:formatCode>
                <c:ptCount val="47"/>
                <c:pt idx="37">
                  <c:v>289.75900000000001</c:v>
                </c:pt>
                <c:pt idx="38">
                  <c:v>257.21300000000002</c:v>
                </c:pt>
                <c:pt idx="39">
                  <c:v>246.565</c:v>
                </c:pt>
                <c:pt idx="40">
                  <c:v>244.69200000000001</c:v>
                </c:pt>
                <c:pt idx="41">
                  <c:v>257.20800000000003</c:v>
                </c:pt>
                <c:pt idx="42">
                  <c:v>227.86500000000001</c:v>
                </c:pt>
                <c:pt idx="43">
                  <c:v>224.17599999999999</c:v>
                </c:pt>
                <c:pt idx="44">
                  <c:v>222.054</c:v>
                </c:pt>
                <c:pt idx="45">
                  <c:v>239.73099999999999</c:v>
                </c:pt>
                <c:pt idx="46">
                  <c:v>261.50799999999998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AE2-4B4B-BD9D-6653A6319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141039"/>
        <c:axId val="1436141999"/>
      </c:scatterChart>
      <c:valAx>
        <c:axId val="1436141039"/>
        <c:scaling>
          <c:orientation val="minMax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BL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141999"/>
        <c:crosses val="autoZero"/>
        <c:crossBetween val="midCat"/>
      </c:valAx>
      <c:valAx>
        <c:axId val="1436141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POR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14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St_pH_POR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pH_POR!$AE$1</c:f>
              <c:strCache>
                <c:ptCount val="1"/>
                <c:pt idx="0">
                  <c:v>St_pH_POR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8.0450349956255468E-2"/>
                  <c:y val="-0.396819772528433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pH_POR!$AD$2:$AD$48</c:f>
              <c:numCache>
                <c:formatCode>General</c:formatCode>
                <c:ptCount val="47"/>
                <c:pt idx="0">
                  <c:v>8.1</c:v>
                </c:pt>
                <c:pt idx="1">
                  <c:v>8.1</c:v>
                </c:pt>
                <c:pt idx="2">
                  <c:v>8.1</c:v>
                </c:pt>
                <c:pt idx="3">
                  <c:v>8.1</c:v>
                </c:pt>
                <c:pt idx="4">
                  <c:v>8.1</c:v>
                </c:pt>
                <c:pt idx="5">
                  <c:v>8.1</c:v>
                </c:pt>
                <c:pt idx="6">
                  <c:v>8.1</c:v>
                </c:pt>
                <c:pt idx="7">
                  <c:v>8.1</c:v>
                </c:pt>
                <c:pt idx="8">
                  <c:v>8.1</c:v>
                </c:pt>
                <c:pt idx="9">
                  <c:v>8.1</c:v>
                </c:pt>
                <c:pt idx="10">
                  <c:v>7.95</c:v>
                </c:pt>
                <c:pt idx="11">
                  <c:v>7.95</c:v>
                </c:pt>
                <c:pt idx="12">
                  <c:v>7.95</c:v>
                </c:pt>
                <c:pt idx="13">
                  <c:v>7.95</c:v>
                </c:pt>
                <c:pt idx="14">
                  <c:v>7.95</c:v>
                </c:pt>
                <c:pt idx="15">
                  <c:v>7.95</c:v>
                </c:pt>
                <c:pt idx="16">
                  <c:v>7.95</c:v>
                </c:pt>
                <c:pt idx="17">
                  <c:v>7.95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7.7</c:v>
                </c:pt>
                <c:pt idx="25">
                  <c:v>7.7</c:v>
                </c:pt>
                <c:pt idx="26">
                  <c:v>7.7</c:v>
                </c:pt>
                <c:pt idx="27">
                  <c:v>7.45</c:v>
                </c:pt>
                <c:pt idx="28">
                  <c:v>7.45</c:v>
                </c:pt>
                <c:pt idx="29">
                  <c:v>7.45</c:v>
                </c:pt>
                <c:pt idx="30">
                  <c:v>7.45</c:v>
                </c:pt>
                <c:pt idx="31">
                  <c:v>7.45</c:v>
                </c:pt>
                <c:pt idx="32">
                  <c:v>7.45</c:v>
                </c:pt>
                <c:pt idx="33">
                  <c:v>7.45</c:v>
                </c:pt>
                <c:pt idx="34">
                  <c:v>7.45</c:v>
                </c:pt>
                <c:pt idx="35">
                  <c:v>7.45</c:v>
                </c:pt>
                <c:pt idx="36">
                  <c:v>7.45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7.2</c:v>
                </c:pt>
                <c:pt idx="42">
                  <c:v>7.2</c:v>
                </c:pt>
                <c:pt idx="43">
                  <c:v>7.2</c:v>
                </c:pt>
                <c:pt idx="44">
                  <c:v>7.2</c:v>
                </c:pt>
                <c:pt idx="45">
                  <c:v>7.2</c:v>
                </c:pt>
                <c:pt idx="46">
                  <c:v>7.2</c:v>
                </c:pt>
              </c:numCache>
            </c:numRef>
          </c:xVal>
          <c:yVal>
            <c:numRef>
              <c:f>pH_POR!$AE$2:$AE$48</c:f>
              <c:numCache>
                <c:formatCode>General</c:formatCode>
                <c:ptCount val="47"/>
                <c:pt idx="0">
                  <c:v>1.4635129414850034</c:v>
                </c:pt>
                <c:pt idx="1">
                  <c:v>0.26940494588800362</c:v>
                </c:pt>
                <c:pt idx="2">
                  <c:v>0.13231433994701075</c:v>
                </c:pt>
                <c:pt idx="3">
                  <c:v>0.72058310313612817</c:v>
                </c:pt>
                <c:pt idx="4">
                  <c:v>1.4826996180800092</c:v>
                </c:pt>
                <c:pt idx="5">
                  <c:v>0.93110576240649912</c:v>
                </c:pt>
                <c:pt idx="6">
                  <c:v>1.8190369798325603</c:v>
                </c:pt>
                <c:pt idx="7">
                  <c:v>1.195360163893423</c:v>
                </c:pt>
                <c:pt idx="8">
                  <c:v>0.30083175632032816</c:v>
                </c:pt>
                <c:pt idx="9">
                  <c:v>1.6955606030733295</c:v>
                </c:pt>
                <c:pt idx="10">
                  <c:v>1.347242084280978</c:v>
                </c:pt>
                <c:pt idx="11">
                  <c:v>1.2533793917467364</c:v>
                </c:pt>
                <c:pt idx="12">
                  <c:v>-0.57724928644362417</c:v>
                </c:pt>
                <c:pt idx="13">
                  <c:v>1.7033627024161457</c:v>
                </c:pt>
                <c:pt idx="14">
                  <c:v>0.16763559630290256</c:v>
                </c:pt>
                <c:pt idx="15">
                  <c:v>1.6575761540271248</c:v>
                </c:pt>
                <c:pt idx="16">
                  <c:v>1.8710636258453677</c:v>
                </c:pt>
                <c:pt idx="17">
                  <c:v>-0.53865927927047674</c:v>
                </c:pt>
                <c:pt idx="18">
                  <c:v>2.4610372013181365</c:v>
                </c:pt>
                <c:pt idx="19">
                  <c:v>-0.64232186419781245</c:v>
                </c:pt>
                <c:pt idx="20">
                  <c:v>0.2115489524904631</c:v>
                </c:pt>
                <c:pt idx="21">
                  <c:v>3.215718222718039</c:v>
                </c:pt>
                <c:pt idx="22">
                  <c:v>0.18026001818582466</c:v>
                </c:pt>
                <c:pt idx="23">
                  <c:v>0.79310361004295404</c:v>
                </c:pt>
                <c:pt idx="24">
                  <c:v>1.8707987218231539</c:v>
                </c:pt>
                <c:pt idx="25">
                  <c:v>0.99897744490814089</c:v>
                </c:pt>
                <c:pt idx="26">
                  <c:v>1.1234923718311709</c:v>
                </c:pt>
                <c:pt idx="27">
                  <c:v>0.44923491678292127</c:v>
                </c:pt>
                <c:pt idx="28">
                  <c:v>-1.2363937906693478</c:v>
                </c:pt>
                <c:pt idx="29">
                  <c:v>7.5070714494608906E-2</c:v>
                </c:pt>
                <c:pt idx="30">
                  <c:v>-1.7775154190954618</c:v>
                </c:pt>
                <c:pt idx="31">
                  <c:v>-0.65917891807620743</c:v>
                </c:pt>
                <c:pt idx="32">
                  <c:v>-0.52422526867249564</c:v>
                </c:pt>
                <c:pt idx="33">
                  <c:v>-1.5955144328496227</c:v>
                </c:pt>
                <c:pt idx="34">
                  <c:v>-0.75586931143373037</c:v>
                </c:pt>
                <c:pt idx="35">
                  <c:v>-0.84995314144863543</c:v>
                </c:pt>
                <c:pt idx="36">
                  <c:v>0.7717933756266161</c:v>
                </c:pt>
                <c:pt idx="37">
                  <c:v>1.5585995251322267</c:v>
                </c:pt>
                <c:pt idx="38">
                  <c:v>1.1572962096434816</c:v>
                </c:pt>
                <c:pt idx="39">
                  <c:v>1.0303272241120345</c:v>
                </c:pt>
                <c:pt idx="40">
                  <c:v>0.90935655072904409</c:v>
                </c:pt>
                <c:pt idx="41">
                  <c:v>1.3646258481691318</c:v>
                </c:pt>
                <c:pt idx="42">
                  <c:v>0.76838196746527332</c:v>
                </c:pt>
                <c:pt idx="43">
                  <c:v>0.66711989000574712</c:v>
                </c:pt>
                <c:pt idx="44">
                  <c:v>0.65269832662449523</c:v>
                </c:pt>
                <c:pt idx="45">
                  <c:v>0.87086426629660663</c:v>
                </c:pt>
                <c:pt idx="46">
                  <c:v>1.2300658707404124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8-1D48-93D9-9C0019CD7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331264"/>
        <c:axId val="525332976"/>
      </c:scatterChart>
      <c:valAx>
        <c:axId val="52533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32976"/>
        <c:crosses val="autoZero"/>
        <c:crossBetween val="midCat"/>
      </c:valAx>
      <c:valAx>
        <c:axId val="5253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3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pH_BR!$X$1</c:f>
              <c:strCache>
                <c:ptCount val="1"/>
                <c:pt idx="0">
                  <c:v>pH8.1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44776749289593"/>
                  <c:y val="-0.200213171370727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pH_BR!$V$2:$V$48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pH_BR!$X$2:$X$48</c:f>
              <c:numCache>
                <c:formatCode>General</c:formatCode>
                <c:ptCount val="47"/>
                <c:pt idx="0">
                  <c:v>294.50799999999998</c:v>
                </c:pt>
                <c:pt idx="1">
                  <c:v>249.65</c:v>
                </c:pt>
                <c:pt idx="2">
                  <c:v>266.68700000000001</c:v>
                </c:pt>
                <c:pt idx="3">
                  <c:v>249.41900000000001</c:v>
                </c:pt>
                <c:pt idx="4">
                  <c:v>252.85</c:v>
                </c:pt>
                <c:pt idx="5">
                  <c:v>235.80199999999999</c:v>
                </c:pt>
                <c:pt idx="6">
                  <c:v>261.54399999999998</c:v>
                </c:pt>
                <c:pt idx="7">
                  <c:v>247.43100000000001</c:v>
                </c:pt>
                <c:pt idx="8">
                  <c:v>261.58600000000001</c:v>
                </c:pt>
                <c:pt idx="9">
                  <c:v>267.09800000000001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5F-F543-B57A-1D43A6200A2D}"/>
            </c:ext>
          </c:extLst>
        </c:ser>
        <c:ser>
          <c:idx val="1"/>
          <c:order val="1"/>
          <c:tx>
            <c:strRef>
              <c:f>pH_BR!$Y$1</c:f>
              <c:strCache>
                <c:ptCount val="1"/>
                <c:pt idx="0">
                  <c:v>pH7.95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08656231073703"/>
                  <c:y val="-0.241467786114088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pH_BR!$V$2:$V$48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pH_BR!$Y$2:$Y$48</c:f>
              <c:numCache>
                <c:formatCode>General</c:formatCode>
                <c:ptCount val="47"/>
                <c:pt idx="10">
                  <c:v>280.10199999999998</c:v>
                </c:pt>
                <c:pt idx="11">
                  <c:v>265.03399999999999</c:v>
                </c:pt>
                <c:pt idx="12">
                  <c:v>274.17700000000002</c:v>
                </c:pt>
                <c:pt idx="13">
                  <c:v>263.02199999999999</c:v>
                </c:pt>
                <c:pt idx="14">
                  <c:v>270.38600000000002</c:v>
                </c:pt>
                <c:pt idx="15">
                  <c:v>289.245</c:v>
                </c:pt>
                <c:pt idx="16">
                  <c:v>276.56799999999998</c:v>
                </c:pt>
                <c:pt idx="17">
                  <c:v>275.30700000000002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5F-F543-B57A-1D43A6200A2D}"/>
            </c:ext>
          </c:extLst>
        </c:ser>
        <c:ser>
          <c:idx val="2"/>
          <c:order val="2"/>
          <c:tx>
            <c:strRef>
              <c:f>pH_BR!$Z$1</c:f>
              <c:strCache>
                <c:ptCount val="1"/>
                <c:pt idx="0">
                  <c:v>pH7.7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67804305237392"/>
                  <c:y val="-0.254815410265571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pH_BR!$V$2:$V$48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pH_BR!$Z$2:$Z$48</c:f>
              <c:numCache>
                <c:formatCode>General</c:formatCode>
                <c:ptCount val="47"/>
                <c:pt idx="18">
                  <c:v>285.09699999999998</c:v>
                </c:pt>
                <c:pt idx="19">
                  <c:v>226.876</c:v>
                </c:pt>
                <c:pt idx="20">
                  <c:v>178.65299999999999</c:v>
                </c:pt>
                <c:pt idx="21">
                  <c:v>254.76599999999999</c:v>
                </c:pt>
                <c:pt idx="22">
                  <c:v>178.33500000000001</c:v>
                </c:pt>
                <c:pt idx="23">
                  <c:v>296.00799999999998</c:v>
                </c:pt>
                <c:pt idx="24">
                  <c:v>288.83</c:v>
                </c:pt>
                <c:pt idx="25">
                  <c:v>309.55399999999997</c:v>
                </c:pt>
                <c:pt idx="26">
                  <c:v>294.51499999999999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5F-F543-B57A-1D43A6200A2D}"/>
            </c:ext>
          </c:extLst>
        </c:ser>
        <c:ser>
          <c:idx val="3"/>
          <c:order val="3"/>
          <c:tx>
            <c:strRef>
              <c:f>pH_BR!$AA$1</c:f>
              <c:strCache>
                <c:ptCount val="1"/>
                <c:pt idx="0">
                  <c:v>pH7.45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761472019806924E-2"/>
                  <c:y val="-0.197132309158032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pH_BR!$V$2:$V$48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pH_BR!$AA$2:$AA$48</c:f>
              <c:numCache>
                <c:formatCode>General</c:formatCode>
                <c:ptCount val="47"/>
                <c:pt idx="27">
                  <c:v>307.774</c:v>
                </c:pt>
                <c:pt idx="28">
                  <c:v>283.80399999999997</c:v>
                </c:pt>
                <c:pt idx="29">
                  <c:v>311.57499999999999</c:v>
                </c:pt>
                <c:pt idx="30">
                  <c:v>238.83099999999999</c:v>
                </c:pt>
                <c:pt idx="31">
                  <c:v>224.928</c:v>
                </c:pt>
                <c:pt idx="32">
                  <c:v>239.50200000000001</c:v>
                </c:pt>
                <c:pt idx="33">
                  <c:v>228.18799999999999</c:v>
                </c:pt>
                <c:pt idx="34">
                  <c:v>211.202</c:v>
                </c:pt>
                <c:pt idx="35">
                  <c:v>224.434</c:v>
                </c:pt>
                <c:pt idx="36">
                  <c:v>271.13600000000002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95F-F543-B57A-1D43A6200A2D}"/>
            </c:ext>
          </c:extLst>
        </c:ser>
        <c:ser>
          <c:idx val="4"/>
          <c:order val="4"/>
          <c:tx>
            <c:strRef>
              <c:f>pH_BR!$AB$1</c:f>
              <c:strCache>
                <c:ptCount val="1"/>
                <c:pt idx="0">
                  <c:v>pH7.2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71261348374171"/>
                  <c:y val="-0.282094795760390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pH_BR!$V$2:$V$48</c:f>
              <c:numCache>
                <c:formatCode>General</c:formatCode>
                <c:ptCount val="47"/>
                <c:pt idx="0">
                  <c:v>391.83</c:v>
                </c:pt>
                <c:pt idx="1">
                  <c:v>358.69</c:v>
                </c:pt>
                <c:pt idx="2">
                  <c:v>376.24</c:v>
                </c:pt>
                <c:pt idx="3">
                  <c:v>360.65</c:v>
                </c:pt>
                <c:pt idx="4">
                  <c:v>332.78</c:v>
                </c:pt>
                <c:pt idx="5">
                  <c:v>330.1</c:v>
                </c:pt>
                <c:pt idx="6">
                  <c:v>384.32</c:v>
                </c:pt>
                <c:pt idx="7">
                  <c:v>339.23</c:v>
                </c:pt>
                <c:pt idx="8">
                  <c:v>358</c:v>
                </c:pt>
                <c:pt idx="9">
                  <c:v>343.93</c:v>
                </c:pt>
                <c:pt idx="10">
                  <c:v>384.98</c:v>
                </c:pt>
                <c:pt idx="11">
                  <c:v>405.67</c:v>
                </c:pt>
                <c:pt idx="12">
                  <c:v>383.56</c:v>
                </c:pt>
                <c:pt idx="13">
                  <c:v>374.09</c:v>
                </c:pt>
                <c:pt idx="14">
                  <c:v>370.11</c:v>
                </c:pt>
                <c:pt idx="15">
                  <c:v>388.07</c:v>
                </c:pt>
                <c:pt idx="16">
                  <c:v>377.1</c:v>
                </c:pt>
                <c:pt idx="17">
                  <c:v>336.3</c:v>
                </c:pt>
                <c:pt idx="18">
                  <c:v>377.84</c:v>
                </c:pt>
                <c:pt idx="19">
                  <c:v>335.41</c:v>
                </c:pt>
                <c:pt idx="20">
                  <c:v>290.43</c:v>
                </c:pt>
                <c:pt idx="21">
                  <c:v>301.79000000000002</c:v>
                </c:pt>
                <c:pt idx="22">
                  <c:v>292.54000000000002</c:v>
                </c:pt>
                <c:pt idx="23">
                  <c:v>376.17</c:v>
                </c:pt>
                <c:pt idx="24">
                  <c:v>339.27</c:v>
                </c:pt>
                <c:pt idx="25">
                  <c:v>394.45</c:v>
                </c:pt>
                <c:pt idx="26">
                  <c:v>381.53</c:v>
                </c:pt>
                <c:pt idx="27">
                  <c:v>385.86</c:v>
                </c:pt>
                <c:pt idx="28">
                  <c:v>346.83</c:v>
                </c:pt>
                <c:pt idx="29">
                  <c:v>378.21</c:v>
                </c:pt>
                <c:pt idx="30">
                  <c:v>306.06</c:v>
                </c:pt>
                <c:pt idx="31">
                  <c:v>302.5</c:v>
                </c:pt>
                <c:pt idx="32">
                  <c:v>350.88</c:v>
                </c:pt>
                <c:pt idx="33">
                  <c:v>300.23</c:v>
                </c:pt>
                <c:pt idx="34">
                  <c:v>320.39999999999998</c:v>
                </c:pt>
                <c:pt idx="35">
                  <c:v>316</c:v>
                </c:pt>
                <c:pt idx="36">
                  <c:v>369.94</c:v>
                </c:pt>
                <c:pt idx="37">
                  <c:v>361.89</c:v>
                </c:pt>
                <c:pt idx="38">
                  <c:v>344.77</c:v>
                </c:pt>
                <c:pt idx="39">
                  <c:v>334.85</c:v>
                </c:pt>
                <c:pt idx="40">
                  <c:v>368.95</c:v>
                </c:pt>
                <c:pt idx="41">
                  <c:v>292.37</c:v>
                </c:pt>
                <c:pt idx="42">
                  <c:v>325.58999999999997</c:v>
                </c:pt>
                <c:pt idx="43">
                  <c:v>346.97</c:v>
                </c:pt>
                <c:pt idx="44">
                  <c:v>338.15</c:v>
                </c:pt>
                <c:pt idx="45">
                  <c:v>356.37</c:v>
                </c:pt>
                <c:pt idx="46">
                  <c:v>342.08</c:v>
                </c:pt>
              </c:numCache>
            </c:numRef>
          </c:xVal>
          <c:yVal>
            <c:numRef>
              <c:f>pH_BR!$AB$2:$AB$48</c:f>
              <c:numCache>
                <c:formatCode>General</c:formatCode>
                <c:ptCount val="47"/>
                <c:pt idx="37">
                  <c:v>265.86599999999999</c:v>
                </c:pt>
                <c:pt idx="38">
                  <c:v>241.46600000000001</c:v>
                </c:pt>
                <c:pt idx="39">
                  <c:v>261.82</c:v>
                </c:pt>
                <c:pt idx="40">
                  <c:v>306.39999999999998</c:v>
                </c:pt>
                <c:pt idx="41">
                  <c:v>234.435</c:v>
                </c:pt>
                <c:pt idx="42">
                  <c:v>325.58800000000002</c:v>
                </c:pt>
                <c:pt idx="43">
                  <c:v>274.93299999999999</c:v>
                </c:pt>
                <c:pt idx="44">
                  <c:v>252.22800000000001</c:v>
                </c:pt>
                <c:pt idx="45">
                  <c:v>278.226</c:v>
                </c:pt>
                <c:pt idx="46">
                  <c:v>253.77799999999999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95F-F543-B57A-1D43A6200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141039"/>
        <c:axId val="1436141999"/>
      </c:scatterChart>
      <c:valAx>
        <c:axId val="1436141039"/>
        <c:scaling>
          <c:orientation val="minMax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BL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141999"/>
        <c:crosses val="autoZero"/>
        <c:crossBetween val="midCat"/>
      </c:valAx>
      <c:valAx>
        <c:axId val="1436141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BR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14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pH_BR!$AE$1</c:f>
              <c:strCache>
                <c:ptCount val="1"/>
                <c:pt idx="0">
                  <c:v>St_pH_BR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8.9728127734033242E-2"/>
                  <c:y val="-0.494503499562554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pH_BR!$AD$2:$AD$48</c:f>
              <c:numCache>
                <c:formatCode>General</c:formatCode>
                <c:ptCount val="47"/>
                <c:pt idx="0">
                  <c:v>8.1</c:v>
                </c:pt>
                <c:pt idx="1">
                  <c:v>8.1</c:v>
                </c:pt>
                <c:pt idx="2">
                  <c:v>8.1</c:v>
                </c:pt>
                <c:pt idx="3">
                  <c:v>8.1</c:v>
                </c:pt>
                <c:pt idx="4">
                  <c:v>8.1</c:v>
                </c:pt>
                <c:pt idx="5">
                  <c:v>8.1</c:v>
                </c:pt>
                <c:pt idx="6">
                  <c:v>8.1</c:v>
                </c:pt>
                <c:pt idx="7">
                  <c:v>8.1</c:v>
                </c:pt>
                <c:pt idx="8">
                  <c:v>8.1</c:v>
                </c:pt>
                <c:pt idx="9">
                  <c:v>8.1</c:v>
                </c:pt>
                <c:pt idx="10">
                  <c:v>7.95</c:v>
                </c:pt>
                <c:pt idx="11">
                  <c:v>7.95</c:v>
                </c:pt>
                <c:pt idx="12">
                  <c:v>7.95</c:v>
                </c:pt>
                <c:pt idx="13">
                  <c:v>7.95</c:v>
                </c:pt>
                <c:pt idx="14">
                  <c:v>7.95</c:v>
                </c:pt>
                <c:pt idx="15">
                  <c:v>7.95</c:v>
                </c:pt>
                <c:pt idx="16">
                  <c:v>7.95</c:v>
                </c:pt>
                <c:pt idx="17">
                  <c:v>7.95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7.7</c:v>
                </c:pt>
                <c:pt idx="25">
                  <c:v>7.7</c:v>
                </c:pt>
                <c:pt idx="26">
                  <c:v>7.7</c:v>
                </c:pt>
                <c:pt idx="27">
                  <c:v>7.45</c:v>
                </c:pt>
                <c:pt idx="28">
                  <c:v>7.45</c:v>
                </c:pt>
                <c:pt idx="29">
                  <c:v>7.45</c:v>
                </c:pt>
                <c:pt idx="30">
                  <c:v>7.45</c:v>
                </c:pt>
                <c:pt idx="31">
                  <c:v>7.45</c:v>
                </c:pt>
                <c:pt idx="32">
                  <c:v>7.45</c:v>
                </c:pt>
                <c:pt idx="33">
                  <c:v>7.45</c:v>
                </c:pt>
                <c:pt idx="34">
                  <c:v>7.45</c:v>
                </c:pt>
                <c:pt idx="35">
                  <c:v>7.45</c:v>
                </c:pt>
                <c:pt idx="36">
                  <c:v>7.45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7.2</c:v>
                </c:pt>
                <c:pt idx="42">
                  <c:v>7.2</c:v>
                </c:pt>
                <c:pt idx="43">
                  <c:v>7.2</c:v>
                </c:pt>
                <c:pt idx="44">
                  <c:v>7.2</c:v>
                </c:pt>
                <c:pt idx="45">
                  <c:v>7.2</c:v>
                </c:pt>
                <c:pt idx="46">
                  <c:v>7.2</c:v>
                </c:pt>
              </c:numCache>
            </c:numRef>
          </c:xVal>
          <c:yVal>
            <c:numRef>
              <c:f>pH_BR!$AE$2:$AE$48</c:f>
              <c:numCache>
                <c:formatCode>General</c:formatCode>
                <c:ptCount val="47"/>
                <c:pt idx="0">
                  <c:v>-284.48013270913162</c:v>
                </c:pt>
                <c:pt idx="1">
                  <c:v>-310.99080526080411</c:v>
                </c:pt>
                <c:pt idx="2">
                  <c:v>-296.40219159698279</c:v>
                </c:pt>
                <c:pt idx="3">
                  <c:v>-309.30184757791778</c:v>
                </c:pt>
                <c:pt idx="4">
                  <c:v>-335.18685680539073</c:v>
                </c:pt>
                <c:pt idx="5">
                  <c:v>-338.00191927051884</c:v>
                </c:pt>
                <c:pt idx="6">
                  <c:v>-290.19488419539033</c:v>
                </c:pt>
                <c:pt idx="7">
                  <c:v>-328.84273391075709</c:v>
                </c:pt>
                <c:pt idx="8">
                  <c:v>-311.52966938896395</c:v>
                </c:pt>
                <c:pt idx="9">
                  <c:v>-324.24509167297117</c:v>
                </c:pt>
                <c:pt idx="10">
                  <c:v>-289.60986306695128</c:v>
                </c:pt>
                <c:pt idx="11">
                  <c:v>-274.90660304132285</c:v>
                </c:pt>
                <c:pt idx="12">
                  <c:v>-290.71009011399758</c:v>
                </c:pt>
                <c:pt idx="13">
                  <c:v>-298.12348505527621</c:v>
                </c:pt>
                <c:pt idx="14">
                  <c:v>-301.29325033145363</c:v>
                </c:pt>
                <c:pt idx="15">
                  <c:v>-287.26107555818891</c:v>
                </c:pt>
                <c:pt idx="16">
                  <c:v>-295.67865607403672</c:v>
                </c:pt>
                <c:pt idx="17">
                  <c:v>-331.5572720867072</c:v>
                </c:pt>
                <c:pt idx="18">
                  <c:v>-295.05858685174655</c:v>
                </c:pt>
                <c:pt idx="19">
                  <c:v>-332.69920118792817</c:v>
                </c:pt>
                <c:pt idx="20">
                  <c:v>-384.52704577898936</c:v>
                </c:pt>
                <c:pt idx="21">
                  <c:v>-369.59476334895805</c:v>
                </c:pt>
                <c:pt idx="22">
                  <c:v>-381.75554538743347</c:v>
                </c:pt>
                <c:pt idx="23">
                  <c:v>-296.315833500471</c:v>
                </c:pt>
                <c:pt idx="24">
                  <c:v>-328.58242415007027</c:v>
                </c:pt>
                <c:pt idx="25">
                  <c:v>-282.52131770582633</c:v>
                </c:pt>
                <c:pt idx="26">
                  <c:v>-292.16008620719685</c:v>
                </c:pt>
                <c:pt idx="27">
                  <c:v>-288.81917128517796</c:v>
                </c:pt>
                <c:pt idx="28">
                  <c:v>-321.44648372579451</c:v>
                </c:pt>
                <c:pt idx="29">
                  <c:v>-294.64282954083467</c:v>
                </c:pt>
                <c:pt idx="30">
                  <c:v>-364.53288334775755</c:v>
                </c:pt>
                <c:pt idx="31">
                  <c:v>-368.90636609709696</c:v>
                </c:pt>
                <c:pt idx="32">
                  <c:v>-317.96544701716459</c:v>
                </c:pt>
                <c:pt idx="33">
                  <c:v>-371.67590540788734</c:v>
                </c:pt>
                <c:pt idx="34">
                  <c:v>-348.37420680576298</c:v>
                </c:pt>
                <c:pt idx="35">
                  <c:v>-353.14896399253558</c:v>
                </c:pt>
                <c:pt idx="36">
                  <c:v>-301.42802406985157</c:v>
                </c:pt>
                <c:pt idx="37">
                  <c:v>-308.15952672258271</c:v>
                </c:pt>
                <c:pt idx="38">
                  <c:v>-323.59007549031935</c:v>
                </c:pt>
                <c:pt idx="39">
                  <c:v>-333.06613947931248</c:v>
                </c:pt>
                <c:pt idx="40">
                  <c:v>-302.06331477293855</c:v>
                </c:pt>
                <c:pt idx="41">
                  <c:v>-381.62915277144697</c:v>
                </c:pt>
                <c:pt idx="42">
                  <c:v>-342.18318555289932</c:v>
                </c:pt>
                <c:pt idx="43">
                  <c:v>-321.36320032021587</c:v>
                </c:pt>
                <c:pt idx="44">
                  <c:v>-329.86725262226628</c:v>
                </c:pt>
                <c:pt idx="45">
                  <c:v>-312.86980115747531</c:v>
                </c:pt>
                <c:pt idx="46">
                  <c:v>-326.06933286254952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F4-2E4B-88B8-B5AF53CB9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953247"/>
        <c:axId val="1700954959"/>
      </c:scatterChart>
      <c:valAx>
        <c:axId val="170095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54959"/>
        <c:crosses val="autoZero"/>
        <c:crossBetween val="midCat"/>
      </c:valAx>
      <c:valAx>
        <c:axId val="1700954959"/>
        <c:scaling>
          <c:orientation val="minMax"/>
          <c:max val="-200"/>
          <c:min val="-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5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Temperature!$X$1</c:f>
              <c:strCache>
                <c:ptCount val="1"/>
                <c:pt idx="0">
                  <c:v>T12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Temperature!$X$2:$X$42</c:f>
              <c:numCache>
                <c:formatCode>General</c:formatCode>
                <c:ptCount val="41"/>
                <c:pt idx="0">
                  <c:v>125.965</c:v>
                </c:pt>
                <c:pt idx="1">
                  <c:v>88.430999999999997</c:v>
                </c:pt>
                <c:pt idx="2">
                  <c:v>85.688999999999993</c:v>
                </c:pt>
                <c:pt idx="3">
                  <c:v>82.605000000000004</c:v>
                </c:pt>
                <c:pt idx="4">
                  <c:v>96.277000000000001</c:v>
                </c:pt>
                <c:pt idx="5">
                  <c:v>110.645</c:v>
                </c:pt>
                <c:pt idx="6">
                  <c:v>126.71</c:v>
                </c:pt>
                <c:pt idx="7">
                  <c:v>124.595</c:v>
                </c:pt>
                <c:pt idx="8">
                  <c:v>93.076999999999998</c:v>
                </c:pt>
                <c:pt idx="9">
                  <c:v>110.51600000000001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7A-49A5-89FA-B0AE9EFBAC34}"/>
            </c:ext>
          </c:extLst>
        </c:ser>
        <c:ser>
          <c:idx val="1"/>
          <c:order val="1"/>
          <c:tx>
            <c:strRef>
              <c:f>Temperature!$Y$1</c:f>
              <c:strCache>
                <c:ptCount val="1"/>
                <c:pt idx="0">
                  <c:v>T16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Temperature!$Y$2:$Y$42</c:f>
              <c:numCache>
                <c:formatCode>General</c:formatCode>
                <c:ptCount val="41"/>
                <c:pt idx="10">
                  <c:v>133.48699999999999</c:v>
                </c:pt>
                <c:pt idx="11">
                  <c:v>115.869</c:v>
                </c:pt>
                <c:pt idx="12">
                  <c:v>121.268</c:v>
                </c:pt>
                <c:pt idx="13">
                  <c:v>143.64699999999999</c:v>
                </c:pt>
                <c:pt idx="14">
                  <c:v>168.876</c:v>
                </c:pt>
                <c:pt idx="15">
                  <c:v>133.46100000000001</c:v>
                </c:pt>
                <c:pt idx="16">
                  <c:v>103.893</c:v>
                </c:pt>
                <c:pt idx="17">
                  <c:v>210.93299999999999</c:v>
                </c:pt>
                <c:pt idx="18">
                  <c:v>206.04400000000001</c:v>
                </c:pt>
                <c:pt idx="19">
                  <c:v>131.07499999999999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7A-49A5-89FA-B0AE9EFBAC34}"/>
            </c:ext>
          </c:extLst>
        </c:ser>
        <c:ser>
          <c:idx val="2"/>
          <c:order val="2"/>
          <c:tx>
            <c:strRef>
              <c:f>Temperature!$Z$1</c:f>
              <c:strCache>
                <c:ptCount val="1"/>
                <c:pt idx="0">
                  <c:v>T20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840157480314963"/>
                  <c:y val="-9.37142752989209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Temperature!$V$2:$V$42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Temperature!$Z$2:$Z$42</c:f>
              <c:numCache>
                <c:formatCode>General</c:formatCode>
                <c:ptCount val="41"/>
                <c:pt idx="20">
                  <c:v>195.38300000000001</c:v>
                </c:pt>
                <c:pt idx="21">
                  <c:v>165.649</c:v>
                </c:pt>
                <c:pt idx="22">
                  <c:v>193.09200000000001</c:v>
                </c:pt>
                <c:pt idx="23">
                  <c:v>200.98699999999999</c:v>
                </c:pt>
                <c:pt idx="24">
                  <c:v>206.554</c:v>
                </c:pt>
                <c:pt idx="25">
                  <c:v>198.59700000000001</c:v>
                </c:pt>
                <c:pt idx="26">
                  <c:v>241.821</c:v>
                </c:pt>
                <c:pt idx="27">
                  <c:v>209.17699999999999</c:v>
                </c:pt>
                <c:pt idx="28">
                  <c:v>175.21100000000001</c:v>
                </c:pt>
                <c:pt idx="29">
                  <c:v>176.86600000000001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7A-49A5-89FA-B0AE9EFBAC34}"/>
            </c:ext>
          </c:extLst>
        </c:ser>
        <c:ser>
          <c:idx val="3"/>
          <c:order val="3"/>
          <c:tx>
            <c:strRef>
              <c:f>Temperature!$AA$1</c:f>
              <c:strCache>
                <c:ptCount val="1"/>
                <c:pt idx="0">
                  <c:v>T24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Temperature!$AA$2:$AA$42</c:f>
              <c:numCache>
                <c:formatCode>General</c:formatCode>
                <c:ptCount val="41"/>
                <c:pt idx="30">
                  <c:v>156.27099999999999</c:v>
                </c:pt>
                <c:pt idx="31">
                  <c:v>149.75399999999999</c:v>
                </c:pt>
                <c:pt idx="32">
                  <c:v>118.187</c:v>
                </c:pt>
                <c:pt idx="33">
                  <c:v>98.501000000000005</c:v>
                </c:pt>
                <c:pt idx="34">
                  <c:v>117.621</c:v>
                </c:pt>
                <c:pt idx="35">
                  <c:v>176.95599999999999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47A-49A5-89FA-B0AE9EFBA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159903"/>
        <c:axId val="1374160863"/>
      </c:scatterChart>
      <c:valAx>
        <c:axId val="137415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74160863"/>
        <c:crosses val="autoZero"/>
        <c:crossBetween val="midCat"/>
      </c:valAx>
      <c:valAx>
        <c:axId val="137416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7415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Temperature!$AD$1</c:f>
              <c:strCache>
                <c:ptCount val="1"/>
                <c:pt idx="0">
                  <c:v>Sttemp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7671719160104987"/>
                  <c:y val="-0.418302347623213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Temperature!$AC$2:$AC$42</c:f>
              <c:numCache>
                <c:formatCode>General</c:formatCode>
                <c:ptCount val="4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30</c:v>
                </c:pt>
              </c:numCache>
            </c:numRef>
          </c:xVal>
          <c:yVal>
            <c:numRef>
              <c:f>Temperature!$AD$2:$AD$42</c:f>
              <c:numCache>
                <c:formatCode>General</c:formatCode>
                <c:ptCount val="41"/>
                <c:pt idx="0">
                  <c:v>0.89148496941515987</c:v>
                </c:pt>
                <c:pt idx="1">
                  <c:v>0.61809715572662782</c:v>
                </c:pt>
                <c:pt idx="2">
                  <c:v>0.55206122260000445</c:v>
                </c:pt>
                <c:pt idx="3">
                  <c:v>0.52045093942679366</c:v>
                </c:pt>
                <c:pt idx="4">
                  <c:v>0.62949857321746128</c:v>
                </c:pt>
                <c:pt idx="5">
                  <c:v>0.71543114174493783</c:v>
                </c:pt>
                <c:pt idx="6">
                  <c:v>0.85126128059070083</c:v>
                </c:pt>
                <c:pt idx="7">
                  <c:v>0.89054919967176538</c:v>
                </c:pt>
                <c:pt idx="8">
                  <c:v>0.62762962906164776</c:v>
                </c:pt>
                <c:pt idx="9">
                  <c:v>0.76500226261840654</c:v>
                </c:pt>
                <c:pt idx="10">
                  <c:v>0.6615648541579594</c:v>
                </c:pt>
                <c:pt idx="11">
                  <c:v>0.54794498639491429</c:v>
                </c:pt>
                <c:pt idx="12">
                  <c:v>0.62960842933808725</c:v>
                </c:pt>
                <c:pt idx="13">
                  <c:v>0.68025047439958186</c:v>
                </c:pt>
                <c:pt idx="14">
                  <c:v>0.81750293227114534</c:v>
                </c:pt>
                <c:pt idx="15">
                  <c:v>0.66365540915299581</c:v>
                </c:pt>
                <c:pt idx="16">
                  <c:v>0.48890176861426732</c:v>
                </c:pt>
                <c:pt idx="17">
                  <c:v>1.0055999385064569</c:v>
                </c:pt>
                <c:pt idx="18">
                  <c:v>0.98171860109234277</c:v>
                </c:pt>
                <c:pt idx="19">
                  <c:v>0.6358499759713061</c:v>
                </c:pt>
                <c:pt idx="20">
                  <c:v>0.9811549215030656</c:v>
                </c:pt>
                <c:pt idx="21">
                  <c:v>0.98195701978704564</c:v>
                </c:pt>
                <c:pt idx="22">
                  <c:v>0.93319888488863634</c:v>
                </c:pt>
                <c:pt idx="23">
                  <c:v>1.0633640401667013</c:v>
                </c:pt>
                <c:pt idx="24">
                  <c:v>1.0333507663111707</c:v>
                </c:pt>
                <c:pt idx="25">
                  <c:v>1.0305774596570576</c:v>
                </c:pt>
                <c:pt idx="26">
                  <c:v>1.1706733549766759</c:v>
                </c:pt>
                <c:pt idx="27">
                  <c:v>1.0748809017786001</c:v>
                </c:pt>
                <c:pt idx="28">
                  <c:v>0.86544174285916342</c:v>
                </c:pt>
                <c:pt idx="29">
                  <c:v>0.86626815250905997</c:v>
                </c:pt>
                <c:pt idx="30">
                  <c:v>0.78065373329140919</c:v>
                </c:pt>
                <c:pt idx="31">
                  <c:v>0.79136866677469042</c:v>
                </c:pt>
                <c:pt idx="32">
                  <c:v>0.63619102599952193</c:v>
                </c:pt>
                <c:pt idx="33">
                  <c:v>0.52751996517125799</c:v>
                </c:pt>
                <c:pt idx="34">
                  <c:v>0.59847315599873629</c:v>
                </c:pt>
                <c:pt idx="35">
                  <c:v>0.87839527701348952</c:v>
                </c:pt>
                <c:pt idx="36">
                  <c:v>0.5275510023140263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DA-49DD-8DC1-65E175FB7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044367"/>
        <c:axId val="706045327"/>
      </c:scatterChart>
      <c:valAx>
        <c:axId val="706044367"/>
        <c:scaling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Target temp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06045327"/>
        <c:crosses val="autoZero"/>
        <c:crossBetween val="midCat"/>
      </c:valAx>
      <c:valAx>
        <c:axId val="706045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0604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Temperature_POR!$X$1</c:f>
              <c:strCache>
                <c:ptCount val="1"/>
                <c:pt idx="0">
                  <c:v>T12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Temperature_POR!$V$2:$V$42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Temperature_POR!$X$2:$X$42</c:f>
              <c:numCache>
                <c:formatCode>General</c:formatCode>
                <c:ptCount val="41"/>
                <c:pt idx="0">
                  <c:v>110.327</c:v>
                </c:pt>
                <c:pt idx="1">
                  <c:v>110.425</c:v>
                </c:pt>
                <c:pt idx="2">
                  <c:v>128.37</c:v>
                </c:pt>
                <c:pt idx="3">
                  <c:v>130.673</c:v>
                </c:pt>
                <c:pt idx="4">
                  <c:v>92.605000000000004</c:v>
                </c:pt>
                <c:pt idx="5">
                  <c:v>109.992</c:v>
                </c:pt>
                <c:pt idx="6">
                  <c:v>87.034999999999997</c:v>
                </c:pt>
                <c:pt idx="7">
                  <c:v>118.70099999999999</c:v>
                </c:pt>
                <c:pt idx="8">
                  <c:v>113.773</c:v>
                </c:pt>
                <c:pt idx="9">
                  <c:v>103.771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1-2949-BC5B-007C45877454}"/>
            </c:ext>
          </c:extLst>
        </c:ser>
        <c:ser>
          <c:idx val="1"/>
          <c:order val="1"/>
          <c:tx>
            <c:strRef>
              <c:f>Temperature_POR!$Y$1</c:f>
              <c:strCache>
                <c:ptCount val="1"/>
                <c:pt idx="0">
                  <c:v>T16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Temperature_POR!$V$2:$V$42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Temperature_POR!$Y$2:$Y$42</c:f>
              <c:numCache>
                <c:formatCode>General</c:formatCode>
                <c:ptCount val="41"/>
                <c:pt idx="10">
                  <c:v>175.614</c:v>
                </c:pt>
                <c:pt idx="11">
                  <c:v>255.84700000000001</c:v>
                </c:pt>
                <c:pt idx="12">
                  <c:v>299.37900000000002</c:v>
                </c:pt>
                <c:pt idx="13">
                  <c:v>299.03300000000002</c:v>
                </c:pt>
                <c:pt idx="14">
                  <c:v>254.18600000000001</c:v>
                </c:pt>
                <c:pt idx="15">
                  <c:v>184.71</c:v>
                </c:pt>
                <c:pt idx="16">
                  <c:v>203.91300000000001</c:v>
                </c:pt>
                <c:pt idx="17">
                  <c:v>281.80599999999998</c:v>
                </c:pt>
                <c:pt idx="18">
                  <c:v>255.20699999999999</c:v>
                </c:pt>
                <c:pt idx="19">
                  <c:v>274.56900000000002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51-2949-BC5B-007C45877454}"/>
            </c:ext>
          </c:extLst>
        </c:ser>
        <c:ser>
          <c:idx val="2"/>
          <c:order val="2"/>
          <c:tx>
            <c:strRef>
              <c:f>Temperature_POR!$Z$1</c:f>
              <c:strCache>
                <c:ptCount val="1"/>
                <c:pt idx="0">
                  <c:v>T20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840157480314963"/>
                  <c:y val="-9.37142752989209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Temperature_POR!$V$2:$V$42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Temperature_POR!$Z$2:$Z$42</c:f>
              <c:numCache>
                <c:formatCode>General</c:formatCode>
                <c:ptCount val="41"/>
                <c:pt idx="20">
                  <c:v>263.70299999999997</c:v>
                </c:pt>
                <c:pt idx="21">
                  <c:v>250.63200000000001</c:v>
                </c:pt>
                <c:pt idx="22">
                  <c:v>300.92099999999999</c:v>
                </c:pt>
                <c:pt idx="23">
                  <c:v>321.85700000000003</c:v>
                </c:pt>
                <c:pt idx="24">
                  <c:v>291.67500000000001</c:v>
                </c:pt>
                <c:pt idx="25">
                  <c:v>241.78399999999999</c:v>
                </c:pt>
                <c:pt idx="26">
                  <c:v>295.81900000000002</c:v>
                </c:pt>
                <c:pt idx="27">
                  <c:v>243.73099999999999</c:v>
                </c:pt>
                <c:pt idx="28">
                  <c:v>342.029</c:v>
                </c:pt>
                <c:pt idx="29">
                  <c:v>197.16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51-2949-BC5B-007C45877454}"/>
            </c:ext>
          </c:extLst>
        </c:ser>
        <c:ser>
          <c:idx val="3"/>
          <c:order val="3"/>
          <c:tx>
            <c:strRef>
              <c:f>Temperature_POR!$AA$1</c:f>
              <c:strCache>
                <c:ptCount val="1"/>
                <c:pt idx="0">
                  <c:v>T24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Temperature_POR!$V$2:$V$42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Temperature_POR!$AA$2:$AA$42</c:f>
              <c:numCache>
                <c:formatCode>General</c:formatCode>
                <c:ptCount val="41"/>
                <c:pt idx="30">
                  <c:v>145.624</c:v>
                </c:pt>
                <c:pt idx="31">
                  <c:v>109.623</c:v>
                </c:pt>
                <c:pt idx="32">
                  <c:v>105.71</c:v>
                </c:pt>
                <c:pt idx="33">
                  <c:v>113.151</c:v>
                </c:pt>
                <c:pt idx="34">
                  <c:v>119.473</c:v>
                </c:pt>
                <c:pt idx="35">
                  <c:v>93.528000000000006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E51-2949-BC5B-007C45877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159903"/>
        <c:axId val="1374160863"/>
      </c:scatterChart>
      <c:valAx>
        <c:axId val="137415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74160863"/>
        <c:crosses val="autoZero"/>
        <c:crossBetween val="midCat"/>
      </c:valAx>
      <c:valAx>
        <c:axId val="137416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7415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Sttemp_POR</a:t>
            </a:r>
          </a:p>
        </c:rich>
      </c:tx>
      <c:layout>
        <c:manualLayout>
          <c:xMode val="edge"/>
          <c:yMode val="edge"/>
          <c:x val="0.2849652230971128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Temperature_POR!$AD$1</c:f>
              <c:strCache>
                <c:ptCount val="1"/>
                <c:pt idx="0">
                  <c:v>Sttemp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5011942257217847"/>
                  <c:y val="-0.509225721784776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Temperature_POR!$AC$2:$AC$38</c:f>
              <c:numCache>
                <c:formatCode>General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30</c:v>
                </c:pt>
              </c:numCache>
            </c:numRef>
          </c:xVal>
          <c:yVal>
            <c:numRef>
              <c:f>Temperature_POR!$AD$2:$AD$38</c:f>
              <c:numCache>
                <c:formatCode>General</c:formatCode>
                <c:ptCount val="37"/>
                <c:pt idx="0">
                  <c:v>2.5541339068443327</c:v>
                </c:pt>
                <c:pt idx="1">
                  <c:v>2.6383316121663771</c:v>
                </c:pt>
                <c:pt idx="2">
                  <c:v>2.6217600171105588</c:v>
                </c:pt>
                <c:pt idx="3">
                  <c:v>2.601634902519979</c:v>
                </c:pt>
                <c:pt idx="4">
                  <c:v>2.2614158098085353</c:v>
                </c:pt>
                <c:pt idx="5">
                  <c:v>2.3639302992938211</c:v>
                </c:pt>
                <c:pt idx="6">
                  <c:v>2.1939797380912767</c:v>
                </c:pt>
                <c:pt idx="7">
                  <c:v>2.6702062966594986</c:v>
                </c:pt>
                <c:pt idx="8">
                  <c:v>2.5603591946665132</c:v>
                </c:pt>
                <c:pt idx="9">
                  <c:v>2.4670181482390841</c:v>
                </c:pt>
                <c:pt idx="10">
                  <c:v>2.2496351121648388</c:v>
                </c:pt>
                <c:pt idx="11">
                  <c:v>2.7393328850559397</c:v>
                </c:pt>
                <c:pt idx="12">
                  <c:v>3.3249101167184434</c:v>
                </c:pt>
                <c:pt idx="13">
                  <c:v>2.9806232868933717</c:v>
                </c:pt>
                <c:pt idx="14">
                  <c:v>2.6970161461270767</c:v>
                </c:pt>
                <c:pt idx="15">
                  <c:v>2.3231121613501937</c:v>
                </c:pt>
                <c:pt idx="16">
                  <c:v>2.3956925163404215</c:v>
                </c:pt>
                <c:pt idx="17">
                  <c:v>2.8024503505034906</c:v>
                </c:pt>
                <c:pt idx="18">
                  <c:v>2.6261729293022809</c:v>
                </c:pt>
                <c:pt idx="19">
                  <c:v>2.9063557961248381</c:v>
                </c:pt>
                <c:pt idx="20">
                  <c:v>2.83732157717637</c:v>
                </c:pt>
                <c:pt idx="21">
                  <c:v>3.2773524689582993</c:v>
                </c:pt>
                <c:pt idx="22">
                  <c:v>2.9871776651042743</c:v>
                </c:pt>
                <c:pt idx="23">
                  <c:v>3.4181501790959086</c:v>
                </c:pt>
                <c:pt idx="24">
                  <c:v>3.0140613677933605</c:v>
                </c:pt>
                <c:pt idx="25">
                  <c:v>2.7683718241808295</c:v>
                </c:pt>
                <c:pt idx="26">
                  <c:v>2.9192802768660129</c:v>
                </c:pt>
                <c:pt idx="27">
                  <c:v>2.7467586611638852</c:v>
                </c:pt>
                <c:pt idx="28">
                  <c:v>3.3624066340075602</c:v>
                </c:pt>
                <c:pt idx="29">
                  <c:v>2.3221658139443138</c:v>
                </c:pt>
                <c:pt idx="30">
                  <c:v>2.0209873719612212</c:v>
                </c:pt>
                <c:pt idx="31">
                  <c:v>1.8711989141434977</c:v>
                </c:pt>
                <c:pt idx="32">
                  <c:v>1.9192029835523696</c:v>
                </c:pt>
                <c:pt idx="33">
                  <c:v>2.0124518220192038</c:v>
                </c:pt>
                <c:pt idx="34">
                  <c:v>1.9184139111278682</c:v>
                </c:pt>
                <c:pt idx="35">
                  <c:v>1.6213731190523468</c:v>
                </c:pt>
                <c:pt idx="36">
                  <c:v>2.2536128142825276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3-FF4B-AC4D-4725C1EF5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924304"/>
        <c:axId val="324229232"/>
      </c:scatterChart>
      <c:valAx>
        <c:axId val="1482924304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29232"/>
        <c:crosses val="autoZero"/>
        <c:crossBetween val="midCat"/>
      </c:valAx>
      <c:valAx>
        <c:axId val="32422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92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Temperature_BR!$X$1</c:f>
              <c:strCache>
                <c:ptCount val="1"/>
                <c:pt idx="0">
                  <c:v>T12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Temperature_BR!$V$2:$V$42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Temperature_BR!$X$2:$X$42</c:f>
              <c:numCache>
                <c:formatCode>General</c:formatCode>
                <c:ptCount val="41"/>
                <c:pt idx="0">
                  <c:v>176.25200000000001</c:v>
                </c:pt>
                <c:pt idx="1">
                  <c:v>195.96600000000001</c:v>
                </c:pt>
                <c:pt idx="2">
                  <c:v>219.471</c:v>
                </c:pt>
                <c:pt idx="3">
                  <c:v>217.37</c:v>
                </c:pt>
                <c:pt idx="4">
                  <c:v>211.94800000000001</c:v>
                </c:pt>
                <c:pt idx="5">
                  <c:v>213.126</c:v>
                </c:pt>
                <c:pt idx="6">
                  <c:v>188.88900000000001</c:v>
                </c:pt>
                <c:pt idx="7">
                  <c:v>163.54599999999999</c:v>
                </c:pt>
                <c:pt idx="8">
                  <c:v>202.464</c:v>
                </c:pt>
                <c:pt idx="9">
                  <c:v>185.107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BB-0242-AF01-4D13963E4D31}"/>
            </c:ext>
          </c:extLst>
        </c:ser>
        <c:ser>
          <c:idx val="1"/>
          <c:order val="1"/>
          <c:tx>
            <c:strRef>
              <c:f>Temperature_BR!$Y$1</c:f>
              <c:strCache>
                <c:ptCount val="1"/>
                <c:pt idx="0">
                  <c:v>T16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Temperature_BR!$V$2:$V$42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Temperature_BR!$Y$2:$Y$42</c:f>
              <c:numCache>
                <c:formatCode>General</c:formatCode>
                <c:ptCount val="41"/>
                <c:pt idx="10">
                  <c:v>264.96699999999998</c:v>
                </c:pt>
                <c:pt idx="11">
                  <c:v>297.37700000000001</c:v>
                </c:pt>
                <c:pt idx="12">
                  <c:v>300.08100000000002</c:v>
                </c:pt>
                <c:pt idx="13">
                  <c:v>287.88</c:v>
                </c:pt>
                <c:pt idx="15">
                  <c:v>283.23599999999999</c:v>
                </c:pt>
                <c:pt idx="16">
                  <c:v>304.45699999999999</c:v>
                </c:pt>
                <c:pt idx="17">
                  <c:v>295.81900000000002</c:v>
                </c:pt>
                <c:pt idx="18">
                  <c:v>304.76</c:v>
                </c:pt>
                <c:pt idx="19">
                  <c:v>278.17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BB-0242-AF01-4D13963E4D31}"/>
            </c:ext>
          </c:extLst>
        </c:ser>
        <c:ser>
          <c:idx val="2"/>
          <c:order val="2"/>
          <c:tx>
            <c:strRef>
              <c:f>Temperature_BR!$Z$1</c:f>
              <c:strCache>
                <c:ptCount val="1"/>
                <c:pt idx="0">
                  <c:v>T20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840157480314963"/>
                  <c:y val="-9.37142752989209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Temperature_BR!$V$2:$V$42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Temperature_BR!$Z$2:$Z$42</c:f>
              <c:numCache>
                <c:formatCode>General</c:formatCode>
                <c:ptCount val="41"/>
                <c:pt idx="20">
                  <c:v>269.91500000000002</c:v>
                </c:pt>
                <c:pt idx="21">
                  <c:v>213.48599999999999</c:v>
                </c:pt>
                <c:pt idx="22">
                  <c:v>296.62</c:v>
                </c:pt>
                <c:pt idx="23">
                  <c:v>254.36</c:v>
                </c:pt>
                <c:pt idx="24">
                  <c:v>291.75</c:v>
                </c:pt>
                <c:pt idx="25">
                  <c:v>265.92399999999998</c:v>
                </c:pt>
                <c:pt idx="26">
                  <c:v>277.33300000000003</c:v>
                </c:pt>
                <c:pt idx="27">
                  <c:v>261.928</c:v>
                </c:pt>
                <c:pt idx="28">
                  <c:v>315.48700000000002</c:v>
                </c:pt>
                <c:pt idx="29">
                  <c:v>266.96600000000001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BB-0242-AF01-4D13963E4D31}"/>
            </c:ext>
          </c:extLst>
        </c:ser>
        <c:ser>
          <c:idx val="3"/>
          <c:order val="3"/>
          <c:tx>
            <c:strRef>
              <c:f>Temperature_BR!$AA$1</c:f>
              <c:strCache>
                <c:ptCount val="1"/>
                <c:pt idx="0">
                  <c:v>T24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Temperature_BR!$V$2:$V$42</c:f>
              <c:numCache>
                <c:formatCode>General</c:formatCode>
                <c:ptCount val="41"/>
                <c:pt idx="0">
                  <c:v>262.94</c:v>
                </c:pt>
                <c:pt idx="1">
                  <c:v>254.65</c:v>
                </c:pt>
                <c:pt idx="2">
                  <c:v>274.92</c:v>
                </c:pt>
                <c:pt idx="3">
                  <c:v>279.45999999999998</c:v>
                </c:pt>
                <c:pt idx="4">
                  <c:v>275.61</c:v>
                </c:pt>
                <c:pt idx="5">
                  <c:v>283.70999999999998</c:v>
                </c:pt>
                <c:pt idx="6">
                  <c:v>277.16000000000003</c:v>
                </c:pt>
                <c:pt idx="7">
                  <c:v>260.06</c:v>
                </c:pt>
                <c:pt idx="8">
                  <c:v>265.97000000000003</c:v>
                </c:pt>
                <c:pt idx="9">
                  <c:v>264.98</c:v>
                </c:pt>
                <c:pt idx="10">
                  <c:v>377.65</c:v>
                </c:pt>
                <c:pt idx="11">
                  <c:v>389.99</c:v>
                </c:pt>
                <c:pt idx="12">
                  <c:v>357</c:v>
                </c:pt>
                <c:pt idx="13">
                  <c:v>397.92</c:v>
                </c:pt>
                <c:pt idx="14">
                  <c:v>394.43</c:v>
                </c:pt>
                <c:pt idx="15">
                  <c:v>376.38</c:v>
                </c:pt>
                <c:pt idx="16">
                  <c:v>386.83</c:v>
                </c:pt>
                <c:pt idx="17">
                  <c:v>406.46</c:v>
                </c:pt>
                <c:pt idx="18">
                  <c:v>406.13</c:v>
                </c:pt>
                <c:pt idx="19">
                  <c:v>385.14</c:v>
                </c:pt>
                <c:pt idx="20">
                  <c:v>384.07</c:v>
                </c:pt>
                <c:pt idx="21">
                  <c:v>321.63</c:v>
                </c:pt>
                <c:pt idx="22">
                  <c:v>398.77</c:v>
                </c:pt>
                <c:pt idx="23">
                  <c:v>365.19</c:v>
                </c:pt>
                <c:pt idx="24">
                  <c:v>386.85</c:v>
                </c:pt>
                <c:pt idx="25">
                  <c:v>372.05</c:v>
                </c:pt>
                <c:pt idx="26">
                  <c:v>403.28</c:v>
                </c:pt>
                <c:pt idx="27">
                  <c:v>376.91</c:v>
                </c:pt>
                <c:pt idx="28">
                  <c:v>387.6</c:v>
                </c:pt>
                <c:pt idx="29">
                  <c:v>391.15</c:v>
                </c:pt>
                <c:pt idx="30">
                  <c:v>379.92</c:v>
                </c:pt>
                <c:pt idx="31">
                  <c:v>357.88</c:v>
                </c:pt>
                <c:pt idx="32">
                  <c:v>343.37</c:v>
                </c:pt>
                <c:pt idx="33">
                  <c:v>337.54</c:v>
                </c:pt>
                <c:pt idx="34">
                  <c:v>363.07</c:v>
                </c:pt>
                <c:pt idx="35">
                  <c:v>385.96</c:v>
                </c:pt>
                <c:pt idx="36">
                  <c:v>374.42</c:v>
                </c:pt>
              </c:numCache>
            </c:numRef>
          </c:xVal>
          <c:yVal>
            <c:numRef>
              <c:f>Temperature_BR!$AA$2:$AA$42</c:f>
              <c:numCache>
                <c:formatCode>General</c:formatCode>
                <c:ptCount val="41"/>
                <c:pt idx="30">
                  <c:v>276.58600000000001</c:v>
                </c:pt>
                <c:pt idx="31">
                  <c:v>261.85700000000003</c:v>
                </c:pt>
                <c:pt idx="32">
                  <c:v>254.291</c:v>
                </c:pt>
                <c:pt idx="33">
                  <c:v>251.80600000000001</c:v>
                </c:pt>
                <c:pt idx="34">
                  <c:v>279.75299999999999</c:v>
                </c:pt>
                <c:pt idx="35">
                  <c:v>298.83600000000001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EBB-0242-AF01-4D13963E4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159903"/>
        <c:axId val="1374160863"/>
      </c:scatterChart>
      <c:valAx>
        <c:axId val="137415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74160863"/>
        <c:crosses val="autoZero"/>
        <c:crossBetween val="midCat"/>
      </c:valAx>
      <c:valAx>
        <c:axId val="137416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7415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Sttemp_BR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Temperature_BR!$AD$1</c:f>
              <c:strCache>
                <c:ptCount val="1"/>
                <c:pt idx="0">
                  <c:v>Sttemp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7962270341207348"/>
                  <c:y val="-0.245706838728492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Temperature_BR!$AC$2:$AC$38</c:f>
              <c:numCache>
                <c:formatCode>General</c:formatCode>
                <c:ptCount val="3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30</c:v>
                </c:pt>
              </c:numCache>
            </c:numRef>
          </c:xVal>
          <c:yVal>
            <c:numRef>
              <c:f>Temperature_BR!$AD$2:$AD$38</c:f>
              <c:numCache>
                <c:formatCode>General</c:formatCode>
                <c:ptCount val="37"/>
                <c:pt idx="0">
                  <c:v>1.542619220416102</c:v>
                </c:pt>
                <c:pt idx="1">
                  <c:v>1.7063017728091299</c:v>
                </c:pt>
                <c:pt idx="2">
                  <c:v>1.705803150089374</c:v>
                </c:pt>
                <c:pt idx="3">
                  <c:v>1.6670726092748605</c:v>
                </c:pt>
                <c:pt idx="4">
                  <c:v>1.6615270140948537</c:v>
                </c:pt>
                <c:pt idx="5">
                  <c:v>1.620175438365383</c:v>
                </c:pt>
                <c:pt idx="6">
                  <c:v>1.5302982976746173</c:v>
                </c:pt>
                <c:pt idx="7">
                  <c:v>1.4880950200457128</c:v>
                </c:pt>
                <c:pt idx="8">
                  <c:v>1.6694868458313119</c:v>
                </c:pt>
                <c:pt idx="9">
                  <c:v>1.5797209597516542</c:v>
                </c:pt>
                <c:pt idx="10">
                  <c:v>1.4183496568554903</c:v>
                </c:pt>
                <c:pt idx="11">
                  <c:v>1.4952712816602769</c:v>
                </c:pt>
                <c:pt idx="12">
                  <c:v>1.6445487765676403</c:v>
                </c:pt>
                <c:pt idx="13">
                  <c:v>1.43049293818697</c:v>
                </c:pt>
                <c:pt idx="15">
                  <c:v>1.4942753595100675</c:v>
                </c:pt>
                <c:pt idx="16">
                  <c:v>1.5343109745622157</c:v>
                </c:pt>
                <c:pt idx="17">
                  <c:v>1.4290641000545283</c:v>
                </c:pt>
                <c:pt idx="18">
                  <c:v>1.4624913216679434</c:v>
                </c:pt>
                <c:pt idx="19">
                  <c:v>1.4410096936147847</c:v>
                </c:pt>
                <c:pt idx="20">
                  <c:v>1.4135227689548522</c:v>
                </c:pt>
                <c:pt idx="21">
                  <c:v>1.4307981244353078</c:v>
                </c:pt>
                <c:pt idx="22">
                  <c:v>1.459566578484887</c:v>
                </c:pt>
                <c:pt idx="23">
                  <c:v>1.4241731711740848</c:v>
                </c:pt>
                <c:pt idx="24">
                  <c:v>1.4860895482895846</c:v>
                </c:pt>
                <c:pt idx="25">
                  <c:v>1.4434682347388099</c:v>
                </c:pt>
                <c:pt idx="26">
                  <c:v>1.3731495246235741</c:v>
                </c:pt>
                <c:pt idx="27">
                  <c:v>1.4093170662542456</c:v>
                </c:pt>
                <c:pt idx="28">
                  <c:v>1.5729706494166893</c:v>
                </c:pt>
                <c:pt idx="29">
                  <c:v>1.3768874963281945</c:v>
                </c:pt>
                <c:pt idx="30">
                  <c:v>1.454698131099871</c:v>
                </c:pt>
                <c:pt idx="31">
                  <c:v>1.4839656746511256</c:v>
                </c:pt>
                <c:pt idx="32">
                  <c:v>1.5143800327495978</c:v>
                </c:pt>
                <c:pt idx="33">
                  <c:v>1.5297463379872811</c:v>
                </c:pt>
                <c:pt idx="34">
                  <c:v>1.534994814220892</c:v>
                </c:pt>
                <c:pt idx="35">
                  <c:v>1.5164245069353326</c:v>
                </c:pt>
                <c:pt idx="36">
                  <c:v>1.5184597436051623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8-254F-A14B-CA6DFBC1C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739536"/>
        <c:axId val="1267540592"/>
      </c:scatterChart>
      <c:valAx>
        <c:axId val="1266739536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40592"/>
        <c:crosses val="autoZero"/>
        <c:crossBetween val="midCat"/>
      </c:valAx>
      <c:valAx>
        <c:axId val="126754059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73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Lithium!$X$1</c:f>
              <c:strCache>
                <c:ptCount val="1"/>
                <c:pt idx="0">
                  <c:v>Li 0.18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822234666240017"/>
                  <c:y val="-0.11701881014873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Lithium!$X$2:$X$51</c:f>
              <c:numCache>
                <c:formatCode>General</c:formatCode>
                <c:ptCount val="50"/>
                <c:pt idx="0">
                  <c:v>138.321</c:v>
                </c:pt>
                <c:pt idx="1">
                  <c:v>199.17</c:v>
                </c:pt>
                <c:pt idx="2">
                  <c:v>142.91800000000001</c:v>
                </c:pt>
                <c:pt idx="3">
                  <c:v>173.17</c:v>
                </c:pt>
                <c:pt idx="4">
                  <c:v>137.405</c:v>
                </c:pt>
                <c:pt idx="5">
                  <c:v>165.90100000000001</c:v>
                </c:pt>
                <c:pt idx="6">
                  <c:v>139.91900000000001</c:v>
                </c:pt>
                <c:pt idx="7">
                  <c:v>151.602</c:v>
                </c:pt>
                <c:pt idx="8">
                  <c:v>167.566</c:v>
                </c:pt>
                <c:pt idx="9">
                  <c:v>197.36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AE-48C1-85B7-654481F181F2}"/>
            </c:ext>
          </c:extLst>
        </c:ser>
        <c:ser>
          <c:idx val="1"/>
          <c:order val="1"/>
          <c:tx>
            <c:strRef>
              <c:f>Lithium!$Y$1</c:f>
              <c:strCache>
                <c:ptCount val="1"/>
                <c:pt idx="0">
                  <c:v>Li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992983097722366"/>
                  <c:y val="0.485737459900845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Lithium!$Y$2:$Y$51</c:f>
              <c:numCache>
                <c:formatCode>General</c:formatCode>
                <c:ptCount val="50"/>
                <c:pt idx="10">
                  <c:v>172.047</c:v>
                </c:pt>
                <c:pt idx="11">
                  <c:v>159.834</c:v>
                </c:pt>
                <c:pt idx="12">
                  <c:v>205.114</c:v>
                </c:pt>
                <c:pt idx="13">
                  <c:v>199.78200000000001</c:v>
                </c:pt>
                <c:pt idx="14">
                  <c:v>166.501</c:v>
                </c:pt>
                <c:pt idx="15">
                  <c:v>220.34299999999999</c:v>
                </c:pt>
                <c:pt idx="16">
                  <c:v>182.857</c:v>
                </c:pt>
                <c:pt idx="17">
                  <c:v>176.46199999999999</c:v>
                </c:pt>
                <c:pt idx="18">
                  <c:v>188.56899999999999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AE-48C1-85B7-654481F181F2}"/>
            </c:ext>
          </c:extLst>
        </c:ser>
        <c:ser>
          <c:idx val="2"/>
          <c:order val="2"/>
          <c:tx>
            <c:strRef>
              <c:f>Lithium!$Z$1</c:f>
              <c:strCache>
                <c:ptCount val="1"/>
                <c:pt idx="0">
                  <c:v>Li 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742854530701805"/>
                  <c:y val="0.51383056284631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Lithium!$Z$2:$Z$51</c:f>
              <c:numCache>
                <c:formatCode>General</c:formatCode>
                <c:ptCount val="50"/>
                <c:pt idx="19">
                  <c:v>213.92099999999999</c:v>
                </c:pt>
                <c:pt idx="20">
                  <c:v>222.93199999999999</c:v>
                </c:pt>
                <c:pt idx="21">
                  <c:v>209.15700000000001</c:v>
                </c:pt>
                <c:pt idx="22">
                  <c:v>202.22300000000001</c:v>
                </c:pt>
                <c:pt idx="23">
                  <c:v>240.733</c:v>
                </c:pt>
                <c:pt idx="24">
                  <c:v>250.911</c:v>
                </c:pt>
                <c:pt idx="25">
                  <c:v>200.679</c:v>
                </c:pt>
                <c:pt idx="26">
                  <c:v>172.83099999999999</c:v>
                </c:pt>
                <c:pt idx="27">
                  <c:v>255.376</c:v>
                </c:pt>
                <c:pt idx="28">
                  <c:v>179.209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AE-48C1-85B7-654481F181F2}"/>
            </c:ext>
          </c:extLst>
        </c:ser>
        <c:ser>
          <c:idx val="3"/>
          <c:order val="3"/>
          <c:tx>
            <c:strRef>
              <c:f>Lithium!$AA$1</c:f>
              <c:strCache>
                <c:ptCount val="1"/>
                <c:pt idx="0">
                  <c:v>Li 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151446236129044E-2"/>
                  <c:y val="0.48954250510352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Lithium!$AA$2:$AA$51</c:f>
              <c:numCache>
                <c:formatCode>General</c:formatCode>
                <c:ptCount val="50"/>
                <c:pt idx="29">
                  <c:v>169.8</c:v>
                </c:pt>
                <c:pt idx="30">
                  <c:v>165.18799999999999</c:v>
                </c:pt>
                <c:pt idx="31">
                  <c:v>194.44</c:v>
                </c:pt>
                <c:pt idx="32">
                  <c:v>174.601</c:v>
                </c:pt>
                <c:pt idx="33">
                  <c:v>203.13300000000001</c:v>
                </c:pt>
                <c:pt idx="34">
                  <c:v>144.28899999999999</c:v>
                </c:pt>
                <c:pt idx="35">
                  <c:v>100.59699999999999</c:v>
                </c:pt>
                <c:pt idx="36">
                  <c:v>163.39099999999999</c:v>
                </c:pt>
                <c:pt idx="37">
                  <c:v>224.97900000000001</c:v>
                </c:pt>
                <c:pt idx="38">
                  <c:v>220.06700000000001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AE-48C1-85B7-654481F181F2}"/>
            </c:ext>
          </c:extLst>
        </c:ser>
        <c:ser>
          <c:idx val="4"/>
          <c:order val="4"/>
          <c:tx>
            <c:strRef>
              <c:f>Lithium!$AB$1</c:f>
              <c:strCache>
                <c:ptCount val="1"/>
                <c:pt idx="0">
                  <c:v>Li 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903001420903665"/>
                  <c:y val="0.574074074074074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Lithium!$AB$2:$AB$51</c:f>
              <c:numCache>
                <c:formatCode>General</c:formatCode>
                <c:ptCount val="50"/>
                <c:pt idx="39">
                  <c:v>219.876</c:v>
                </c:pt>
                <c:pt idx="40">
                  <c:v>171.898</c:v>
                </c:pt>
                <c:pt idx="41">
                  <c:v>197.16800000000001</c:v>
                </c:pt>
                <c:pt idx="42">
                  <c:v>202.904</c:v>
                </c:pt>
                <c:pt idx="43">
                  <c:v>189.29400000000001</c:v>
                </c:pt>
                <c:pt idx="44">
                  <c:v>161.69300000000001</c:v>
                </c:pt>
                <c:pt idx="45">
                  <c:v>157.96299999999999</c:v>
                </c:pt>
                <c:pt idx="46">
                  <c:v>204.52699999999999</c:v>
                </c:pt>
                <c:pt idx="47">
                  <c:v>170.22</c:v>
                </c:pt>
                <c:pt idx="48">
                  <c:v>155.476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BAE-48C1-85B7-654481F1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203999"/>
        <c:axId val="1436206879"/>
      </c:scatterChart>
      <c:valAx>
        <c:axId val="1436203999"/>
        <c:scaling>
          <c:orientation val="minMax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BL</a:t>
                </a:r>
              </a:p>
            </c:rich>
          </c:tx>
          <c:layout>
            <c:manualLayout>
              <c:xMode val="edge"/>
              <c:yMode val="edge"/>
              <c:x val="0.49701396904487083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206879"/>
        <c:crosses val="autoZero"/>
        <c:crossBetween val="midCat"/>
      </c:valAx>
      <c:valAx>
        <c:axId val="14362068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Parameter</a:t>
                </a:r>
              </a:p>
              <a:p>
                <a:pPr>
                  <a:defRPr/>
                </a:pP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20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Lithium!$AE$1</c:f>
              <c:strCache>
                <c:ptCount val="1"/>
                <c:pt idx="0">
                  <c:v>StAL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Lithium!$AD$2:$AD$50</c:f>
              <c:numCache>
                <c:formatCode>General</c:formatCode>
                <c:ptCount val="49"/>
                <c:pt idx="0">
                  <c:v>0.18</c:v>
                </c:pt>
                <c:pt idx="1">
                  <c:v>0.18</c:v>
                </c:pt>
                <c:pt idx="2">
                  <c:v>0.18</c:v>
                </c:pt>
                <c:pt idx="3">
                  <c:v>0.18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0.18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</c:numCache>
            </c:numRef>
          </c:xVal>
          <c:yVal>
            <c:numRef>
              <c:f>Lithium!$AE$2:$AE$50</c:f>
              <c:numCache>
                <c:formatCode>General</c:formatCode>
                <c:ptCount val="49"/>
                <c:pt idx="0">
                  <c:v>0.95497405479216635</c:v>
                </c:pt>
                <c:pt idx="1">
                  <c:v>1.0141675585908143</c:v>
                </c:pt>
                <c:pt idx="2">
                  <c:v>0.98734174742297742</c:v>
                </c:pt>
                <c:pt idx="3">
                  <c:v>1.068061039626246</c:v>
                </c:pt>
                <c:pt idx="4">
                  <c:v>0.93945460942052939</c:v>
                </c:pt>
                <c:pt idx="5">
                  <c:v>0.98477960347813287</c:v>
                </c:pt>
                <c:pt idx="6">
                  <c:v>0.9700756864647766</c:v>
                </c:pt>
                <c:pt idx="7">
                  <c:v>1.0390628145917937</c:v>
                </c:pt>
                <c:pt idx="8">
                  <c:v>1.0375661406358963</c:v>
                </c:pt>
                <c:pt idx="9">
                  <c:v>1.0051951526849048</c:v>
                </c:pt>
                <c:pt idx="10">
                  <c:v>0.90720512019102961</c:v>
                </c:pt>
                <c:pt idx="11">
                  <c:v>1.0180632993673726</c:v>
                </c:pt>
                <c:pt idx="12">
                  <c:v>1.1400756581533789</c:v>
                </c:pt>
                <c:pt idx="13">
                  <c:v>1.1345065626411193</c:v>
                </c:pt>
                <c:pt idx="14">
                  <c:v>0.96626873765837185</c:v>
                </c:pt>
                <c:pt idx="15">
                  <c:v>1.0865842535110595</c:v>
                </c:pt>
                <c:pt idx="16">
                  <c:v>1.045969644506453</c:v>
                </c:pt>
                <c:pt idx="17">
                  <c:v>1.0359449842890498</c:v>
                </c:pt>
                <c:pt idx="18">
                  <c:v>1.0576913615012353</c:v>
                </c:pt>
                <c:pt idx="19">
                  <c:v>1.1429754653304638</c:v>
                </c:pt>
                <c:pt idx="20">
                  <c:v>1.1332881357182276</c:v>
                </c:pt>
                <c:pt idx="21">
                  <c:v>1.0805102186861344</c:v>
                </c:pt>
                <c:pt idx="22">
                  <c:v>1.1383813334457502</c:v>
                </c:pt>
                <c:pt idx="23">
                  <c:v>1.1537425351794761</c:v>
                </c:pt>
                <c:pt idx="24">
                  <c:v>1.2358173837332338</c:v>
                </c:pt>
                <c:pt idx="25">
                  <c:v>1.0689570308705922</c:v>
                </c:pt>
                <c:pt idx="26">
                  <c:v>1.0466289428861988</c:v>
                </c:pt>
                <c:pt idx="27">
                  <c:v>1.2580202833265206</c:v>
                </c:pt>
                <c:pt idx="28">
                  <c:v>0.99448008501287444</c:v>
                </c:pt>
                <c:pt idx="29">
                  <c:v>0.98639143379792271</c:v>
                </c:pt>
                <c:pt idx="30">
                  <c:v>1.0212717114722556</c:v>
                </c:pt>
                <c:pt idx="31">
                  <c:v>1.1051605031562211</c:v>
                </c:pt>
                <c:pt idx="32">
                  <c:v>1.0222273891914706</c:v>
                </c:pt>
                <c:pt idx="33">
                  <c:v>1.2836796983026428</c:v>
                </c:pt>
                <c:pt idx="34">
                  <c:v>1.0173093446424668</c:v>
                </c:pt>
                <c:pt idx="35">
                  <c:v>1.0616835032504062</c:v>
                </c:pt>
                <c:pt idx="36">
                  <c:v>0.97842580780705368</c:v>
                </c:pt>
                <c:pt idx="37">
                  <c:v>1.0805218883911878</c:v>
                </c:pt>
                <c:pt idx="38">
                  <c:v>1.137974808337197</c:v>
                </c:pt>
                <c:pt idx="39">
                  <c:v>1.1508048655034075</c:v>
                </c:pt>
                <c:pt idx="40">
                  <c:v>1.098580360677788</c:v>
                </c:pt>
                <c:pt idx="41">
                  <c:v>1.0974885646801658</c:v>
                </c:pt>
                <c:pt idx="42">
                  <c:v>1.2060839114368564</c:v>
                </c:pt>
                <c:pt idx="43">
                  <c:v>1.1693186194301266</c:v>
                </c:pt>
                <c:pt idx="44">
                  <c:v>1.0918368084937118</c:v>
                </c:pt>
                <c:pt idx="45">
                  <c:v>1.1027009900075164</c:v>
                </c:pt>
                <c:pt idx="46">
                  <c:v>1.1673106446251897</c:v>
                </c:pt>
                <c:pt idx="47">
                  <c:v>1.0761483725708119</c:v>
                </c:pt>
                <c:pt idx="48">
                  <c:v>1.0867740235578527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79-471B-8821-934CB245A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067407"/>
        <c:axId val="706066927"/>
      </c:scatterChart>
      <c:valAx>
        <c:axId val="70606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Li</a:t>
                </a:r>
                <a:r>
                  <a:rPr lang="sv-SE" baseline="0"/>
                  <a:t> target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06066927"/>
        <c:crosses val="autoZero"/>
        <c:crossBetween val="midCat"/>
      </c:valAx>
      <c:valAx>
        <c:axId val="706066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StAL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0606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Lithium_POR!$X$1</c:f>
              <c:strCache>
                <c:ptCount val="1"/>
                <c:pt idx="0">
                  <c:v>Li 0.18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822234666240017"/>
                  <c:y val="-0.11701881014873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Lithium_POR!$V$2:$V$51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Lithium_POR!$X$2:$X$51</c:f>
              <c:numCache>
                <c:formatCode>General</c:formatCode>
                <c:ptCount val="50"/>
                <c:pt idx="0">
                  <c:v>180.73099999999999</c:v>
                </c:pt>
                <c:pt idx="1">
                  <c:v>336.77699999999999</c:v>
                </c:pt>
                <c:pt idx="2">
                  <c:v>244.88900000000001</c:v>
                </c:pt>
                <c:pt idx="3">
                  <c:v>283.15199999999999</c:v>
                </c:pt>
                <c:pt idx="4">
                  <c:v>233.715</c:v>
                </c:pt>
                <c:pt idx="5">
                  <c:v>204.125</c:v>
                </c:pt>
                <c:pt idx="6">
                  <c:v>166.28</c:v>
                </c:pt>
                <c:pt idx="7">
                  <c:v>254.8</c:v>
                </c:pt>
                <c:pt idx="8">
                  <c:v>274.233</c:v>
                </c:pt>
                <c:pt idx="9">
                  <c:v>341.36700000000002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50-7741-88FF-B42FD33AB6C2}"/>
            </c:ext>
          </c:extLst>
        </c:ser>
        <c:ser>
          <c:idx val="1"/>
          <c:order val="1"/>
          <c:tx>
            <c:strRef>
              <c:f>Lithium_POR!$Y$1</c:f>
              <c:strCache>
                <c:ptCount val="1"/>
                <c:pt idx="0">
                  <c:v>Li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992983097722366"/>
                  <c:y val="0.485737459900845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Lithium_POR!$V$2:$V$51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Lithium_POR!$Y$2:$Y$51</c:f>
              <c:numCache>
                <c:formatCode>General</c:formatCode>
                <c:ptCount val="50"/>
                <c:pt idx="10">
                  <c:v>240.452</c:v>
                </c:pt>
                <c:pt idx="11">
                  <c:v>197.50399999999999</c:v>
                </c:pt>
                <c:pt idx="12">
                  <c:v>227.9</c:v>
                </c:pt>
                <c:pt idx="13">
                  <c:v>203.77099999999999</c:v>
                </c:pt>
                <c:pt idx="14">
                  <c:v>255.76300000000001</c:v>
                </c:pt>
                <c:pt idx="15">
                  <c:v>296.76400000000001</c:v>
                </c:pt>
                <c:pt idx="16">
                  <c:v>214.435</c:v>
                </c:pt>
                <c:pt idx="17">
                  <c:v>241.40600000000001</c:v>
                </c:pt>
                <c:pt idx="18">
                  <c:v>192.3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50-7741-88FF-B42FD33AB6C2}"/>
            </c:ext>
          </c:extLst>
        </c:ser>
        <c:ser>
          <c:idx val="2"/>
          <c:order val="2"/>
          <c:tx>
            <c:strRef>
              <c:f>Lithium_POR!$Z$1</c:f>
              <c:strCache>
                <c:ptCount val="1"/>
                <c:pt idx="0">
                  <c:v>Li 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742854530701805"/>
                  <c:y val="0.51383056284631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Lithium_POR!$V$2:$V$51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Lithium_POR!$Z$2:$Z$51</c:f>
              <c:numCache>
                <c:formatCode>General</c:formatCode>
                <c:ptCount val="50"/>
                <c:pt idx="19">
                  <c:v>309.03800000000001</c:v>
                </c:pt>
                <c:pt idx="20">
                  <c:v>303.72300000000001</c:v>
                </c:pt>
                <c:pt idx="21">
                  <c:v>215.571</c:v>
                </c:pt>
                <c:pt idx="22">
                  <c:v>290.69600000000003</c:v>
                </c:pt>
                <c:pt idx="23">
                  <c:v>282.96699999999998</c:v>
                </c:pt>
                <c:pt idx="24">
                  <c:v>337.22500000000002</c:v>
                </c:pt>
                <c:pt idx="25">
                  <c:v>297.108</c:v>
                </c:pt>
                <c:pt idx="26">
                  <c:v>231.44499999999999</c:v>
                </c:pt>
                <c:pt idx="27">
                  <c:v>333.77</c:v>
                </c:pt>
                <c:pt idx="28">
                  <c:v>300.24799999999999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50-7741-88FF-B42FD33AB6C2}"/>
            </c:ext>
          </c:extLst>
        </c:ser>
        <c:ser>
          <c:idx val="3"/>
          <c:order val="3"/>
          <c:tx>
            <c:strRef>
              <c:f>Lithium_POR!$AA$1</c:f>
              <c:strCache>
                <c:ptCount val="1"/>
                <c:pt idx="0">
                  <c:v>Li 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151446236129044E-2"/>
                  <c:y val="0.48954250510352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Lithium_POR!$V$2:$V$51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Lithium_POR!$AA$2:$AA$51</c:f>
              <c:numCache>
                <c:formatCode>General</c:formatCode>
                <c:ptCount val="50"/>
                <c:pt idx="29">
                  <c:v>277.03100000000001</c:v>
                </c:pt>
                <c:pt idx="30">
                  <c:v>228.566</c:v>
                </c:pt>
                <c:pt idx="31">
                  <c:v>270.81599999999997</c:v>
                </c:pt>
                <c:pt idx="32">
                  <c:v>274.166</c:v>
                </c:pt>
                <c:pt idx="33">
                  <c:v>251.21100000000001</c:v>
                </c:pt>
                <c:pt idx="34">
                  <c:v>224.59200000000001</c:v>
                </c:pt>
                <c:pt idx="35">
                  <c:v>137.48500000000001</c:v>
                </c:pt>
                <c:pt idx="36">
                  <c:v>175.273</c:v>
                </c:pt>
                <c:pt idx="37">
                  <c:v>256.14400000000001</c:v>
                </c:pt>
                <c:pt idx="38">
                  <c:v>262.45999999999998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350-7741-88FF-B42FD33AB6C2}"/>
            </c:ext>
          </c:extLst>
        </c:ser>
        <c:ser>
          <c:idx val="4"/>
          <c:order val="4"/>
          <c:tx>
            <c:strRef>
              <c:f>Lithium_POR!$AB$1</c:f>
              <c:strCache>
                <c:ptCount val="1"/>
                <c:pt idx="0">
                  <c:v>Li 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903001420903665"/>
                  <c:y val="0.574074074074074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Lithium_POR!$V$2:$V$51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Lithium_POR!$AB$2:$AB$51</c:f>
              <c:numCache>
                <c:formatCode>General</c:formatCode>
                <c:ptCount val="50"/>
                <c:pt idx="39">
                  <c:v>349.17399999999998</c:v>
                </c:pt>
                <c:pt idx="40">
                  <c:v>264.39</c:v>
                </c:pt>
                <c:pt idx="41">
                  <c:v>292.94499999999999</c:v>
                </c:pt>
                <c:pt idx="42">
                  <c:v>253.845</c:v>
                </c:pt>
                <c:pt idx="43">
                  <c:v>321.47800000000001</c:v>
                </c:pt>
                <c:pt idx="44">
                  <c:v>238.15299999999999</c:v>
                </c:pt>
                <c:pt idx="45">
                  <c:v>290.32100000000003</c:v>
                </c:pt>
                <c:pt idx="46">
                  <c:v>282.45699999999999</c:v>
                </c:pt>
                <c:pt idx="47">
                  <c:v>296.45400000000001</c:v>
                </c:pt>
                <c:pt idx="48">
                  <c:v>275.09899999999999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350-7741-88FF-B42FD33AB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203999"/>
        <c:axId val="1436206879"/>
      </c:scatterChart>
      <c:valAx>
        <c:axId val="1436203999"/>
        <c:scaling>
          <c:orientation val="minMax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BL</a:t>
                </a:r>
              </a:p>
            </c:rich>
          </c:tx>
          <c:layout>
            <c:manualLayout>
              <c:xMode val="edge"/>
              <c:yMode val="edge"/>
              <c:x val="0.49701396904487083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206879"/>
        <c:crosses val="autoZero"/>
        <c:crossBetween val="midCat"/>
      </c:valAx>
      <c:valAx>
        <c:axId val="14362068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Parameter</a:t>
                </a:r>
              </a:p>
              <a:p>
                <a:pPr>
                  <a:defRPr/>
                </a:pP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20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Lithium_POR!$AE$1</c:f>
              <c:strCache>
                <c:ptCount val="1"/>
                <c:pt idx="0">
                  <c:v>St_Li_POR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9073381452318461"/>
                  <c:y val="-0.247905001458151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Lithium_POR!$AD$2:$AD$50</c:f>
              <c:numCache>
                <c:formatCode>General</c:formatCode>
                <c:ptCount val="49"/>
                <c:pt idx="0">
                  <c:v>0.18</c:v>
                </c:pt>
                <c:pt idx="1">
                  <c:v>0.18</c:v>
                </c:pt>
                <c:pt idx="2">
                  <c:v>0.18</c:v>
                </c:pt>
                <c:pt idx="3">
                  <c:v>0.18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0.18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</c:numCache>
            </c:numRef>
          </c:xVal>
          <c:yVal>
            <c:numRef>
              <c:f>Lithium_POR!$AE$2:$AE$50</c:f>
              <c:numCache>
                <c:formatCode>General</c:formatCode>
                <c:ptCount val="49"/>
                <c:pt idx="0">
                  <c:v>0.91398759166854115</c:v>
                </c:pt>
                <c:pt idx="1">
                  <c:v>1.0286719526632861</c:v>
                </c:pt>
                <c:pt idx="2">
                  <c:v>1.0339480217633115</c:v>
                </c:pt>
                <c:pt idx="3">
                  <c:v>1.080510274263121</c:v>
                </c:pt>
                <c:pt idx="4">
                  <c:v>0.98407088059003678</c:v>
                </c:pt>
                <c:pt idx="5">
                  <c:v>0.90007266093117289</c:v>
                </c:pt>
                <c:pt idx="6">
                  <c:v>0.90068073335333521</c:v>
                </c:pt>
                <c:pt idx="7">
                  <c:v>1.0750369345737762</c:v>
                </c:pt>
                <c:pt idx="8">
                  <c:v>1.0531346029780793</c:v>
                </c:pt>
                <c:pt idx="9">
                  <c:v>1.030970808748976</c:v>
                </c:pt>
                <c:pt idx="10">
                  <c:v>0.86324563719211056</c:v>
                </c:pt>
                <c:pt idx="11">
                  <c:v>0.93720356893487267</c:v>
                </c:pt>
                <c:pt idx="12">
                  <c:v>0.96992617274471316</c:v>
                </c:pt>
                <c:pt idx="13">
                  <c:v>0.94147206107048442</c:v>
                </c:pt>
                <c:pt idx="14">
                  <c:v>0.95692013072635207</c:v>
                </c:pt>
                <c:pt idx="15">
                  <c:v>0.98580657454916709</c:v>
                </c:pt>
                <c:pt idx="16">
                  <c:v>0.92564516950933751</c:v>
                </c:pt>
                <c:pt idx="17">
                  <c:v>0.97465076662603123</c:v>
                </c:pt>
                <c:pt idx="18">
                  <c:v>0.88794852259556956</c:v>
                </c:pt>
                <c:pt idx="19">
                  <c:v>1.0728629752384808</c:v>
                </c:pt>
                <c:pt idx="20">
                  <c:v>1.0316113060881</c:v>
                </c:pt>
                <c:pt idx="21">
                  <c:v>0.89160544490102511</c:v>
                </c:pt>
                <c:pt idx="22">
                  <c:v>1.0735885978207094</c:v>
                </c:pt>
                <c:pt idx="23">
                  <c:v>0.97513165948334546</c:v>
                </c:pt>
                <c:pt idx="24">
                  <c:v>1.1002304911591438</c:v>
                </c:pt>
                <c:pt idx="25">
                  <c:v>1.0217059900996153</c:v>
                </c:pt>
                <c:pt idx="26">
                  <c:v>0.97966747554518463</c:v>
                </c:pt>
                <c:pt idx="27">
                  <c:v>1.1030601502943016</c:v>
                </c:pt>
                <c:pt idx="28">
                  <c:v>1.0134326095835</c:v>
                </c:pt>
                <c:pt idx="29">
                  <c:v>0.99874488859890753</c:v>
                </c:pt>
                <c:pt idx="30">
                  <c:v>0.97324505403172223</c:v>
                </c:pt>
                <c:pt idx="31">
                  <c:v>1.0338574285495226</c:v>
                </c:pt>
                <c:pt idx="32">
                  <c:v>1.0163092948751862</c:v>
                </c:pt>
                <c:pt idx="33">
                  <c:v>1.1386412833455806</c:v>
                </c:pt>
                <c:pt idx="34">
                  <c:v>1.027311803718759</c:v>
                </c:pt>
                <c:pt idx="35">
                  <c:v>1.0713667631489627</c:v>
                </c:pt>
                <c:pt idx="36">
                  <c:v>0.85796817471333697</c:v>
                </c:pt>
                <c:pt idx="37">
                  <c:v>0.91234261014650087</c:v>
                </c:pt>
                <c:pt idx="38">
                  <c:v>0.98230335539722036</c:v>
                </c:pt>
                <c:pt idx="39">
                  <c:v>1.1239346891067208</c:v>
                </c:pt>
                <c:pt idx="40">
                  <c:v>1.0848839585581411</c:v>
                </c:pt>
                <c:pt idx="41">
                  <c:v>1.0526722877314845</c:v>
                </c:pt>
                <c:pt idx="42">
                  <c:v>1.0747979887132741</c:v>
                </c:pt>
                <c:pt idx="43">
                  <c:v>1.1933040941930451</c:v>
                </c:pt>
                <c:pt idx="44">
                  <c:v>1.0674747506371838</c:v>
                </c:pt>
                <c:pt idx="45">
                  <c:v>1.1794588810931694</c:v>
                </c:pt>
                <c:pt idx="46">
                  <c:v>1.0810579851560764</c:v>
                </c:pt>
                <c:pt idx="47">
                  <c:v>1.1194981462806948</c:v>
                </c:pt>
                <c:pt idx="48">
                  <c:v>1.1454704928199597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8C-B042-A225-B0501670A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245999"/>
        <c:axId val="1701247711"/>
      </c:scatterChart>
      <c:valAx>
        <c:axId val="170124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247711"/>
        <c:crosses val="autoZero"/>
        <c:crossBetween val="midCat"/>
      </c:valAx>
      <c:valAx>
        <c:axId val="1701247711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24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Lithium_BR!$X$1</c:f>
              <c:strCache>
                <c:ptCount val="1"/>
                <c:pt idx="0">
                  <c:v>Li 0.18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822234666240017"/>
                  <c:y val="-0.11701881014873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Lithium_BR!$V$2:$V$51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Lithium_BR!$X$2:$X$51</c:f>
              <c:numCache>
                <c:formatCode>General</c:formatCode>
                <c:ptCount val="50"/>
                <c:pt idx="0">
                  <c:v>268.42</c:v>
                </c:pt>
                <c:pt idx="1">
                  <c:v>318.39</c:v>
                </c:pt>
                <c:pt idx="2">
                  <c:v>281.41500000000002</c:v>
                </c:pt>
                <c:pt idx="3">
                  <c:v>263.73200000000003</c:v>
                </c:pt>
                <c:pt idx="4">
                  <c:v>296.76600000000002</c:v>
                </c:pt>
                <c:pt idx="5">
                  <c:v>277.38400000000001</c:v>
                </c:pt>
                <c:pt idx="6">
                  <c:v>261.512</c:v>
                </c:pt>
                <c:pt idx="7">
                  <c:v>281.029</c:v>
                </c:pt>
                <c:pt idx="8">
                  <c:v>256.86500000000001</c:v>
                </c:pt>
                <c:pt idx="9">
                  <c:v>315.02800000000002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54-7449-BFEA-8D6FC48D792A}"/>
            </c:ext>
          </c:extLst>
        </c:ser>
        <c:ser>
          <c:idx val="1"/>
          <c:order val="1"/>
          <c:tx>
            <c:strRef>
              <c:f>Lithium_BR!$Y$1</c:f>
              <c:strCache>
                <c:ptCount val="1"/>
                <c:pt idx="0">
                  <c:v>Li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992983097722366"/>
                  <c:y val="0.485737459900845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Lithium_BR!$V$2:$V$51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Lithium_BR!$Y$2:$Y$51</c:f>
              <c:numCache>
                <c:formatCode>General</c:formatCode>
                <c:ptCount val="50"/>
                <c:pt idx="10">
                  <c:v>340.596</c:v>
                </c:pt>
                <c:pt idx="11">
                  <c:v>287.11</c:v>
                </c:pt>
                <c:pt idx="12">
                  <c:v>248.00700000000001</c:v>
                </c:pt>
                <c:pt idx="13">
                  <c:v>266.00099999999998</c:v>
                </c:pt>
                <c:pt idx="14">
                  <c:v>267.49700000000001</c:v>
                </c:pt>
                <c:pt idx="15">
                  <c:v>285.08800000000002</c:v>
                </c:pt>
                <c:pt idx="16">
                  <c:v>281.52</c:v>
                </c:pt>
                <c:pt idx="17">
                  <c:v>278.798</c:v>
                </c:pt>
                <c:pt idx="18">
                  <c:v>314.24900000000002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54-7449-BFEA-8D6FC48D792A}"/>
            </c:ext>
          </c:extLst>
        </c:ser>
        <c:ser>
          <c:idx val="2"/>
          <c:order val="2"/>
          <c:tx>
            <c:strRef>
              <c:f>Lithium_BR!$Z$1</c:f>
              <c:strCache>
                <c:ptCount val="1"/>
                <c:pt idx="0">
                  <c:v>Li 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742854530701805"/>
                  <c:y val="0.51383056284631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Lithium_BR!$V$2:$V$51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Lithium_BR!$Z$2:$Z$51</c:f>
              <c:numCache>
                <c:formatCode>General</c:formatCode>
                <c:ptCount val="50"/>
                <c:pt idx="19">
                  <c:v>283.24299999999999</c:v>
                </c:pt>
                <c:pt idx="20">
                  <c:v>316.98500000000001</c:v>
                </c:pt>
                <c:pt idx="21">
                  <c:v>297.45400000000001</c:v>
                </c:pt>
                <c:pt idx="22">
                  <c:v>284.75599999999997</c:v>
                </c:pt>
                <c:pt idx="23">
                  <c:v>327.06200000000001</c:v>
                </c:pt>
                <c:pt idx="24">
                  <c:v>268.21699999999998</c:v>
                </c:pt>
                <c:pt idx="25">
                  <c:v>315.18599999999998</c:v>
                </c:pt>
                <c:pt idx="26">
                  <c:v>267.06200000000001</c:v>
                </c:pt>
                <c:pt idx="27">
                  <c:v>252.047</c:v>
                </c:pt>
                <c:pt idx="28">
                  <c:v>295.221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54-7449-BFEA-8D6FC48D792A}"/>
            </c:ext>
          </c:extLst>
        </c:ser>
        <c:ser>
          <c:idx val="3"/>
          <c:order val="3"/>
          <c:tx>
            <c:strRef>
              <c:f>Lithium_BR!$AA$1</c:f>
              <c:strCache>
                <c:ptCount val="1"/>
                <c:pt idx="0">
                  <c:v>Li 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151446236129044E-2"/>
                  <c:y val="0.48954250510352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Lithium_BR!$V$2:$V$51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Lithium_BR!$AA$2:$AA$51</c:f>
              <c:numCache>
                <c:formatCode>General</c:formatCode>
                <c:ptCount val="50"/>
                <c:pt idx="29">
                  <c:v>280.75200000000001</c:v>
                </c:pt>
                <c:pt idx="30">
                  <c:v>289.35700000000003</c:v>
                </c:pt>
                <c:pt idx="31">
                  <c:v>253.751</c:v>
                </c:pt>
                <c:pt idx="32">
                  <c:v>287.19799999999998</c:v>
                </c:pt>
                <c:pt idx="33">
                  <c:v>212.77099999999999</c:v>
                </c:pt>
                <c:pt idx="34">
                  <c:v>274.375</c:v>
                </c:pt>
                <c:pt idx="35">
                  <c:v>205.858</c:v>
                </c:pt>
                <c:pt idx="36">
                  <c:v>312.62299999999999</c:v>
                </c:pt>
                <c:pt idx="37">
                  <c:v>292.55900000000003</c:v>
                </c:pt>
                <c:pt idx="38">
                  <c:v>261.79700000000003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254-7449-BFEA-8D6FC48D792A}"/>
            </c:ext>
          </c:extLst>
        </c:ser>
        <c:ser>
          <c:idx val="4"/>
          <c:order val="4"/>
          <c:tx>
            <c:strRef>
              <c:f>Lithium_BR!$AB$1</c:f>
              <c:strCache>
                <c:ptCount val="1"/>
                <c:pt idx="0">
                  <c:v>Li 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903001420903665"/>
                  <c:y val="0.574074074074074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Lithium_BR!$V$2:$V$51</c:f>
              <c:numCache>
                <c:formatCode>General</c:formatCode>
                <c:ptCount val="50"/>
                <c:pt idx="0">
                  <c:v>362.86</c:v>
                </c:pt>
                <c:pt idx="1">
                  <c:v>409.02</c:v>
                </c:pt>
                <c:pt idx="2">
                  <c:v>356.19</c:v>
                </c:pt>
                <c:pt idx="3">
                  <c:v>361.06</c:v>
                </c:pt>
                <c:pt idx="4">
                  <c:v>367.76</c:v>
                </c:pt>
                <c:pt idx="5">
                  <c:v>383.31</c:v>
                </c:pt>
                <c:pt idx="6">
                  <c:v>359.06</c:v>
                </c:pt>
                <c:pt idx="7">
                  <c:v>347.84</c:v>
                </c:pt>
                <c:pt idx="8">
                  <c:v>365.61</c:v>
                </c:pt>
                <c:pt idx="9">
                  <c:v>410.65</c:v>
                </c:pt>
                <c:pt idx="10">
                  <c:v>423.69</c:v>
                </c:pt>
                <c:pt idx="11">
                  <c:v>364.09</c:v>
                </c:pt>
                <c:pt idx="12">
                  <c:v>369.7</c:v>
                </c:pt>
                <c:pt idx="13">
                  <c:v>366.24</c:v>
                </c:pt>
                <c:pt idx="14">
                  <c:v>391.35</c:v>
                </c:pt>
                <c:pt idx="15">
                  <c:v>403.63</c:v>
                </c:pt>
                <c:pt idx="16">
                  <c:v>379.08</c:v>
                </c:pt>
                <c:pt idx="17">
                  <c:v>375.82</c:v>
                </c:pt>
                <c:pt idx="18">
                  <c:v>380.94</c:v>
                </c:pt>
                <c:pt idx="19">
                  <c:v>377.41</c:v>
                </c:pt>
                <c:pt idx="20">
                  <c:v>389.56</c:v>
                </c:pt>
                <c:pt idx="21">
                  <c:v>394.28</c:v>
                </c:pt>
                <c:pt idx="22">
                  <c:v>367.4</c:v>
                </c:pt>
                <c:pt idx="23">
                  <c:v>399.97</c:v>
                </c:pt>
                <c:pt idx="24">
                  <c:v>382.65</c:v>
                </c:pt>
                <c:pt idx="25">
                  <c:v>389.64</c:v>
                </c:pt>
                <c:pt idx="26">
                  <c:v>368.09</c:v>
                </c:pt>
                <c:pt idx="27">
                  <c:v>379.88</c:v>
                </c:pt>
                <c:pt idx="28">
                  <c:v>394.59</c:v>
                </c:pt>
                <c:pt idx="29">
                  <c:v>387.12</c:v>
                </c:pt>
                <c:pt idx="30">
                  <c:v>368.83</c:v>
                </c:pt>
                <c:pt idx="31">
                  <c:v>370.54</c:v>
                </c:pt>
                <c:pt idx="32">
                  <c:v>378.82</c:v>
                </c:pt>
                <c:pt idx="33">
                  <c:v>326.61</c:v>
                </c:pt>
                <c:pt idx="34">
                  <c:v>347.21</c:v>
                </c:pt>
                <c:pt idx="35">
                  <c:v>286.51</c:v>
                </c:pt>
                <c:pt idx="36">
                  <c:v>382.92</c:v>
                </c:pt>
                <c:pt idx="37">
                  <c:v>410.71</c:v>
                </c:pt>
                <c:pt idx="38">
                  <c:v>385.13</c:v>
                </c:pt>
                <c:pt idx="39">
                  <c:v>380.65</c:v>
                </c:pt>
                <c:pt idx="40">
                  <c:v>349.73</c:v>
                </c:pt>
                <c:pt idx="41">
                  <c:v>375.92</c:v>
                </c:pt>
                <c:pt idx="42">
                  <c:v>347.41</c:v>
                </c:pt>
                <c:pt idx="43">
                  <c:v>345.27</c:v>
                </c:pt>
                <c:pt idx="44">
                  <c:v>341.4</c:v>
                </c:pt>
                <c:pt idx="45">
                  <c:v>334.24</c:v>
                </c:pt>
                <c:pt idx="46">
                  <c:v>360.51</c:v>
                </c:pt>
                <c:pt idx="47">
                  <c:v>355.27</c:v>
                </c:pt>
                <c:pt idx="48">
                  <c:v>336.57</c:v>
                </c:pt>
              </c:numCache>
            </c:numRef>
          </c:xVal>
          <c:yVal>
            <c:numRef>
              <c:f>Lithium_BR!$AB$2:$AB$51</c:f>
              <c:numCache>
                <c:formatCode>General</c:formatCode>
                <c:ptCount val="50"/>
                <c:pt idx="39">
                  <c:v>283.72199999999998</c:v>
                </c:pt>
                <c:pt idx="40">
                  <c:v>255.13800000000001</c:v>
                </c:pt>
                <c:pt idx="41">
                  <c:v>280.11399999999998</c:v>
                </c:pt>
                <c:pt idx="42">
                  <c:v>249.36099999999999</c:v>
                </c:pt>
                <c:pt idx="43">
                  <c:v>257.78699999999998</c:v>
                </c:pt>
                <c:pt idx="44">
                  <c:v>243.96899999999999</c:v>
                </c:pt>
                <c:pt idx="45">
                  <c:v>262.48399999999998</c:v>
                </c:pt>
                <c:pt idx="46">
                  <c:v>284.75299999999999</c:v>
                </c:pt>
                <c:pt idx="47">
                  <c:v>252.916</c:v>
                </c:pt>
                <c:pt idx="48">
                  <c:v>245.143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254-7449-BFEA-8D6FC48D7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203999"/>
        <c:axId val="1436206879"/>
      </c:scatterChart>
      <c:valAx>
        <c:axId val="1436203999"/>
        <c:scaling>
          <c:orientation val="minMax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BL</a:t>
                </a:r>
              </a:p>
            </c:rich>
          </c:tx>
          <c:layout>
            <c:manualLayout>
              <c:xMode val="edge"/>
              <c:yMode val="edge"/>
              <c:x val="0.49701396904487083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206879"/>
        <c:crosses val="autoZero"/>
        <c:crossBetween val="midCat"/>
      </c:valAx>
      <c:valAx>
        <c:axId val="14362068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Parameter</a:t>
                </a:r>
              </a:p>
              <a:p>
                <a:pPr>
                  <a:defRPr/>
                </a:pP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620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Lithium_BR!$AE$1</c:f>
              <c:strCache>
                <c:ptCount val="1"/>
                <c:pt idx="0">
                  <c:v>St_Li_BR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8517825896762904"/>
                  <c:y val="-0.204691601049868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Lithium_BR!$AD$2:$AD$50</c:f>
              <c:numCache>
                <c:formatCode>General</c:formatCode>
                <c:ptCount val="49"/>
                <c:pt idx="0">
                  <c:v>0.18</c:v>
                </c:pt>
                <c:pt idx="1">
                  <c:v>0.18</c:v>
                </c:pt>
                <c:pt idx="2">
                  <c:v>0.18</c:v>
                </c:pt>
                <c:pt idx="3">
                  <c:v>0.18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0.18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</c:numCache>
            </c:numRef>
          </c:xVal>
          <c:yVal>
            <c:numRef>
              <c:f>Lithium_BR!$AE$2:$AE$50</c:f>
              <c:numCache>
                <c:formatCode>General</c:formatCode>
                <c:ptCount val="49"/>
                <c:pt idx="0">
                  <c:v>0.97755430957814704</c:v>
                </c:pt>
                <c:pt idx="1">
                  <c:v>1.0251563792831524</c:v>
                </c:pt>
                <c:pt idx="2">
                  <c:v>1.0430204206747076</c:v>
                </c:pt>
                <c:pt idx="3">
                  <c:v>0.96564387485750203</c:v>
                </c:pt>
                <c:pt idx="4">
                  <c:v>1.0641642159503784</c:v>
                </c:pt>
                <c:pt idx="5">
                  <c:v>0.95563053516561791</c:v>
                </c:pt>
                <c:pt idx="6">
                  <c:v>0.96303034967035328</c:v>
                </c:pt>
                <c:pt idx="7">
                  <c:v>1.0666239586197319</c:v>
                </c:pt>
                <c:pt idx="8">
                  <c:v>0.92934738382712223</c:v>
                </c:pt>
                <c:pt idx="9">
                  <c:v>1.0105041934804346</c:v>
                </c:pt>
                <c:pt idx="10">
                  <c:v>1.057410416188125</c:v>
                </c:pt>
                <c:pt idx="11">
                  <c:v>1.04060844644393</c:v>
                </c:pt>
                <c:pt idx="12">
                  <c:v>0.8880939547115958</c:v>
                </c:pt>
                <c:pt idx="13">
                  <c:v>0.9599945876664755</c:v>
                </c:pt>
                <c:pt idx="14">
                  <c:v>0.9033403186725768</c:v>
                </c:pt>
                <c:pt idx="15">
                  <c:v>0.9321937799167489</c:v>
                </c:pt>
                <c:pt idx="16">
                  <c:v>0.98039773319370394</c:v>
                </c:pt>
                <c:pt idx="17">
                  <c:v>0.97953956263138797</c:v>
                </c:pt>
                <c:pt idx="18">
                  <c:v>1.0866713044078795</c:v>
                </c:pt>
                <c:pt idx="19">
                  <c:v>0.99063729610628926</c:v>
                </c:pt>
                <c:pt idx="20">
                  <c:v>1.0717046878014631</c:v>
                </c:pt>
                <c:pt idx="21">
                  <c:v>0.99484219478144509</c:v>
                </c:pt>
                <c:pt idx="22">
                  <c:v>1.0229510425421602</c:v>
                </c:pt>
                <c:pt idx="23">
                  <c:v>1.0763792031041419</c:v>
                </c:pt>
                <c:pt idx="24">
                  <c:v>0.9263111126605662</c:v>
                </c:pt>
                <c:pt idx="25">
                  <c:v>1.0655163406478039</c:v>
                </c:pt>
                <c:pt idx="26">
                  <c:v>0.95889572553225733</c:v>
                </c:pt>
                <c:pt idx="27">
                  <c:v>0.8780422032799996</c:v>
                </c:pt>
                <c:pt idx="28">
                  <c:v>0.98674542158914424</c:v>
                </c:pt>
                <c:pt idx="29">
                  <c:v>0.95747161495715294</c:v>
                </c:pt>
                <c:pt idx="30">
                  <c:v>1.0351102977718665</c:v>
                </c:pt>
                <c:pt idx="31">
                  <c:v>0.90611907192214347</c:v>
                </c:pt>
                <c:pt idx="32">
                  <c:v>1.0004458136944816</c:v>
                </c:pt>
                <c:pt idx="33">
                  <c:v>0.86580401148243835</c:v>
                </c:pt>
                <c:pt idx="34">
                  <c:v>1.0437865654856573</c:v>
                </c:pt>
                <c:pt idx="35">
                  <c:v>0.95579248710644893</c:v>
                </c:pt>
                <c:pt idx="36">
                  <c:v>1.0755633168130248</c:v>
                </c:pt>
                <c:pt idx="37">
                  <c:v>0.93963823889404652</c:v>
                </c:pt>
                <c:pt idx="38">
                  <c:v>0.89879802871327985</c:v>
                </c:pt>
                <c:pt idx="39">
                  <c:v>0.98383187958440987</c:v>
                </c:pt>
                <c:pt idx="40">
                  <c:v>0.96516248862211362</c:v>
                </c:pt>
                <c:pt idx="41">
                  <c:v>0.98380425613669908</c:v>
                </c:pt>
                <c:pt idx="42">
                  <c:v>0.95011252867913354</c:v>
                </c:pt>
                <c:pt idx="43">
                  <c:v>0.98754750602236896</c:v>
                </c:pt>
                <c:pt idx="44">
                  <c:v>0.94642232937069759</c:v>
                </c:pt>
                <c:pt idx="45">
                  <c:v>1.0383022398311339</c:v>
                </c:pt>
                <c:pt idx="46">
                  <c:v>1.0424907355049151</c:v>
                </c:pt>
                <c:pt idx="47">
                  <c:v>0.94202716730089997</c:v>
                </c:pt>
                <c:pt idx="48">
                  <c:v>0.96451306828277572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1-8544-A47A-209D9C9C8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353199"/>
        <c:axId val="1701354911"/>
      </c:scatterChart>
      <c:valAx>
        <c:axId val="170135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354911"/>
        <c:crosses val="autoZero"/>
        <c:crossBetween val="midCat"/>
      </c:valAx>
      <c:valAx>
        <c:axId val="1701354911"/>
        <c:scaling>
          <c:orientation val="minMax"/>
          <c:min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35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447674</xdr:colOff>
      <xdr:row>0</xdr:row>
      <xdr:rowOff>184156</xdr:rowOff>
    </xdr:from>
    <xdr:to>
      <xdr:col>32</xdr:col>
      <xdr:colOff>380999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B6BBA-7880-482F-9407-0505CAFA8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161445</xdr:colOff>
      <xdr:row>1</xdr:row>
      <xdr:rowOff>34625</xdr:rowOff>
    </xdr:from>
    <xdr:to>
      <xdr:col>42</xdr:col>
      <xdr:colOff>228120</xdr:colOff>
      <xdr:row>19</xdr:row>
      <xdr:rowOff>71887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23167-D7D7-8F3E-133E-F7C68FA4E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638481</xdr:colOff>
      <xdr:row>24</xdr:row>
      <xdr:rowOff>21176</xdr:rowOff>
    </xdr:from>
    <xdr:to>
      <xdr:col>40</xdr:col>
      <xdr:colOff>265652</xdr:colOff>
      <xdr:row>38</xdr:row>
      <xdr:rowOff>163293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FB4282-117E-98BB-B2E6-7B00784ED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161445</xdr:colOff>
      <xdr:row>1</xdr:row>
      <xdr:rowOff>34625</xdr:rowOff>
    </xdr:from>
    <xdr:to>
      <xdr:col>42</xdr:col>
      <xdr:colOff>228120</xdr:colOff>
      <xdr:row>19</xdr:row>
      <xdr:rowOff>71887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D95CE-CB9E-7849-84CB-20FDCCF5E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19050</xdr:colOff>
      <xdr:row>22</xdr:row>
      <xdr:rowOff>6350</xdr:rowOff>
    </xdr:from>
    <xdr:to>
      <xdr:col>39</xdr:col>
      <xdr:colOff>552450</xdr:colOff>
      <xdr:row>37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D53D67-357E-EB5F-1074-44EE82088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161445</xdr:colOff>
      <xdr:row>1</xdr:row>
      <xdr:rowOff>34625</xdr:rowOff>
    </xdr:from>
    <xdr:to>
      <xdr:col>42</xdr:col>
      <xdr:colOff>228120</xdr:colOff>
      <xdr:row>19</xdr:row>
      <xdr:rowOff>71887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14F00-97FE-6C4B-ACF2-BC2BE493E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69850</xdr:colOff>
      <xdr:row>21</xdr:row>
      <xdr:rowOff>82550</xdr:rowOff>
    </xdr:from>
    <xdr:to>
      <xdr:col>39</xdr:col>
      <xdr:colOff>603250</xdr:colOff>
      <xdr:row>35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7E592B-4E11-A7D2-07C4-62CB63778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593725</xdr:colOff>
      <xdr:row>1</xdr:row>
      <xdr:rowOff>120650</xdr:rowOff>
    </xdr:from>
    <xdr:to>
      <xdr:col>39</xdr:col>
      <xdr:colOff>288925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57C8C-5A63-A61D-1FCD-10AE20F67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600075</xdr:colOff>
      <xdr:row>16</xdr:row>
      <xdr:rowOff>158750</xdr:rowOff>
    </xdr:from>
    <xdr:to>
      <xdr:col>39</xdr:col>
      <xdr:colOff>295275</xdr:colOff>
      <xdr:row>31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1B9CF-920F-E174-3A43-4AFBAD23B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593725</xdr:colOff>
      <xdr:row>1</xdr:row>
      <xdr:rowOff>120650</xdr:rowOff>
    </xdr:from>
    <xdr:to>
      <xdr:col>39</xdr:col>
      <xdr:colOff>288925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144335-0BFE-6142-8BEB-2A4936D83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31750</xdr:colOff>
      <xdr:row>18</xdr:row>
      <xdr:rowOff>171450</xdr:rowOff>
    </xdr:from>
    <xdr:to>
      <xdr:col>38</xdr:col>
      <xdr:colOff>565150</xdr:colOff>
      <xdr:row>33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4EADF0-201A-4156-3B1D-2E436B279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593725</xdr:colOff>
      <xdr:row>1</xdr:row>
      <xdr:rowOff>120650</xdr:rowOff>
    </xdr:from>
    <xdr:to>
      <xdr:col>39</xdr:col>
      <xdr:colOff>288925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BB71A-7C8F-E945-B106-C114B704D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228600</xdr:colOff>
      <xdr:row>18</xdr:row>
      <xdr:rowOff>107950</xdr:rowOff>
    </xdr:from>
    <xdr:to>
      <xdr:col>39</xdr:col>
      <xdr:colOff>88900</xdr:colOff>
      <xdr:row>32</xdr:row>
      <xdr:rowOff>184150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6CA989-8E6D-2913-9F44-3475354A3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358774</xdr:colOff>
      <xdr:row>1</xdr:row>
      <xdr:rowOff>31750</xdr:rowOff>
    </xdr:from>
    <xdr:to>
      <xdr:col>42</xdr:col>
      <xdr:colOff>215899</xdr:colOff>
      <xdr:row>16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9E6A8B-938A-E09C-DD18-1B1976831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314325</xdr:colOff>
      <xdr:row>16</xdr:row>
      <xdr:rowOff>76200</xdr:rowOff>
    </xdr:from>
    <xdr:to>
      <xdr:col>40</xdr:col>
      <xdr:colOff>9525</xdr:colOff>
      <xdr:row>31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F11537-CCA4-FFA2-6923-53D9C68D3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358774</xdr:colOff>
      <xdr:row>1</xdr:row>
      <xdr:rowOff>31750</xdr:rowOff>
    </xdr:from>
    <xdr:to>
      <xdr:col>42</xdr:col>
      <xdr:colOff>215899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5D6E1-32DC-BE41-A655-992FB6966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463550</xdr:colOff>
      <xdr:row>20</xdr:row>
      <xdr:rowOff>184150</xdr:rowOff>
    </xdr:from>
    <xdr:to>
      <xdr:col>41</xdr:col>
      <xdr:colOff>342900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F8EDC4-1977-04F6-4E08-C2BB1DC5A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358774</xdr:colOff>
      <xdr:row>1</xdr:row>
      <xdr:rowOff>31750</xdr:rowOff>
    </xdr:from>
    <xdr:to>
      <xdr:col>42</xdr:col>
      <xdr:colOff>215899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8A44B-0B21-6448-8F64-48D3E39EB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527050</xdr:colOff>
      <xdr:row>34</xdr:row>
      <xdr:rowOff>107950</xdr:rowOff>
    </xdr:from>
    <xdr:to>
      <xdr:col>39</xdr:col>
      <xdr:colOff>387350</xdr:colOff>
      <xdr:row>48</xdr:row>
      <xdr:rowOff>184150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FB5F0F-880D-125B-647F-0668A80B4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968D-2897-411A-8A35-94C723EE9A3E}">
  <sheetPr>
    <outlinePr summaryBelow="0" summaryRight="0"/>
  </sheetPr>
  <dimension ref="A1:Z270"/>
  <sheetViews>
    <sheetView workbookViewId="0">
      <pane ySplit="1" topLeftCell="A2" activePane="bottomLeft" state="frozen"/>
      <selection activeCell="I1" sqref="I1"/>
      <selection pane="bottomLeft" activeCell="Z21" sqref="Z21"/>
    </sheetView>
  </sheetViews>
  <sheetFormatPr baseColWidth="10" defaultColWidth="12.6640625" defaultRowHeight="15.75" customHeight="1" x14ac:dyDescent="0.2"/>
  <cols>
    <col min="1" max="1" width="5.1640625" style="2" customWidth="1"/>
    <col min="2" max="2" width="6.83203125" style="2" customWidth="1"/>
    <col min="3" max="3" width="6" style="2" customWidth="1"/>
    <col min="4" max="4" width="6.6640625" style="2" customWidth="1"/>
    <col min="5" max="5" width="8.5" style="2" customWidth="1"/>
    <col min="6" max="6" width="8.1640625" style="2" customWidth="1"/>
    <col min="7" max="7" width="7.1640625" style="2" customWidth="1"/>
    <col min="8" max="8" width="7.5" style="2" customWidth="1"/>
    <col min="9" max="9" width="8" style="2" customWidth="1"/>
    <col min="10" max="10" width="7.33203125" style="2" customWidth="1"/>
    <col min="11" max="11" width="7.5" style="2" customWidth="1"/>
    <col min="12" max="12" width="6.6640625" style="2" customWidth="1"/>
    <col min="13" max="13" width="12.6640625" style="2"/>
    <col min="14" max="14" width="12.6640625" style="2" customWidth="1"/>
    <col min="15" max="16384" width="12.6640625" style="2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2" t="s">
        <v>15</v>
      </c>
      <c r="W1" s="1" t="s">
        <v>19</v>
      </c>
      <c r="X1" s="1" t="s">
        <v>20</v>
      </c>
      <c r="Y1" s="1" t="s">
        <v>21</v>
      </c>
      <c r="Z1" s="2" t="s">
        <v>23</v>
      </c>
    </row>
    <row r="2" spans="1:26" ht="15.75" customHeight="1" x14ac:dyDescent="0.2">
      <c r="A2" s="1" t="s">
        <v>19</v>
      </c>
      <c r="B2" s="3">
        <v>20</v>
      </c>
      <c r="C2" s="1">
        <v>8.1</v>
      </c>
      <c r="D2" s="3">
        <v>0.18</v>
      </c>
      <c r="E2" s="3">
        <v>362.86</v>
      </c>
      <c r="F2" s="3">
        <v>69.465000000000003</v>
      </c>
      <c r="G2" s="3">
        <v>268.14</v>
      </c>
      <c r="H2" s="3">
        <v>268.42</v>
      </c>
      <c r="I2" s="3">
        <v>180.73099999999999</v>
      </c>
      <c r="J2" s="3">
        <v>145.232</v>
      </c>
      <c r="K2" s="3">
        <v>138.321</v>
      </c>
      <c r="L2" s="3">
        <v>135.82900000000001</v>
      </c>
      <c r="N2" s="2">
        <f>SUM(G2:L2)</f>
        <v>1136.673</v>
      </c>
      <c r="O2" s="2">
        <f>MAX(G2:H2)</f>
        <v>268.42</v>
      </c>
      <c r="P2" s="2">
        <f>MAX(I2:J2)</f>
        <v>180.73099999999999</v>
      </c>
      <c r="Q2" s="2">
        <f>MAX(K2:L2)</f>
        <v>138.321</v>
      </c>
      <c r="R2" s="2">
        <f>MIN(G2:H2)/MAX(G2:H2)</f>
        <v>0.99895685865434758</v>
      </c>
      <c r="S2" s="2">
        <f>MIN(I2:J2)/MAX(I2:J2)</f>
        <v>0.80358101266523174</v>
      </c>
      <c r="T2" s="2">
        <f>MIN(K2:L2)/MAX(K2:L2)</f>
        <v>0.98198393591717825</v>
      </c>
      <c r="V2" s="2">
        <v>138.321</v>
      </c>
      <c r="W2" s="2">
        <f>V2</f>
        <v>138.321</v>
      </c>
    </row>
    <row r="3" spans="1:26" ht="15.75" customHeight="1" x14ac:dyDescent="0.2">
      <c r="A3" s="1" t="s">
        <v>19</v>
      </c>
      <c r="B3" s="3">
        <v>20</v>
      </c>
      <c r="C3" s="1">
        <v>8.1</v>
      </c>
      <c r="D3" s="3">
        <v>0.18</v>
      </c>
      <c r="E3" s="3">
        <v>409.02</v>
      </c>
      <c r="F3" s="3">
        <v>81.004999999999995</v>
      </c>
      <c r="G3" s="3">
        <v>293.28399999999999</v>
      </c>
      <c r="H3" s="3">
        <v>318.39</v>
      </c>
      <c r="I3" s="3">
        <v>336.77699999999999</v>
      </c>
      <c r="J3" s="3">
        <v>331.37299999999999</v>
      </c>
      <c r="K3" s="3">
        <v>199.17</v>
      </c>
      <c r="L3" s="3">
        <v>157.958</v>
      </c>
      <c r="N3" s="2">
        <f t="shared" ref="N3:N66" si="0">SUM(G3:L3)</f>
        <v>1636.9520000000002</v>
      </c>
      <c r="O3" s="2">
        <f t="shared" ref="O3:O66" si="1">MAX(G3:H3)</f>
        <v>318.39</v>
      </c>
      <c r="P3" s="2">
        <f t="shared" ref="P3:P66" si="2">MAX(I3:J3)</f>
        <v>336.77699999999999</v>
      </c>
      <c r="Q3" s="2">
        <f t="shared" ref="Q3:Q66" si="3">MAX(K3:L3)</f>
        <v>199.17</v>
      </c>
      <c r="R3" s="2">
        <f t="shared" ref="R3:R66" si="4">MIN(G3:H3)/MAX(G3:H3)</f>
        <v>0.92114702094915046</v>
      </c>
      <c r="S3" s="2">
        <f t="shared" ref="S3:S66" si="5">MIN(I3:J3)/MAX(I3:J3)</f>
        <v>0.9839537735652969</v>
      </c>
      <c r="T3" s="2">
        <f t="shared" ref="T3:T66" si="6">MIN(K3:L3)/MAX(K3:L3)</f>
        <v>0.7930812873424713</v>
      </c>
      <c r="V3" s="2">
        <v>199.17</v>
      </c>
      <c r="W3" s="2">
        <f t="shared" ref="W3:W50" si="7">V3</f>
        <v>199.17</v>
      </c>
    </row>
    <row r="4" spans="1:26" ht="15.75" customHeight="1" x14ac:dyDescent="0.2">
      <c r="A4" s="1" t="s">
        <v>19</v>
      </c>
      <c r="B4" s="3">
        <v>20</v>
      </c>
      <c r="C4" s="1">
        <v>8.1</v>
      </c>
      <c r="D4" s="3">
        <v>0.18</v>
      </c>
      <c r="E4" s="3">
        <v>356.19</v>
      </c>
      <c r="F4" s="3">
        <v>67.797499999999999</v>
      </c>
      <c r="G4" s="3">
        <v>279.27600000000001</v>
      </c>
      <c r="H4" s="3">
        <v>281.41500000000002</v>
      </c>
      <c r="I4" s="3">
        <v>244.88900000000001</v>
      </c>
      <c r="J4" s="3">
        <v>189.10900000000001</v>
      </c>
      <c r="K4" s="3">
        <v>138.84299999999999</v>
      </c>
      <c r="L4" s="3">
        <v>142.91800000000001</v>
      </c>
      <c r="N4" s="2">
        <f t="shared" si="0"/>
        <v>1276.4500000000003</v>
      </c>
      <c r="O4" s="2">
        <f t="shared" si="1"/>
        <v>281.41500000000002</v>
      </c>
      <c r="P4" s="2">
        <f t="shared" si="2"/>
        <v>244.88900000000001</v>
      </c>
      <c r="Q4" s="2">
        <f t="shared" si="3"/>
        <v>142.91800000000001</v>
      </c>
      <c r="R4" s="2">
        <f t="shared" si="4"/>
        <v>0.99239912584617018</v>
      </c>
      <c r="S4" s="2">
        <f t="shared" si="5"/>
        <v>0.77222333383696284</v>
      </c>
      <c r="T4" s="2">
        <f t="shared" si="6"/>
        <v>0.9714871464756013</v>
      </c>
      <c r="V4" s="2">
        <v>142.91800000000001</v>
      </c>
      <c r="W4" s="2">
        <f t="shared" si="7"/>
        <v>142.91800000000001</v>
      </c>
    </row>
    <row r="5" spans="1:26" ht="15.75" customHeight="1" x14ac:dyDescent="0.2">
      <c r="A5" s="1" t="s">
        <v>19</v>
      </c>
      <c r="B5" s="3">
        <v>20</v>
      </c>
      <c r="C5" s="1">
        <v>8.1</v>
      </c>
      <c r="D5" s="3">
        <v>0.18</v>
      </c>
      <c r="E5" s="3">
        <v>361.06</v>
      </c>
      <c r="F5" s="3">
        <v>69.015000000000001</v>
      </c>
      <c r="G5" s="3">
        <v>263.73200000000003</v>
      </c>
      <c r="H5" s="3">
        <v>259.05099999999999</v>
      </c>
      <c r="I5" s="3">
        <v>253.02799999999999</v>
      </c>
      <c r="J5" s="3">
        <v>283.15199999999999</v>
      </c>
      <c r="K5" s="3">
        <v>152.48099999999999</v>
      </c>
      <c r="L5" s="3">
        <v>173.17</v>
      </c>
      <c r="N5" s="2">
        <f t="shared" si="0"/>
        <v>1384.614</v>
      </c>
      <c r="O5" s="2">
        <f t="shared" si="1"/>
        <v>263.73200000000003</v>
      </c>
      <c r="P5" s="2">
        <f t="shared" si="2"/>
        <v>283.15199999999999</v>
      </c>
      <c r="Q5" s="2">
        <f t="shared" si="3"/>
        <v>173.17</v>
      </c>
      <c r="R5" s="2">
        <f t="shared" si="4"/>
        <v>0.98225092138989567</v>
      </c>
      <c r="S5" s="2">
        <f t="shared" si="5"/>
        <v>0.893611911623439</v>
      </c>
      <c r="T5" s="2">
        <f t="shared" si="6"/>
        <v>0.88052780504706363</v>
      </c>
      <c r="V5" s="2">
        <v>173.17</v>
      </c>
      <c r="W5" s="2">
        <f t="shared" si="7"/>
        <v>173.17</v>
      </c>
    </row>
    <row r="6" spans="1:26" ht="15.75" customHeight="1" x14ac:dyDescent="0.2">
      <c r="A6" s="1" t="s">
        <v>19</v>
      </c>
      <c r="B6" s="3">
        <v>20</v>
      </c>
      <c r="C6" s="1">
        <v>8.1</v>
      </c>
      <c r="D6" s="3">
        <v>0.18</v>
      </c>
      <c r="E6" s="3">
        <v>367.76</v>
      </c>
      <c r="F6" s="3">
        <v>70.69</v>
      </c>
      <c r="G6" s="3">
        <v>296.76600000000002</v>
      </c>
      <c r="H6" s="3">
        <v>285.714</v>
      </c>
      <c r="I6" s="3">
        <v>225.786</v>
      </c>
      <c r="J6" s="3">
        <v>233.715</v>
      </c>
      <c r="K6" s="3">
        <v>131.55500000000001</v>
      </c>
      <c r="L6" s="3">
        <v>137.405</v>
      </c>
      <c r="N6" s="2">
        <f t="shared" si="0"/>
        <v>1310.941</v>
      </c>
      <c r="O6" s="2">
        <f t="shared" si="1"/>
        <v>296.76600000000002</v>
      </c>
      <c r="P6" s="2">
        <f t="shared" si="2"/>
        <v>233.715</v>
      </c>
      <c r="Q6" s="2">
        <f t="shared" si="3"/>
        <v>137.405</v>
      </c>
      <c r="R6" s="2">
        <f t="shared" si="4"/>
        <v>0.96275853702917447</v>
      </c>
      <c r="S6" s="2">
        <f t="shared" si="5"/>
        <v>0.96607406456581735</v>
      </c>
      <c r="T6" s="2">
        <f t="shared" si="6"/>
        <v>0.95742513008988028</v>
      </c>
      <c r="V6" s="2">
        <v>137.405</v>
      </c>
      <c r="W6" s="2">
        <f t="shared" si="7"/>
        <v>137.405</v>
      </c>
    </row>
    <row r="7" spans="1:26" ht="15.75" customHeight="1" x14ac:dyDescent="0.2">
      <c r="A7" s="1" t="s">
        <v>19</v>
      </c>
      <c r="B7" s="3">
        <v>20</v>
      </c>
      <c r="C7" s="1">
        <v>8.1</v>
      </c>
      <c r="D7" s="3">
        <v>0.18</v>
      </c>
      <c r="E7" s="3">
        <v>383.31</v>
      </c>
      <c r="F7" s="3">
        <v>74.577500000000001</v>
      </c>
      <c r="G7" s="3">
        <v>272.34800000000001</v>
      </c>
      <c r="H7" s="3">
        <v>277.38400000000001</v>
      </c>
      <c r="I7" s="3">
        <v>204.125</v>
      </c>
      <c r="J7" s="3">
        <v>196.07</v>
      </c>
      <c r="K7" s="3">
        <v>165.90100000000001</v>
      </c>
      <c r="L7" s="3">
        <v>116.34699999999999</v>
      </c>
      <c r="N7" s="2">
        <f t="shared" si="0"/>
        <v>1232.175</v>
      </c>
      <c r="O7" s="2">
        <f t="shared" si="1"/>
        <v>277.38400000000001</v>
      </c>
      <c r="P7" s="2">
        <f t="shared" si="2"/>
        <v>204.125</v>
      </c>
      <c r="Q7" s="2">
        <f t="shared" si="3"/>
        <v>165.90100000000001</v>
      </c>
      <c r="R7" s="2">
        <f t="shared" si="4"/>
        <v>0.98184466299426065</v>
      </c>
      <c r="S7" s="2">
        <f t="shared" si="5"/>
        <v>0.96053888548683397</v>
      </c>
      <c r="T7" s="2">
        <f t="shared" si="6"/>
        <v>0.70130378960946582</v>
      </c>
      <c r="V7" s="2">
        <v>165.90100000000001</v>
      </c>
      <c r="W7" s="2">
        <f t="shared" si="7"/>
        <v>165.90100000000001</v>
      </c>
    </row>
    <row r="8" spans="1:26" ht="15.75" customHeight="1" x14ac:dyDescent="0.2">
      <c r="A8" s="1" t="s">
        <v>19</v>
      </c>
      <c r="B8" s="3">
        <v>20</v>
      </c>
      <c r="C8" s="1">
        <v>8.1</v>
      </c>
      <c r="D8" s="3">
        <v>0.18</v>
      </c>
      <c r="E8" s="3">
        <v>359.06</v>
      </c>
      <c r="F8" s="3">
        <v>68.515000000000001</v>
      </c>
      <c r="G8" s="3">
        <v>261.14299999999997</v>
      </c>
      <c r="H8" s="3">
        <v>261.512</v>
      </c>
      <c r="I8" s="3">
        <v>142.54599999999999</v>
      </c>
      <c r="J8" s="3">
        <v>166.28</v>
      </c>
      <c r="K8" s="3">
        <v>139.91900000000001</v>
      </c>
      <c r="L8" s="3">
        <v>138.11199999999999</v>
      </c>
      <c r="N8" s="2">
        <f t="shared" si="0"/>
        <v>1109.5119999999999</v>
      </c>
      <c r="O8" s="2">
        <f t="shared" si="1"/>
        <v>261.512</v>
      </c>
      <c r="P8" s="2">
        <f t="shared" si="2"/>
        <v>166.28</v>
      </c>
      <c r="Q8" s="2">
        <f t="shared" si="3"/>
        <v>139.91900000000001</v>
      </c>
      <c r="R8" s="2">
        <f t="shared" si="4"/>
        <v>0.99858897488451759</v>
      </c>
      <c r="S8" s="2">
        <f t="shared" si="5"/>
        <v>0.85726485446235257</v>
      </c>
      <c r="T8" s="2">
        <f t="shared" si="6"/>
        <v>0.98708538511567401</v>
      </c>
      <c r="V8" s="2">
        <v>139.91900000000001</v>
      </c>
      <c r="W8" s="2">
        <f t="shared" si="7"/>
        <v>139.91900000000001</v>
      </c>
    </row>
    <row r="9" spans="1:26" ht="15.75" customHeight="1" x14ac:dyDescent="0.2">
      <c r="A9" s="1" t="s">
        <v>19</v>
      </c>
      <c r="B9" s="3">
        <v>20</v>
      </c>
      <c r="C9" s="1">
        <v>8.1</v>
      </c>
      <c r="D9" s="3">
        <v>0.18</v>
      </c>
      <c r="E9" s="3">
        <v>347.84</v>
      </c>
      <c r="F9" s="3">
        <v>65.709999999999994</v>
      </c>
      <c r="G9" s="3">
        <v>251.02799999999999</v>
      </c>
      <c r="H9" s="3">
        <v>281.029</v>
      </c>
      <c r="I9" s="3">
        <v>193.066</v>
      </c>
      <c r="J9" s="3">
        <v>254.8</v>
      </c>
      <c r="K9" s="3">
        <v>151.602</v>
      </c>
      <c r="L9" s="3">
        <v>139.12799999999999</v>
      </c>
      <c r="N9" s="2">
        <f t="shared" si="0"/>
        <v>1270.653</v>
      </c>
      <c r="O9" s="2">
        <f t="shared" si="1"/>
        <v>281.029</v>
      </c>
      <c r="P9" s="2">
        <f t="shared" si="2"/>
        <v>254.8</v>
      </c>
      <c r="Q9" s="2">
        <f t="shared" si="3"/>
        <v>151.602</v>
      </c>
      <c r="R9" s="2">
        <f t="shared" si="4"/>
        <v>0.893245892772632</v>
      </c>
      <c r="S9" s="2">
        <f t="shared" si="5"/>
        <v>0.75771585557299836</v>
      </c>
      <c r="T9" s="2">
        <f t="shared" si="6"/>
        <v>0.91771876360470162</v>
      </c>
      <c r="V9" s="2">
        <v>151.602</v>
      </c>
      <c r="W9" s="2">
        <f t="shared" si="7"/>
        <v>151.602</v>
      </c>
    </row>
    <row r="10" spans="1:26" ht="15.75" customHeight="1" x14ac:dyDescent="0.2">
      <c r="A10" s="1" t="s">
        <v>19</v>
      </c>
      <c r="B10" s="3">
        <v>20</v>
      </c>
      <c r="C10" s="1">
        <v>8.1</v>
      </c>
      <c r="D10" s="3">
        <v>0.18</v>
      </c>
      <c r="E10" s="3">
        <v>365.61</v>
      </c>
      <c r="F10" s="3">
        <v>70.152500000000003</v>
      </c>
      <c r="G10" s="3">
        <v>256.86500000000001</v>
      </c>
      <c r="H10" s="3">
        <v>250.65899999999999</v>
      </c>
      <c r="I10" s="3">
        <v>252.24199999999999</v>
      </c>
      <c r="J10" s="3">
        <v>274.233</v>
      </c>
      <c r="K10" s="3">
        <v>157.71899999999999</v>
      </c>
      <c r="L10" s="3">
        <v>167.566</v>
      </c>
      <c r="N10" s="2">
        <f t="shared" si="0"/>
        <v>1359.2840000000001</v>
      </c>
      <c r="O10" s="2">
        <f t="shared" si="1"/>
        <v>256.86500000000001</v>
      </c>
      <c r="P10" s="2">
        <f t="shared" si="2"/>
        <v>274.233</v>
      </c>
      <c r="Q10" s="2">
        <f t="shared" si="3"/>
        <v>167.566</v>
      </c>
      <c r="R10" s="2">
        <f t="shared" si="4"/>
        <v>0.97583944873766371</v>
      </c>
      <c r="S10" s="2">
        <f t="shared" si="5"/>
        <v>0.91980906747182134</v>
      </c>
      <c r="T10" s="2">
        <f t="shared" si="6"/>
        <v>0.94123509542508621</v>
      </c>
      <c r="V10" s="2">
        <v>167.566</v>
      </c>
      <c r="W10" s="2">
        <f t="shared" si="7"/>
        <v>167.566</v>
      </c>
    </row>
    <row r="11" spans="1:26" ht="15.75" customHeight="1" x14ac:dyDescent="0.2">
      <c r="A11" s="1" t="s">
        <v>19</v>
      </c>
      <c r="B11" s="3">
        <v>20</v>
      </c>
      <c r="C11" s="1">
        <v>8.1</v>
      </c>
      <c r="D11" s="3">
        <v>0.18</v>
      </c>
      <c r="E11" s="3">
        <v>410.65</v>
      </c>
      <c r="F11" s="3">
        <v>81.412499999999994</v>
      </c>
      <c r="G11" s="3">
        <v>294.226</v>
      </c>
      <c r="H11" s="3">
        <v>315.02800000000002</v>
      </c>
      <c r="I11" s="3">
        <v>317.47199999999998</v>
      </c>
      <c r="J11" s="3">
        <v>341.36700000000002</v>
      </c>
      <c r="K11" s="3">
        <v>197.36</v>
      </c>
      <c r="L11" s="3">
        <v>176.26599999999999</v>
      </c>
      <c r="N11" s="2">
        <f t="shared" si="0"/>
        <v>1641.7190000000001</v>
      </c>
      <c r="O11" s="2">
        <f t="shared" si="1"/>
        <v>315.02800000000002</v>
      </c>
      <c r="P11" s="2">
        <f t="shared" si="2"/>
        <v>341.36700000000002</v>
      </c>
      <c r="Q11" s="2">
        <f t="shared" si="3"/>
        <v>197.36</v>
      </c>
      <c r="R11" s="2">
        <f t="shared" si="4"/>
        <v>0.93396777429307865</v>
      </c>
      <c r="S11" s="2">
        <f t="shared" si="5"/>
        <v>0.93000202128500986</v>
      </c>
      <c r="T11" s="2">
        <f t="shared" si="6"/>
        <v>0.89311917308471822</v>
      </c>
      <c r="V11" s="2">
        <v>197.36</v>
      </c>
      <c r="W11" s="2">
        <f t="shared" si="7"/>
        <v>197.36</v>
      </c>
    </row>
    <row r="12" spans="1:26" ht="15.75" customHeight="1" x14ac:dyDescent="0.2">
      <c r="A12" s="1" t="s">
        <v>19</v>
      </c>
      <c r="B12" s="3">
        <v>20</v>
      </c>
      <c r="C12" s="1">
        <v>8.1</v>
      </c>
      <c r="D12" s="3">
        <v>3</v>
      </c>
      <c r="E12" s="3">
        <v>423.69</v>
      </c>
      <c r="F12" s="3">
        <v>84.672499999999999</v>
      </c>
      <c r="G12" s="3">
        <v>328.22500000000002</v>
      </c>
      <c r="H12" s="3">
        <v>340.596</v>
      </c>
      <c r="I12" s="3">
        <v>232.03200000000001</v>
      </c>
      <c r="J12" s="3">
        <v>240.452</v>
      </c>
      <c r="K12" s="3">
        <v>172.047</v>
      </c>
      <c r="L12" s="3">
        <v>153.501</v>
      </c>
      <c r="N12" s="2">
        <f t="shared" si="0"/>
        <v>1466.8530000000001</v>
      </c>
      <c r="O12" s="2">
        <f t="shared" si="1"/>
        <v>340.596</v>
      </c>
      <c r="P12" s="2">
        <f t="shared" si="2"/>
        <v>240.452</v>
      </c>
      <c r="Q12" s="2">
        <f t="shared" si="3"/>
        <v>172.047</v>
      </c>
      <c r="R12" s="2">
        <f t="shared" si="4"/>
        <v>0.96367837555344171</v>
      </c>
      <c r="S12" s="2">
        <f t="shared" si="5"/>
        <v>0.96498261607306246</v>
      </c>
      <c r="T12" s="2">
        <f t="shared" si="6"/>
        <v>0.89220387452265959</v>
      </c>
      <c r="V12" s="2">
        <v>172.047</v>
      </c>
      <c r="W12" s="2">
        <f t="shared" si="7"/>
        <v>172.047</v>
      </c>
    </row>
    <row r="13" spans="1:26" ht="15.75" customHeight="1" x14ac:dyDescent="0.2">
      <c r="A13" s="1" t="s">
        <v>19</v>
      </c>
      <c r="B13" s="3">
        <v>20</v>
      </c>
      <c r="C13" s="1">
        <v>8.1</v>
      </c>
      <c r="D13" s="3">
        <v>3</v>
      </c>
      <c r="E13" s="3">
        <v>364.09</v>
      </c>
      <c r="F13" s="3">
        <v>69.772499999999994</v>
      </c>
      <c r="G13" s="3">
        <v>273.45100000000002</v>
      </c>
      <c r="H13" s="3">
        <v>287.11</v>
      </c>
      <c r="I13" s="3">
        <v>197.50399999999999</v>
      </c>
      <c r="J13" s="3">
        <v>189.41900000000001</v>
      </c>
      <c r="K13" s="3">
        <v>152.45699999999999</v>
      </c>
      <c r="L13" s="3">
        <v>159.834</v>
      </c>
      <c r="N13" s="2">
        <f t="shared" si="0"/>
        <v>1259.7750000000001</v>
      </c>
      <c r="O13" s="2">
        <f t="shared" si="1"/>
        <v>287.11</v>
      </c>
      <c r="P13" s="2">
        <f t="shared" si="2"/>
        <v>197.50399999999999</v>
      </c>
      <c r="Q13" s="2">
        <f t="shared" si="3"/>
        <v>159.834</v>
      </c>
      <c r="R13" s="2">
        <f t="shared" si="4"/>
        <v>0.95242589948103518</v>
      </c>
      <c r="S13" s="2">
        <f t="shared" si="5"/>
        <v>0.95906412022035004</v>
      </c>
      <c r="T13" s="2">
        <f t="shared" si="6"/>
        <v>0.95384586508502567</v>
      </c>
      <c r="V13" s="2">
        <v>159.834</v>
      </c>
      <c r="W13" s="2">
        <f t="shared" si="7"/>
        <v>159.834</v>
      </c>
    </row>
    <row r="14" spans="1:26" ht="15.75" customHeight="1" x14ac:dyDescent="0.2">
      <c r="A14" s="1" t="s">
        <v>19</v>
      </c>
      <c r="B14" s="3">
        <v>20</v>
      </c>
      <c r="C14" s="1">
        <v>8.1</v>
      </c>
      <c r="D14" s="3">
        <v>3</v>
      </c>
      <c r="E14" s="3">
        <v>369.7</v>
      </c>
      <c r="F14" s="3">
        <v>71.174999999999997</v>
      </c>
      <c r="G14" s="3">
        <v>242.68100000000001</v>
      </c>
      <c r="H14" s="3">
        <v>248.00700000000001</v>
      </c>
      <c r="I14" s="3">
        <v>188.29</v>
      </c>
      <c r="J14" s="3">
        <v>227.9</v>
      </c>
      <c r="K14" s="3">
        <v>205.114</v>
      </c>
      <c r="L14" s="3">
        <v>126.372</v>
      </c>
      <c r="N14" s="2">
        <f t="shared" si="0"/>
        <v>1238.364</v>
      </c>
      <c r="O14" s="2">
        <f t="shared" si="1"/>
        <v>248.00700000000001</v>
      </c>
      <c r="P14" s="2">
        <f t="shared" si="2"/>
        <v>227.9</v>
      </c>
      <c r="Q14" s="2">
        <f t="shared" si="3"/>
        <v>205.114</v>
      </c>
      <c r="R14" s="2">
        <f t="shared" si="4"/>
        <v>0.97852479970323425</v>
      </c>
      <c r="S14" s="2">
        <f t="shared" si="5"/>
        <v>0.82619569986836328</v>
      </c>
      <c r="T14" s="2">
        <f t="shared" si="6"/>
        <v>0.61610616535195062</v>
      </c>
      <c r="V14" s="2">
        <v>205.114</v>
      </c>
      <c r="W14" s="2">
        <f t="shared" si="7"/>
        <v>205.114</v>
      </c>
    </row>
    <row r="15" spans="1:26" ht="15.75" customHeight="1" x14ac:dyDescent="0.2">
      <c r="A15" s="1" t="s">
        <v>19</v>
      </c>
      <c r="B15" s="3">
        <v>20</v>
      </c>
      <c r="C15" s="1">
        <v>8.1</v>
      </c>
      <c r="D15" s="3">
        <v>3</v>
      </c>
      <c r="E15" s="3">
        <v>366.24</v>
      </c>
      <c r="F15" s="3">
        <v>70.31</v>
      </c>
      <c r="G15" s="3">
        <v>266.00099999999998</v>
      </c>
      <c r="H15" s="3">
        <v>253.898</v>
      </c>
      <c r="I15" s="3">
        <v>203.77099999999999</v>
      </c>
      <c r="J15" s="3">
        <v>184.49199999999999</v>
      </c>
      <c r="K15" s="3">
        <v>199.78200000000001</v>
      </c>
      <c r="L15" s="3">
        <v>146.208</v>
      </c>
      <c r="N15" s="2">
        <f t="shared" si="0"/>
        <v>1254.152</v>
      </c>
      <c r="O15" s="2">
        <f t="shared" si="1"/>
        <v>266.00099999999998</v>
      </c>
      <c r="P15" s="2">
        <f t="shared" si="2"/>
        <v>203.77099999999999</v>
      </c>
      <c r="Q15" s="2">
        <f t="shared" si="3"/>
        <v>199.78200000000001</v>
      </c>
      <c r="R15" s="2">
        <f t="shared" si="4"/>
        <v>0.95450017105198859</v>
      </c>
      <c r="S15" s="2">
        <f t="shared" si="5"/>
        <v>0.90538889243317255</v>
      </c>
      <c r="T15" s="2">
        <f t="shared" si="6"/>
        <v>0.73183770309637497</v>
      </c>
      <c r="V15" s="2">
        <v>199.78200000000001</v>
      </c>
      <c r="W15" s="2">
        <f t="shared" si="7"/>
        <v>199.78200000000001</v>
      </c>
    </row>
    <row r="16" spans="1:26" ht="15.75" customHeight="1" x14ac:dyDescent="0.2">
      <c r="A16" s="1" t="s">
        <v>19</v>
      </c>
      <c r="B16" s="3">
        <v>20</v>
      </c>
      <c r="C16" s="1">
        <v>8.1</v>
      </c>
      <c r="D16" s="3">
        <v>3</v>
      </c>
      <c r="E16" s="3">
        <v>391.35</v>
      </c>
      <c r="F16" s="3">
        <v>76.587500000000006</v>
      </c>
      <c r="G16" s="3">
        <v>264.38900000000001</v>
      </c>
      <c r="H16" s="3">
        <v>267.49700000000001</v>
      </c>
      <c r="I16" s="3">
        <v>208.066</v>
      </c>
      <c r="J16" s="3">
        <v>255.76300000000001</v>
      </c>
      <c r="K16" s="3">
        <v>152.971</v>
      </c>
      <c r="L16" s="3">
        <v>166.501</v>
      </c>
      <c r="N16" s="2">
        <f t="shared" si="0"/>
        <v>1315.1870000000001</v>
      </c>
      <c r="O16" s="2">
        <f t="shared" si="1"/>
        <v>267.49700000000001</v>
      </c>
      <c r="P16" s="2">
        <f t="shared" si="2"/>
        <v>255.76300000000001</v>
      </c>
      <c r="Q16" s="2">
        <f t="shared" si="3"/>
        <v>166.501</v>
      </c>
      <c r="R16" s="2">
        <f t="shared" si="4"/>
        <v>0.98838117810667037</v>
      </c>
      <c r="S16" s="2">
        <f t="shared" si="5"/>
        <v>0.81351094568018045</v>
      </c>
      <c r="T16" s="2">
        <f t="shared" si="6"/>
        <v>0.91873922679143072</v>
      </c>
      <c r="V16" s="2">
        <v>166.501</v>
      </c>
      <c r="W16" s="2">
        <f t="shared" si="7"/>
        <v>166.501</v>
      </c>
    </row>
    <row r="17" spans="1:23" ht="15.75" customHeight="1" x14ac:dyDescent="0.2">
      <c r="A17" s="1" t="s">
        <v>19</v>
      </c>
      <c r="B17" s="3">
        <v>20</v>
      </c>
      <c r="C17" s="1">
        <v>8.1</v>
      </c>
      <c r="D17" s="3">
        <v>3</v>
      </c>
      <c r="E17" s="3">
        <v>403.63</v>
      </c>
      <c r="F17" s="3">
        <v>79.657499999999999</v>
      </c>
      <c r="G17" s="3">
        <v>274.73500000000001</v>
      </c>
      <c r="H17" s="3">
        <v>285.08800000000002</v>
      </c>
      <c r="I17" s="3">
        <v>296.76400000000001</v>
      </c>
      <c r="J17" s="3">
        <v>269.50700000000001</v>
      </c>
      <c r="K17" s="3">
        <v>186.50800000000001</v>
      </c>
      <c r="L17" s="3">
        <v>220.34299999999999</v>
      </c>
      <c r="N17" s="2">
        <f t="shared" si="0"/>
        <v>1532.9450000000002</v>
      </c>
      <c r="O17" s="2">
        <f t="shared" si="1"/>
        <v>285.08800000000002</v>
      </c>
      <c r="P17" s="2">
        <f t="shared" si="2"/>
        <v>296.76400000000001</v>
      </c>
      <c r="Q17" s="2">
        <f t="shared" si="3"/>
        <v>220.34299999999999</v>
      </c>
      <c r="R17" s="2">
        <f t="shared" si="4"/>
        <v>0.96368489729487028</v>
      </c>
      <c r="S17" s="2">
        <f t="shared" si="5"/>
        <v>0.90815260611125337</v>
      </c>
      <c r="T17" s="2">
        <f t="shared" si="6"/>
        <v>0.84644395329100552</v>
      </c>
      <c r="V17" s="2">
        <v>220.34299999999999</v>
      </c>
      <c r="W17" s="2">
        <f t="shared" si="7"/>
        <v>220.34299999999999</v>
      </c>
    </row>
    <row r="18" spans="1:23" ht="15.75" customHeight="1" x14ac:dyDescent="0.2">
      <c r="A18" s="1" t="s">
        <v>19</v>
      </c>
      <c r="B18" s="3">
        <v>20</v>
      </c>
      <c r="C18" s="1">
        <v>8.1</v>
      </c>
      <c r="D18" s="3">
        <v>3</v>
      </c>
      <c r="E18" s="3">
        <v>379.08</v>
      </c>
      <c r="F18" s="3">
        <v>73.52</v>
      </c>
      <c r="G18" s="3">
        <v>281.52</v>
      </c>
      <c r="H18" s="3">
        <v>280.803</v>
      </c>
      <c r="I18" s="3">
        <v>214.435</v>
      </c>
      <c r="J18" s="3">
        <v>191.91499999999999</v>
      </c>
      <c r="K18" s="3">
        <v>182.857</v>
      </c>
      <c r="L18" s="3">
        <v>98.915999999999997</v>
      </c>
      <c r="N18" s="2">
        <f t="shared" si="0"/>
        <v>1250.4459999999999</v>
      </c>
      <c r="O18" s="2">
        <f t="shared" si="1"/>
        <v>281.52</v>
      </c>
      <c r="P18" s="2">
        <f t="shared" si="2"/>
        <v>214.435</v>
      </c>
      <c r="Q18" s="2">
        <f t="shared" si="3"/>
        <v>182.857</v>
      </c>
      <c r="R18" s="2">
        <f t="shared" si="4"/>
        <v>0.9974531116794545</v>
      </c>
      <c r="S18" s="2">
        <f t="shared" si="5"/>
        <v>0.89497983071793308</v>
      </c>
      <c r="T18" s="2">
        <f t="shared" si="6"/>
        <v>0.54094729761507621</v>
      </c>
      <c r="V18" s="2">
        <v>182.857</v>
      </c>
      <c r="W18" s="2">
        <f t="shared" si="7"/>
        <v>182.857</v>
      </c>
    </row>
    <row r="19" spans="1:23" ht="15.75" customHeight="1" x14ac:dyDescent="0.2">
      <c r="A19" s="1" t="s">
        <v>19</v>
      </c>
      <c r="B19" s="3">
        <v>20</v>
      </c>
      <c r="C19" s="1">
        <v>8.1</v>
      </c>
      <c r="D19" s="3">
        <v>3</v>
      </c>
      <c r="E19" s="3">
        <v>375.82</v>
      </c>
      <c r="F19" s="3">
        <v>72.704999999999998</v>
      </c>
      <c r="G19" s="3">
        <v>278.798</v>
      </c>
      <c r="H19" s="3">
        <v>273.67200000000003</v>
      </c>
      <c r="I19" s="3">
        <v>211.87799999999999</v>
      </c>
      <c r="J19" s="3">
        <v>241.40600000000001</v>
      </c>
      <c r="K19" s="3">
        <v>172.56299999999999</v>
      </c>
      <c r="L19" s="3">
        <v>176.46199999999999</v>
      </c>
      <c r="N19" s="2">
        <f t="shared" si="0"/>
        <v>1354.779</v>
      </c>
      <c r="O19" s="2">
        <f t="shared" si="1"/>
        <v>278.798</v>
      </c>
      <c r="P19" s="2">
        <f t="shared" si="2"/>
        <v>241.40600000000001</v>
      </c>
      <c r="Q19" s="2">
        <f t="shared" si="3"/>
        <v>176.46199999999999</v>
      </c>
      <c r="R19" s="2">
        <f t="shared" si="4"/>
        <v>0.98161392836390515</v>
      </c>
      <c r="S19" s="2">
        <f t="shared" si="5"/>
        <v>0.87768323902471346</v>
      </c>
      <c r="T19" s="2">
        <f t="shared" si="6"/>
        <v>0.97790459135677932</v>
      </c>
      <c r="V19" s="2">
        <v>176.46199999999999</v>
      </c>
      <c r="W19" s="2">
        <f t="shared" si="7"/>
        <v>176.46199999999999</v>
      </c>
    </row>
    <row r="20" spans="1:23" ht="15.75" customHeight="1" x14ac:dyDescent="0.2">
      <c r="A20" s="1" t="s">
        <v>19</v>
      </c>
      <c r="B20" s="3">
        <v>20</v>
      </c>
      <c r="C20" s="1">
        <v>8.1</v>
      </c>
      <c r="D20" s="3">
        <v>3</v>
      </c>
      <c r="E20" s="3">
        <v>380.94</v>
      </c>
      <c r="F20" s="3">
        <v>73.984999999999999</v>
      </c>
      <c r="G20" s="3">
        <v>254.69</v>
      </c>
      <c r="H20" s="3">
        <v>314.24900000000002</v>
      </c>
      <c r="I20" s="3">
        <v>192.3</v>
      </c>
      <c r="J20" s="3">
        <v>189.18899999999999</v>
      </c>
      <c r="K20" s="3">
        <v>188.56899999999999</v>
      </c>
      <c r="L20" s="3">
        <v>131.744</v>
      </c>
      <c r="N20" s="2">
        <f t="shared" si="0"/>
        <v>1270.741</v>
      </c>
      <c r="O20" s="2">
        <f t="shared" si="1"/>
        <v>314.24900000000002</v>
      </c>
      <c r="P20" s="2">
        <f t="shared" si="2"/>
        <v>192.3</v>
      </c>
      <c r="Q20" s="2">
        <f t="shared" si="3"/>
        <v>188.56899999999999</v>
      </c>
      <c r="R20" s="2">
        <f t="shared" si="4"/>
        <v>0.81047195058695487</v>
      </c>
      <c r="S20" s="2">
        <f t="shared" si="5"/>
        <v>0.9838221528861153</v>
      </c>
      <c r="T20" s="2">
        <f t="shared" si="6"/>
        <v>0.69865142202588981</v>
      </c>
      <c r="V20" s="2">
        <v>188.56899999999999</v>
      </c>
      <c r="W20" s="2">
        <f t="shared" si="7"/>
        <v>188.56899999999999</v>
      </c>
    </row>
    <row r="21" spans="1:23" ht="15.75" customHeight="1" x14ac:dyDescent="0.2">
      <c r="A21" s="1" t="s">
        <v>19</v>
      </c>
      <c r="B21" s="3">
        <v>20</v>
      </c>
      <c r="C21" s="1">
        <v>8.1</v>
      </c>
      <c r="D21" s="3">
        <v>7</v>
      </c>
      <c r="E21" s="3">
        <v>377.41</v>
      </c>
      <c r="F21" s="3">
        <v>73.102500000000006</v>
      </c>
      <c r="G21" s="3">
        <v>278.601</v>
      </c>
      <c r="H21" s="3">
        <v>283.24299999999999</v>
      </c>
      <c r="I21" s="3">
        <v>299.041</v>
      </c>
      <c r="J21" s="3">
        <v>309.03800000000001</v>
      </c>
      <c r="K21" s="3">
        <v>213.92099999999999</v>
      </c>
      <c r="L21" s="3">
        <v>202.06899999999999</v>
      </c>
      <c r="N21" s="2">
        <f t="shared" si="0"/>
        <v>1585.913</v>
      </c>
      <c r="O21" s="2">
        <f t="shared" si="1"/>
        <v>283.24299999999999</v>
      </c>
      <c r="P21" s="2">
        <f t="shared" si="2"/>
        <v>309.03800000000001</v>
      </c>
      <c r="Q21" s="2">
        <f t="shared" si="3"/>
        <v>213.92099999999999</v>
      </c>
      <c r="R21" s="2">
        <f t="shared" si="4"/>
        <v>0.98361124546767265</v>
      </c>
      <c r="S21" s="2">
        <f t="shared" si="5"/>
        <v>0.96765122735715348</v>
      </c>
      <c r="T21" s="2">
        <f t="shared" si="6"/>
        <v>0.94459636968787541</v>
      </c>
      <c r="V21" s="2">
        <v>213.92099999999999</v>
      </c>
      <c r="W21" s="2">
        <f t="shared" si="7"/>
        <v>213.92099999999999</v>
      </c>
    </row>
    <row r="22" spans="1:23" ht="15.75" customHeight="1" x14ac:dyDescent="0.2">
      <c r="A22" s="1" t="s">
        <v>19</v>
      </c>
      <c r="B22" s="3">
        <v>20</v>
      </c>
      <c r="C22" s="1">
        <v>8.1</v>
      </c>
      <c r="D22" s="3">
        <v>7</v>
      </c>
      <c r="E22" s="3">
        <v>389.56</v>
      </c>
      <c r="F22" s="3">
        <v>76.14</v>
      </c>
      <c r="G22" s="3">
        <v>316.98500000000001</v>
      </c>
      <c r="H22" s="3">
        <v>310.85399999999998</v>
      </c>
      <c r="I22" s="3">
        <v>299.78300000000002</v>
      </c>
      <c r="J22" s="3">
        <v>303.72300000000001</v>
      </c>
      <c r="K22" s="3">
        <v>222.93199999999999</v>
      </c>
      <c r="L22" s="3">
        <v>202.23699999999999</v>
      </c>
      <c r="N22" s="2">
        <f t="shared" si="0"/>
        <v>1656.5140000000001</v>
      </c>
      <c r="O22" s="2">
        <f t="shared" si="1"/>
        <v>316.98500000000001</v>
      </c>
      <c r="P22" s="2">
        <f t="shared" si="2"/>
        <v>303.72300000000001</v>
      </c>
      <c r="Q22" s="2">
        <f t="shared" si="3"/>
        <v>222.93199999999999</v>
      </c>
      <c r="R22" s="2">
        <f t="shared" si="4"/>
        <v>0.9806583907755887</v>
      </c>
      <c r="S22" s="2">
        <f t="shared" si="5"/>
        <v>0.98702765348689436</v>
      </c>
      <c r="T22" s="2">
        <f t="shared" si="6"/>
        <v>0.90716900220695107</v>
      </c>
      <c r="V22" s="2">
        <v>222.93199999999999</v>
      </c>
      <c r="W22" s="2">
        <f t="shared" si="7"/>
        <v>222.93199999999999</v>
      </c>
    </row>
    <row r="23" spans="1:23" ht="15.75" customHeight="1" x14ac:dyDescent="0.2">
      <c r="A23" s="1" t="s">
        <v>19</v>
      </c>
      <c r="B23" s="3">
        <v>20</v>
      </c>
      <c r="C23" s="1">
        <v>8.1</v>
      </c>
      <c r="D23" s="3">
        <v>7</v>
      </c>
      <c r="E23" s="3">
        <v>394.28</v>
      </c>
      <c r="F23" s="3">
        <v>77.319999999999993</v>
      </c>
      <c r="G23" s="3">
        <v>297.45400000000001</v>
      </c>
      <c r="H23" s="3">
        <v>283.66800000000001</v>
      </c>
      <c r="I23" s="3">
        <v>215.571</v>
      </c>
      <c r="J23" s="3">
        <v>193.733</v>
      </c>
      <c r="K23" s="3">
        <v>209.15700000000001</v>
      </c>
      <c r="L23" s="3">
        <v>206.94499999999999</v>
      </c>
      <c r="N23" s="2">
        <f t="shared" si="0"/>
        <v>1406.528</v>
      </c>
      <c r="O23" s="2">
        <f t="shared" si="1"/>
        <v>297.45400000000001</v>
      </c>
      <c r="P23" s="2">
        <f t="shared" si="2"/>
        <v>215.571</v>
      </c>
      <c r="Q23" s="2">
        <f t="shared" si="3"/>
        <v>209.15700000000001</v>
      </c>
      <c r="R23" s="2">
        <f t="shared" si="4"/>
        <v>0.95365333799511853</v>
      </c>
      <c r="S23" s="2">
        <f t="shared" si="5"/>
        <v>0.89869694903303321</v>
      </c>
      <c r="T23" s="2">
        <f t="shared" si="6"/>
        <v>0.98942421243372192</v>
      </c>
      <c r="V23" s="2">
        <v>209.15700000000001</v>
      </c>
      <c r="W23" s="2">
        <f t="shared" si="7"/>
        <v>209.15700000000001</v>
      </c>
    </row>
    <row r="24" spans="1:23" ht="15.75" customHeight="1" x14ac:dyDescent="0.2">
      <c r="A24" s="1" t="s">
        <v>19</v>
      </c>
      <c r="B24" s="3">
        <v>20</v>
      </c>
      <c r="C24" s="1">
        <v>8.1</v>
      </c>
      <c r="D24" s="3">
        <v>7</v>
      </c>
      <c r="E24" s="3">
        <v>367.4</v>
      </c>
      <c r="F24" s="3">
        <v>70.599999999999994</v>
      </c>
      <c r="G24" s="3">
        <v>274.44</v>
      </c>
      <c r="H24" s="3">
        <v>284.75599999999997</v>
      </c>
      <c r="I24" s="3">
        <v>254.8</v>
      </c>
      <c r="J24" s="3">
        <v>290.69600000000003</v>
      </c>
      <c r="K24" s="3">
        <v>202.22300000000001</v>
      </c>
      <c r="L24" s="3">
        <v>191.465</v>
      </c>
      <c r="N24" s="2">
        <f t="shared" si="0"/>
        <v>1498.3799999999999</v>
      </c>
      <c r="O24" s="2">
        <f t="shared" si="1"/>
        <v>284.75599999999997</v>
      </c>
      <c r="P24" s="2">
        <f t="shared" si="2"/>
        <v>290.69600000000003</v>
      </c>
      <c r="Q24" s="2">
        <f t="shared" si="3"/>
        <v>202.22300000000001</v>
      </c>
      <c r="R24" s="2">
        <f t="shared" si="4"/>
        <v>0.96377249294132528</v>
      </c>
      <c r="S24" s="2">
        <f t="shared" si="5"/>
        <v>0.87651704873820069</v>
      </c>
      <c r="T24" s="2">
        <f t="shared" si="6"/>
        <v>0.94680130351146996</v>
      </c>
      <c r="V24" s="2">
        <v>202.22300000000001</v>
      </c>
      <c r="W24" s="2">
        <f t="shared" si="7"/>
        <v>202.22300000000001</v>
      </c>
    </row>
    <row r="25" spans="1:23" ht="15.75" customHeight="1" x14ac:dyDescent="0.2">
      <c r="A25" s="1" t="s">
        <v>19</v>
      </c>
      <c r="B25" s="3">
        <v>20</v>
      </c>
      <c r="C25" s="1">
        <v>8.1</v>
      </c>
      <c r="D25" s="3">
        <v>7</v>
      </c>
      <c r="E25" s="3">
        <v>399.97</v>
      </c>
      <c r="F25" s="3">
        <v>78.742500000000007</v>
      </c>
      <c r="G25" s="3">
        <v>322.83199999999999</v>
      </c>
      <c r="H25" s="3">
        <v>327.06200000000001</v>
      </c>
      <c r="I25" s="3">
        <v>282.96699999999998</v>
      </c>
      <c r="J25" s="3">
        <v>270.49</v>
      </c>
      <c r="K25" s="3">
        <v>230.27699999999999</v>
      </c>
      <c r="L25" s="3">
        <v>240.733</v>
      </c>
      <c r="N25" s="2">
        <f t="shared" si="0"/>
        <v>1674.3610000000001</v>
      </c>
      <c r="O25" s="2">
        <f t="shared" si="1"/>
        <v>327.06200000000001</v>
      </c>
      <c r="P25" s="2">
        <f t="shared" si="2"/>
        <v>282.96699999999998</v>
      </c>
      <c r="Q25" s="2">
        <f t="shared" si="3"/>
        <v>240.733</v>
      </c>
      <c r="R25" s="2">
        <f t="shared" si="4"/>
        <v>0.98706667237404522</v>
      </c>
      <c r="S25" s="2">
        <f t="shared" si="5"/>
        <v>0.95590651913474023</v>
      </c>
      <c r="T25" s="2">
        <f t="shared" si="6"/>
        <v>0.95656598804484627</v>
      </c>
      <c r="V25" s="2">
        <v>240.733</v>
      </c>
      <c r="W25" s="2">
        <f t="shared" si="7"/>
        <v>240.733</v>
      </c>
    </row>
    <row r="26" spans="1:23" ht="15.75" customHeight="1" x14ac:dyDescent="0.2">
      <c r="A26" s="1" t="s">
        <v>19</v>
      </c>
      <c r="B26" s="3">
        <v>20</v>
      </c>
      <c r="C26" s="1">
        <v>8.1</v>
      </c>
      <c r="D26" s="3">
        <v>7</v>
      </c>
      <c r="E26" s="3">
        <v>382.65</v>
      </c>
      <c r="F26" s="3">
        <v>74.412499999999994</v>
      </c>
      <c r="G26" s="3">
        <v>268.21699999999998</v>
      </c>
      <c r="H26" s="3">
        <v>257.50700000000001</v>
      </c>
      <c r="I26" s="3">
        <v>337.22500000000002</v>
      </c>
      <c r="J26" s="3">
        <v>320.43099999999998</v>
      </c>
      <c r="K26" s="3">
        <v>250.911</v>
      </c>
      <c r="L26" s="3">
        <v>247.023</v>
      </c>
      <c r="N26" s="2">
        <f t="shared" si="0"/>
        <v>1681.3139999999999</v>
      </c>
      <c r="O26" s="2">
        <f t="shared" si="1"/>
        <v>268.21699999999998</v>
      </c>
      <c r="P26" s="2">
        <f t="shared" si="2"/>
        <v>337.22500000000002</v>
      </c>
      <c r="Q26" s="2">
        <f t="shared" si="3"/>
        <v>250.911</v>
      </c>
      <c r="R26" s="2">
        <f t="shared" si="4"/>
        <v>0.96006964510079529</v>
      </c>
      <c r="S26" s="2">
        <f t="shared" si="5"/>
        <v>0.95019942175105632</v>
      </c>
      <c r="T26" s="2">
        <f t="shared" si="6"/>
        <v>0.98450446572689121</v>
      </c>
      <c r="V26" s="2">
        <v>250.911</v>
      </c>
      <c r="W26" s="2">
        <f t="shared" si="7"/>
        <v>250.911</v>
      </c>
    </row>
    <row r="27" spans="1:23" ht="15" x14ac:dyDescent="0.2">
      <c r="A27" s="1" t="s">
        <v>19</v>
      </c>
      <c r="B27" s="3">
        <v>20</v>
      </c>
      <c r="C27" s="1">
        <v>8.1</v>
      </c>
      <c r="D27" s="3">
        <v>7</v>
      </c>
      <c r="E27" s="3">
        <v>389.64</v>
      </c>
      <c r="F27" s="3">
        <v>76.16</v>
      </c>
      <c r="G27" s="3">
        <v>291.52699999999999</v>
      </c>
      <c r="H27" s="3">
        <v>315.18599999999998</v>
      </c>
      <c r="I27" s="3">
        <v>297.108</v>
      </c>
      <c r="J27" s="3">
        <v>195.596</v>
      </c>
      <c r="K27" s="3">
        <v>200.679</v>
      </c>
      <c r="L27" s="3">
        <v>144.38499999999999</v>
      </c>
      <c r="N27" s="2">
        <f t="shared" si="0"/>
        <v>1444.481</v>
      </c>
      <c r="O27" s="2">
        <f t="shared" si="1"/>
        <v>315.18599999999998</v>
      </c>
      <c r="P27" s="2">
        <f t="shared" si="2"/>
        <v>297.108</v>
      </c>
      <c r="Q27" s="2">
        <f t="shared" si="3"/>
        <v>200.679</v>
      </c>
      <c r="R27" s="2">
        <f t="shared" si="4"/>
        <v>0.9249363867684478</v>
      </c>
      <c r="S27" s="2">
        <f t="shared" si="5"/>
        <v>0.65833299675538859</v>
      </c>
      <c r="T27" s="2">
        <f t="shared" si="6"/>
        <v>0.71948235739663835</v>
      </c>
      <c r="V27" s="2">
        <v>200.679</v>
      </c>
      <c r="W27" s="2">
        <f t="shared" si="7"/>
        <v>200.679</v>
      </c>
    </row>
    <row r="28" spans="1:23" ht="15" x14ac:dyDescent="0.2">
      <c r="A28" s="1" t="s">
        <v>19</v>
      </c>
      <c r="B28" s="3">
        <v>20</v>
      </c>
      <c r="C28" s="1">
        <v>8.1</v>
      </c>
      <c r="D28" s="3">
        <v>7</v>
      </c>
      <c r="E28" s="3">
        <v>368.09</v>
      </c>
      <c r="F28" s="3">
        <v>70.772499999999994</v>
      </c>
      <c r="G28" s="3">
        <v>267.06200000000001</v>
      </c>
      <c r="H28" s="3">
        <v>262.13600000000002</v>
      </c>
      <c r="I28" s="3">
        <v>231.44499999999999</v>
      </c>
      <c r="J28" s="3">
        <v>187.797</v>
      </c>
      <c r="K28" s="3">
        <v>172.83099999999999</v>
      </c>
      <c r="L28" s="3">
        <v>166.553</v>
      </c>
      <c r="N28" s="2">
        <f t="shared" si="0"/>
        <v>1287.8240000000001</v>
      </c>
      <c r="O28" s="2">
        <f t="shared" si="1"/>
        <v>267.06200000000001</v>
      </c>
      <c r="P28" s="2">
        <f t="shared" si="2"/>
        <v>231.44499999999999</v>
      </c>
      <c r="Q28" s="2">
        <f t="shared" si="3"/>
        <v>172.83099999999999</v>
      </c>
      <c r="R28" s="2">
        <f t="shared" si="4"/>
        <v>0.98155484494237299</v>
      </c>
      <c r="S28" s="2">
        <f t="shared" si="5"/>
        <v>0.81141091836073365</v>
      </c>
      <c r="T28" s="2">
        <f t="shared" si="6"/>
        <v>0.96367549802986741</v>
      </c>
      <c r="V28" s="2">
        <v>172.83099999999999</v>
      </c>
      <c r="W28" s="2">
        <f t="shared" si="7"/>
        <v>172.83099999999999</v>
      </c>
    </row>
    <row r="29" spans="1:23" ht="15" x14ac:dyDescent="0.2">
      <c r="A29" s="1" t="s">
        <v>19</v>
      </c>
      <c r="B29" s="3">
        <v>20</v>
      </c>
      <c r="C29" s="1">
        <v>8.1</v>
      </c>
      <c r="D29" s="3">
        <v>7</v>
      </c>
      <c r="E29" s="3">
        <v>379.88</v>
      </c>
      <c r="F29" s="3">
        <v>73.72</v>
      </c>
      <c r="G29" s="3">
        <v>240.89400000000001</v>
      </c>
      <c r="H29" s="3">
        <v>252.047</v>
      </c>
      <c r="I29" s="3">
        <v>319.70699999999999</v>
      </c>
      <c r="J29" s="3">
        <v>333.77</v>
      </c>
      <c r="K29" s="3">
        <v>253.22499999999999</v>
      </c>
      <c r="L29" s="3">
        <v>255.376</v>
      </c>
      <c r="N29" s="2">
        <f t="shared" si="0"/>
        <v>1655.019</v>
      </c>
      <c r="O29" s="2">
        <f t="shared" si="1"/>
        <v>252.047</v>
      </c>
      <c r="P29" s="2">
        <f t="shared" si="2"/>
        <v>333.77</v>
      </c>
      <c r="Q29" s="2">
        <f t="shared" si="3"/>
        <v>255.376</v>
      </c>
      <c r="R29" s="2">
        <f t="shared" si="4"/>
        <v>0.95575031640924113</v>
      </c>
      <c r="S29" s="2">
        <f t="shared" si="5"/>
        <v>0.95786619528417771</v>
      </c>
      <c r="T29" s="2">
        <f t="shared" si="6"/>
        <v>0.99157712549339005</v>
      </c>
      <c r="V29" s="2">
        <v>255.376</v>
      </c>
      <c r="W29" s="2">
        <f t="shared" si="7"/>
        <v>255.376</v>
      </c>
    </row>
    <row r="30" spans="1:23" ht="15" x14ac:dyDescent="0.2">
      <c r="A30" s="1" t="s">
        <v>19</v>
      </c>
      <c r="B30" s="3">
        <v>20</v>
      </c>
      <c r="C30" s="1">
        <v>8.1</v>
      </c>
      <c r="D30" s="3">
        <v>7</v>
      </c>
      <c r="E30" s="3">
        <v>394.59</v>
      </c>
      <c r="F30" s="3">
        <v>77.397499999999994</v>
      </c>
      <c r="G30" s="3">
        <v>292.584</v>
      </c>
      <c r="H30" s="3">
        <v>295.221</v>
      </c>
      <c r="I30" s="3">
        <v>300.24799999999999</v>
      </c>
      <c r="J30" s="3">
        <v>180.21100000000001</v>
      </c>
      <c r="K30" s="3">
        <v>179.209</v>
      </c>
      <c r="L30" s="3">
        <v>136.876</v>
      </c>
      <c r="N30" s="2">
        <f t="shared" si="0"/>
        <v>1384.3490000000002</v>
      </c>
      <c r="O30" s="2">
        <f t="shared" si="1"/>
        <v>295.221</v>
      </c>
      <c r="P30" s="2">
        <f t="shared" si="2"/>
        <v>300.24799999999999</v>
      </c>
      <c r="Q30" s="2">
        <f t="shared" si="3"/>
        <v>179.209</v>
      </c>
      <c r="R30" s="2">
        <f t="shared" si="4"/>
        <v>0.99106770859796556</v>
      </c>
      <c r="S30" s="2">
        <f t="shared" si="5"/>
        <v>0.60020716207934777</v>
      </c>
      <c r="T30" s="2">
        <f t="shared" si="6"/>
        <v>0.76377860486917515</v>
      </c>
      <c r="V30" s="2">
        <v>179.209</v>
      </c>
      <c r="W30" s="2">
        <f t="shared" si="7"/>
        <v>179.209</v>
      </c>
    </row>
    <row r="31" spans="1:23" ht="15" x14ac:dyDescent="0.2">
      <c r="A31" s="1" t="s">
        <v>19</v>
      </c>
      <c r="B31" s="3">
        <v>20</v>
      </c>
      <c r="C31" s="1">
        <v>8.1</v>
      </c>
      <c r="D31" s="3">
        <v>10</v>
      </c>
      <c r="E31" s="3">
        <v>387.12</v>
      </c>
      <c r="F31" s="3">
        <v>75.53</v>
      </c>
      <c r="G31" s="3">
        <v>280.75200000000001</v>
      </c>
      <c r="H31" s="3">
        <v>278.85300000000001</v>
      </c>
      <c r="I31" s="3">
        <v>264.17099999999999</v>
      </c>
      <c r="J31" s="3">
        <v>277.03100000000001</v>
      </c>
      <c r="K31" s="3">
        <v>169.8</v>
      </c>
      <c r="L31" s="3">
        <v>154.75700000000001</v>
      </c>
      <c r="N31" s="2">
        <f t="shared" si="0"/>
        <v>1425.364</v>
      </c>
      <c r="O31" s="2">
        <f t="shared" si="1"/>
        <v>280.75200000000001</v>
      </c>
      <c r="P31" s="2">
        <f t="shared" si="2"/>
        <v>277.03100000000001</v>
      </c>
      <c r="Q31" s="2">
        <f t="shared" si="3"/>
        <v>169.8</v>
      </c>
      <c r="R31" s="2">
        <f t="shared" si="4"/>
        <v>0.99323602325183791</v>
      </c>
      <c r="S31" s="2">
        <f t="shared" si="5"/>
        <v>0.95357920232753735</v>
      </c>
      <c r="T31" s="2">
        <f t="shared" si="6"/>
        <v>0.91140753828032972</v>
      </c>
      <c r="V31" s="2">
        <v>169.8</v>
      </c>
      <c r="W31" s="2">
        <f t="shared" si="7"/>
        <v>169.8</v>
      </c>
    </row>
    <row r="32" spans="1:23" ht="15" x14ac:dyDescent="0.2">
      <c r="A32" s="1" t="s">
        <v>19</v>
      </c>
      <c r="B32" s="3">
        <v>20</v>
      </c>
      <c r="C32" s="1">
        <v>8.1</v>
      </c>
      <c r="D32" s="3">
        <v>10</v>
      </c>
      <c r="E32" s="3">
        <v>368.83</v>
      </c>
      <c r="F32" s="3">
        <v>70.957499999999996</v>
      </c>
      <c r="G32" s="3">
        <v>275.03699999999998</v>
      </c>
      <c r="H32" s="3">
        <v>289.35700000000003</v>
      </c>
      <c r="I32" s="3">
        <v>228.566</v>
      </c>
      <c r="J32" s="3">
        <v>203.95699999999999</v>
      </c>
      <c r="K32" s="3">
        <v>165.18799999999999</v>
      </c>
      <c r="L32" s="3">
        <v>151.583</v>
      </c>
      <c r="N32" s="2">
        <f t="shared" si="0"/>
        <v>1313.6880000000001</v>
      </c>
      <c r="O32" s="2">
        <f t="shared" si="1"/>
        <v>289.35700000000003</v>
      </c>
      <c r="P32" s="2">
        <f t="shared" si="2"/>
        <v>228.566</v>
      </c>
      <c r="Q32" s="2">
        <f t="shared" si="3"/>
        <v>165.18799999999999</v>
      </c>
      <c r="R32" s="2">
        <f t="shared" si="4"/>
        <v>0.95051096050899042</v>
      </c>
      <c r="S32" s="2">
        <f t="shared" si="5"/>
        <v>0.89233306791036282</v>
      </c>
      <c r="T32" s="2">
        <f t="shared" si="6"/>
        <v>0.91763929583262716</v>
      </c>
      <c r="V32" s="2">
        <v>165.18799999999999</v>
      </c>
      <c r="W32" s="2">
        <f t="shared" si="7"/>
        <v>165.18799999999999</v>
      </c>
    </row>
    <row r="33" spans="1:23" ht="15" x14ac:dyDescent="0.2">
      <c r="A33" s="1" t="s">
        <v>19</v>
      </c>
      <c r="B33" s="3">
        <v>20</v>
      </c>
      <c r="C33" s="1">
        <v>8.1</v>
      </c>
      <c r="D33" s="3">
        <v>10</v>
      </c>
      <c r="E33" s="3">
        <v>370.54</v>
      </c>
      <c r="F33" s="3">
        <v>71.385000000000005</v>
      </c>
      <c r="G33" s="3">
        <v>247.43100000000001</v>
      </c>
      <c r="H33" s="3">
        <v>253.751</v>
      </c>
      <c r="I33" s="3">
        <v>270.81599999999997</v>
      </c>
      <c r="J33" s="3">
        <v>264.411</v>
      </c>
      <c r="K33" s="3">
        <v>194.44</v>
      </c>
      <c r="L33" s="3">
        <v>160.77799999999999</v>
      </c>
      <c r="N33" s="2">
        <f t="shared" si="0"/>
        <v>1391.6270000000002</v>
      </c>
      <c r="O33" s="2">
        <f t="shared" si="1"/>
        <v>253.751</v>
      </c>
      <c r="P33" s="2">
        <f t="shared" si="2"/>
        <v>270.81599999999997</v>
      </c>
      <c r="Q33" s="2">
        <f t="shared" si="3"/>
        <v>194.44</v>
      </c>
      <c r="R33" s="2">
        <f t="shared" si="4"/>
        <v>0.97509369421204251</v>
      </c>
      <c r="S33" s="2">
        <f t="shared" si="5"/>
        <v>0.97634925558312669</v>
      </c>
      <c r="T33" s="2">
        <f t="shared" si="6"/>
        <v>0.82687718576424596</v>
      </c>
      <c r="V33" s="2">
        <v>194.44</v>
      </c>
      <c r="W33" s="2">
        <f t="shared" si="7"/>
        <v>194.44</v>
      </c>
    </row>
    <row r="34" spans="1:23" ht="15" x14ac:dyDescent="0.2">
      <c r="A34" s="1" t="s">
        <v>19</v>
      </c>
      <c r="B34" s="3">
        <v>20</v>
      </c>
      <c r="C34" s="1">
        <v>8.1</v>
      </c>
      <c r="D34" s="3">
        <v>10</v>
      </c>
      <c r="E34" s="3">
        <v>378.82</v>
      </c>
      <c r="F34" s="3">
        <v>73.454999999999998</v>
      </c>
      <c r="G34" s="3">
        <v>269.995</v>
      </c>
      <c r="H34" s="3">
        <v>287.19799999999998</v>
      </c>
      <c r="I34" s="3">
        <v>257.202</v>
      </c>
      <c r="J34" s="3">
        <v>274.166</v>
      </c>
      <c r="K34" s="3">
        <v>162.316</v>
      </c>
      <c r="L34" s="3">
        <v>174.601</v>
      </c>
      <c r="N34" s="2">
        <f t="shared" si="0"/>
        <v>1425.4780000000001</v>
      </c>
      <c r="O34" s="2">
        <f t="shared" si="1"/>
        <v>287.19799999999998</v>
      </c>
      <c r="P34" s="2">
        <f t="shared" si="2"/>
        <v>274.166</v>
      </c>
      <c r="Q34" s="2">
        <f t="shared" si="3"/>
        <v>174.601</v>
      </c>
      <c r="R34" s="2">
        <f t="shared" si="4"/>
        <v>0.94010055780332735</v>
      </c>
      <c r="S34" s="2">
        <f t="shared" si="5"/>
        <v>0.93812507750778729</v>
      </c>
      <c r="T34" s="2">
        <f t="shared" si="6"/>
        <v>0.9296395782383835</v>
      </c>
      <c r="V34" s="2">
        <v>174.601</v>
      </c>
      <c r="W34" s="2">
        <f t="shared" si="7"/>
        <v>174.601</v>
      </c>
    </row>
    <row r="35" spans="1:23" ht="15" x14ac:dyDescent="0.2">
      <c r="A35" s="1" t="s">
        <v>19</v>
      </c>
      <c r="B35" s="3">
        <v>20</v>
      </c>
      <c r="C35" s="1">
        <v>8.1</v>
      </c>
      <c r="D35" s="3">
        <v>10</v>
      </c>
      <c r="E35" s="3">
        <v>326.61</v>
      </c>
      <c r="F35" s="3">
        <v>60.402500000000003</v>
      </c>
      <c r="G35" s="3">
        <v>212.77099999999999</v>
      </c>
      <c r="H35" s="3">
        <v>204.05600000000001</v>
      </c>
      <c r="I35" s="3">
        <v>226.16900000000001</v>
      </c>
      <c r="J35" s="3">
        <v>251.21100000000001</v>
      </c>
      <c r="K35" s="3">
        <v>183.97</v>
      </c>
      <c r="L35" s="3">
        <v>203.13300000000001</v>
      </c>
      <c r="N35" s="2">
        <f t="shared" si="0"/>
        <v>1281.31</v>
      </c>
      <c r="O35" s="2">
        <f t="shared" si="1"/>
        <v>212.77099999999999</v>
      </c>
      <c r="P35" s="2">
        <f t="shared" si="2"/>
        <v>251.21100000000001</v>
      </c>
      <c r="Q35" s="2">
        <f t="shared" si="3"/>
        <v>203.13300000000001</v>
      </c>
      <c r="R35" s="2">
        <f t="shared" si="4"/>
        <v>0.95904047074084353</v>
      </c>
      <c r="S35" s="2">
        <f t="shared" si="5"/>
        <v>0.90031487474672689</v>
      </c>
      <c r="T35" s="2">
        <f t="shared" si="6"/>
        <v>0.9056627923577163</v>
      </c>
      <c r="V35" s="2">
        <v>203.13300000000001</v>
      </c>
      <c r="W35" s="2">
        <f t="shared" si="7"/>
        <v>203.13300000000001</v>
      </c>
    </row>
    <row r="36" spans="1:23" ht="15" x14ac:dyDescent="0.2">
      <c r="A36" s="1" t="s">
        <v>19</v>
      </c>
      <c r="B36" s="3">
        <v>20</v>
      </c>
      <c r="C36" s="1">
        <v>8.1</v>
      </c>
      <c r="D36" s="3">
        <v>10</v>
      </c>
      <c r="E36" s="3">
        <v>347.21</v>
      </c>
      <c r="F36" s="3">
        <v>65.552499999999995</v>
      </c>
      <c r="G36" s="3">
        <v>274.375</v>
      </c>
      <c r="H36" s="3">
        <v>260.56700000000001</v>
      </c>
      <c r="I36" s="3">
        <v>224.59200000000001</v>
      </c>
      <c r="J36" s="3">
        <v>223.03100000000001</v>
      </c>
      <c r="K36" s="3">
        <v>127.178</v>
      </c>
      <c r="L36" s="3">
        <v>144.28899999999999</v>
      </c>
      <c r="N36" s="2">
        <f t="shared" si="0"/>
        <v>1254.0319999999999</v>
      </c>
      <c r="O36" s="2">
        <f t="shared" si="1"/>
        <v>274.375</v>
      </c>
      <c r="P36" s="2">
        <f t="shared" si="2"/>
        <v>224.59200000000001</v>
      </c>
      <c r="Q36" s="2">
        <f t="shared" si="3"/>
        <v>144.28899999999999</v>
      </c>
      <c r="R36" s="2">
        <f t="shared" si="4"/>
        <v>0.94967471526195901</v>
      </c>
      <c r="S36" s="2">
        <f t="shared" si="5"/>
        <v>0.99304961886442966</v>
      </c>
      <c r="T36" s="2">
        <f t="shared" si="6"/>
        <v>0.88141161141874991</v>
      </c>
      <c r="V36" s="2">
        <v>144.28899999999999</v>
      </c>
      <c r="W36" s="2">
        <f t="shared" si="7"/>
        <v>144.28899999999999</v>
      </c>
    </row>
    <row r="37" spans="1:23" ht="15" x14ac:dyDescent="0.2">
      <c r="A37" s="1" t="s">
        <v>19</v>
      </c>
      <c r="B37" s="3">
        <v>20</v>
      </c>
      <c r="C37" s="1">
        <v>8.1</v>
      </c>
      <c r="D37" s="3">
        <v>10</v>
      </c>
      <c r="E37" s="3">
        <v>286.51</v>
      </c>
      <c r="F37" s="3">
        <v>50.377499999999998</v>
      </c>
      <c r="G37" s="3">
        <v>205.858</v>
      </c>
      <c r="H37" s="3">
        <v>203.71899999999999</v>
      </c>
      <c r="I37" s="3">
        <v>137.48500000000001</v>
      </c>
      <c r="J37" s="3">
        <v>132.71</v>
      </c>
      <c r="K37" s="3">
        <v>100.59699999999999</v>
      </c>
      <c r="L37" s="3">
        <v>100.37</v>
      </c>
      <c r="N37" s="2">
        <f t="shared" si="0"/>
        <v>880.73900000000003</v>
      </c>
      <c r="O37" s="2">
        <f t="shared" si="1"/>
        <v>205.858</v>
      </c>
      <c r="P37" s="2">
        <f t="shared" si="2"/>
        <v>137.48500000000001</v>
      </c>
      <c r="Q37" s="2">
        <f t="shared" si="3"/>
        <v>100.59699999999999</v>
      </c>
      <c r="R37" s="2">
        <f t="shared" si="4"/>
        <v>0.98960934236221076</v>
      </c>
      <c r="S37" s="2">
        <f t="shared" si="5"/>
        <v>0.96526893842964678</v>
      </c>
      <c r="T37" s="2">
        <f t="shared" si="6"/>
        <v>0.99774347147529263</v>
      </c>
      <c r="V37" s="2">
        <v>100.59699999999999</v>
      </c>
      <c r="W37" s="2">
        <f t="shared" si="7"/>
        <v>100.59699999999999</v>
      </c>
    </row>
    <row r="38" spans="1:23" ht="15" x14ac:dyDescent="0.2">
      <c r="A38" s="1" t="s">
        <v>19</v>
      </c>
      <c r="B38" s="3">
        <v>20</v>
      </c>
      <c r="C38" s="1">
        <v>8.1</v>
      </c>
      <c r="D38" s="3">
        <v>10</v>
      </c>
      <c r="E38" s="3">
        <v>382.92</v>
      </c>
      <c r="F38" s="3">
        <v>74.48</v>
      </c>
      <c r="G38" s="3">
        <v>309.45999999999998</v>
      </c>
      <c r="H38" s="3">
        <v>312.62299999999999</v>
      </c>
      <c r="I38" s="3">
        <v>147.476</v>
      </c>
      <c r="J38" s="3">
        <v>175.273</v>
      </c>
      <c r="K38" s="3">
        <v>122.105</v>
      </c>
      <c r="L38" s="3">
        <v>163.39099999999999</v>
      </c>
      <c r="N38" s="2">
        <f t="shared" si="0"/>
        <v>1230.328</v>
      </c>
      <c r="O38" s="2">
        <f t="shared" si="1"/>
        <v>312.62299999999999</v>
      </c>
      <c r="P38" s="2">
        <f t="shared" si="2"/>
        <v>175.273</v>
      </c>
      <c r="Q38" s="2">
        <f t="shared" si="3"/>
        <v>163.39099999999999</v>
      </c>
      <c r="R38" s="2">
        <f t="shared" si="4"/>
        <v>0.9898823822943289</v>
      </c>
      <c r="S38" s="2">
        <f t="shared" si="5"/>
        <v>0.84140740444905948</v>
      </c>
      <c r="T38" s="2">
        <f t="shared" si="6"/>
        <v>0.74731778372125768</v>
      </c>
      <c r="V38" s="2">
        <v>163.39099999999999</v>
      </c>
      <c r="W38" s="2">
        <f t="shared" si="7"/>
        <v>163.39099999999999</v>
      </c>
    </row>
    <row r="39" spans="1:23" ht="15" x14ac:dyDescent="0.2">
      <c r="A39" s="1" t="s">
        <v>19</v>
      </c>
      <c r="B39" s="3">
        <v>20</v>
      </c>
      <c r="C39" s="1">
        <v>8.1</v>
      </c>
      <c r="D39" s="3">
        <v>10</v>
      </c>
      <c r="E39" s="3">
        <v>410.71</v>
      </c>
      <c r="F39" s="3">
        <v>81.427499999999995</v>
      </c>
      <c r="G39" s="3">
        <v>292.55900000000003</v>
      </c>
      <c r="H39" s="3">
        <v>289.75900000000001</v>
      </c>
      <c r="I39" s="3">
        <v>250.97</v>
      </c>
      <c r="J39" s="3">
        <v>256.14400000000001</v>
      </c>
      <c r="K39" s="3">
        <v>224.97900000000001</v>
      </c>
      <c r="L39" s="3">
        <v>208.40700000000001</v>
      </c>
      <c r="N39" s="2">
        <f t="shared" si="0"/>
        <v>1522.818</v>
      </c>
      <c r="O39" s="2">
        <f t="shared" si="1"/>
        <v>292.55900000000003</v>
      </c>
      <c r="P39" s="2">
        <f t="shared" si="2"/>
        <v>256.14400000000001</v>
      </c>
      <c r="Q39" s="2">
        <f t="shared" si="3"/>
        <v>224.97900000000001</v>
      </c>
      <c r="R39" s="2">
        <f t="shared" si="4"/>
        <v>0.99042928093136762</v>
      </c>
      <c r="S39" s="2">
        <f t="shared" si="5"/>
        <v>0.97980042476107188</v>
      </c>
      <c r="T39" s="2">
        <f t="shared" si="6"/>
        <v>0.92633979171389325</v>
      </c>
      <c r="V39" s="2">
        <v>224.97900000000001</v>
      </c>
      <c r="W39" s="2">
        <f t="shared" si="7"/>
        <v>224.97900000000001</v>
      </c>
    </row>
    <row r="40" spans="1:23" ht="15" x14ac:dyDescent="0.2">
      <c r="A40" s="1" t="s">
        <v>19</v>
      </c>
      <c r="B40" s="3">
        <v>20</v>
      </c>
      <c r="C40" s="1">
        <v>8.1</v>
      </c>
      <c r="D40" s="3">
        <v>10</v>
      </c>
      <c r="E40" s="3">
        <v>385.13</v>
      </c>
      <c r="F40" s="3">
        <v>75.032499999999999</v>
      </c>
      <c r="G40" s="3">
        <v>261.79700000000003</v>
      </c>
      <c r="H40" s="3">
        <v>251.982</v>
      </c>
      <c r="I40" s="3">
        <v>262.45999999999998</v>
      </c>
      <c r="J40" s="3">
        <v>233.006</v>
      </c>
      <c r="K40" s="3">
        <v>220.06700000000001</v>
      </c>
      <c r="L40" s="3">
        <v>203.86500000000001</v>
      </c>
      <c r="N40" s="2">
        <f t="shared" si="0"/>
        <v>1433.1769999999999</v>
      </c>
      <c r="O40" s="2">
        <f t="shared" si="1"/>
        <v>261.79700000000003</v>
      </c>
      <c r="P40" s="2">
        <f t="shared" si="2"/>
        <v>262.45999999999998</v>
      </c>
      <c r="Q40" s="2">
        <f t="shared" si="3"/>
        <v>220.06700000000001</v>
      </c>
      <c r="R40" s="2">
        <f t="shared" si="4"/>
        <v>0.96250911966141695</v>
      </c>
      <c r="S40" s="2">
        <f t="shared" si="5"/>
        <v>0.88777718509487169</v>
      </c>
      <c r="T40" s="2">
        <f t="shared" si="6"/>
        <v>0.92637696701459105</v>
      </c>
      <c r="V40" s="2">
        <v>220.06700000000001</v>
      </c>
      <c r="W40" s="2">
        <f t="shared" si="7"/>
        <v>220.06700000000001</v>
      </c>
    </row>
    <row r="41" spans="1:23" ht="15" x14ac:dyDescent="0.2">
      <c r="A41" s="1" t="s">
        <v>19</v>
      </c>
      <c r="B41" s="3">
        <v>20</v>
      </c>
      <c r="C41" s="1">
        <v>8.1</v>
      </c>
      <c r="D41" s="3">
        <v>20</v>
      </c>
      <c r="E41" s="3">
        <v>380.65</v>
      </c>
      <c r="F41" s="3">
        <v>73.912499999999994</v>
      </c>
      <c r="G41" s="3">
        <v>282.697</v>
      </c>
      <c r="H41" s="3">
        <v>283.72199999999998</v>
      </c>
      <c r="I41" s="3">
        <v>347.584</v>
      </c>
      <c r="J41" s="3">
        <v>349.17399999999998</v>
      </c>
      <c r="K41" s="3">
        <v>219.876</v>
      </c>
      <c r="L41" s="3">
        <v>205.685</v>
      </c>
      <c r="N41" s="2">
        <f t="shared" si="0"/>
        <v>1688.7379999999998</v>
      </c>
      <c r="O41" s="2">
        <f t="shared" si="1"/>
        <v>283.72199999999998</v>
      </c>
      <c r="P41" s="2">
        <f t="shared" si="2"/>
        <v>349.17399999999998</v>
      </c>
      <c r="Q41" s="2">
        <f t="shared" si="3"/>
        <v>219.876</v>
      </c>
      <c r="R41" s="2">
        <f t="shared" si="4"/>
        <v>0.99638730870359027</v>
      </c>
      <c r="S41" s="2">
        <f t="shared" si="5"/>
        <v>0.99544639635253496</v>
      </c>
      <c r="T41" s="2">
        <f t="shared" si="6"/>
        <v>0.93545907693427199</v>
      </c>
      <c r="V41" s="2">
        <v>219.876</v>
      </c>
      <c r="W41" s="2">
        <f t="shared" si="7"/>
        <v>219.876</v>
      </c>
    </row>
    <row r="42" spans="1:23" ht="15" x14ac:dyDescent="0.2">
      <c r="A42" s="1" t="s">
        <v>19</v>
      </c>
      <c r="B42" s="3">
        <v>20</v>
      </c>
      <c r="C42" s="1">
        <v>8.1</v>
      </c>
      <c r="D42" s="3">
        <v>20</v>
      </c>
      <c r="E42" s="3">
        <v>349.73</v>
      </c>
      <c r="F42" s="3">
        <v>66.182500000000005</v>
      </c>
      <c r="G42" s="3">
        <v>246.072</v>
      </c>
      <c r="H42" s="3">
        <v>255.13800000000001</v>
      </c>
      <c r="I42" s="3">
        <v>264.39</v>
      </c>
      <c r="J42" s="3">
        <v>224.404</v>
      </c>
      <c r="K42" s="3">
        <v>171.898</v>
      </c>
      <c r="L42" s="3">
        <v>158.67699999999999</v>
      </c>
      <c r="N42" s="2">
        <f t="shared" si="0"/>
        <v>1320.579</v>
      </c>
      <c r="O42" s="2">
        <f t="shared" si="1"/>
        <v>255.13800000000001</v>
      </c>
      <c r="P42" s="2">
        <f t="shared" si="2"/>
        <v>264.39</v>
      </c>
      <c r="Q42" s="2">
        <f t="shared" si="3"/>
        <v>171.898</v>
      </c>
      <c r="R42" s="2">
        <f t="shared" si="4"/>
        <v>0.9644662888319262</v>
      </c>
      <c r="S42" s="2">
        <f t="shared" si="5"/>
        <v>0.84876129959529489</v>
      </c>
      <c r="T42" s="2">
        <f t="shared" si="6"/>
        <v>0.92308811039104588</v>
      </c>
      <c r="V42" s="2">
        <v>171.898</v>
      </c>
      <c r="W42" s="2">
        <f t="shared" si="7"/>
        <v>171.898</v>
      </c>
    </row>
    <row r="43" spans="1:23" ht="15" x14ac:dyDescent="0.2">
      <c r="A43" s="1" t="s">
        <v>19</v>
      </c>
      <c r="B43" s="3">
        <v>20</v>
      </c>
      <c r="C43" s="1">
        <v>8.1</v>
      </c>
      <c r="D43" s="3">
        <v>20</v>
      </c>
      <c r="E43" s="3">
        <v>375.92</v>
      </c>
      <c r="F43" s="3">
        <v>72.73</v>
      </c>
      <c r="G43" s="3">
        <v>280.11399999999998</v>
      </c>
      <c r="H43" s="3">
        <v>277.66000000000003</v>
      </c>
      <c r="I43" s="3">
        <v>292.94499999999999</v>
      </c>
      <c r="J43" s="3">
        <v>283.25200000000001</v>
      </c>
      <c r="K43" s="3">
        <v>194.44</v>
      </c>
      <c r="L43" s="3">
        <v>197.16800000000001</v>
      </c>
      <c r="N43" s="2">
        <f t="shared" si="0"/>
        <v>1525.5790000000002</v>
      </c>
      <c r="O43" s="2">
        <f t="shared" si="1"/>
        <v>280.11399999999998</v>
      </c>
      <c r="P43" s="2">
        <f t="shared" si="2"/>
        <v>292.94499999999999</v>
      </c>
      <c r="Q43" s="2">
        <f t="shared" si="3"/>
        <v>197.16800000000001</v>
      </c>
      <c r="R43" s="2">
        <f t="shared" si="4"/>
        <v>0.99123928114981774</v>
      </c>
      <c r="S43" s="2">
        <f t="shared" si="5"/>
        <v>0.96691187765621534</v>
      </c>
      <c r="T43" s="2">
        <f t="shared" si="6"/>
        <v>0.98616408342124473</v>
      </c>
      <c r="V43" s="2">
        <v>197.16800000000001</v>
      </c>
      <c r="W43" s="2">
        <f t="shared" si="7"/>
        <v>197.16800000000001</v>
      </c>
    </row>
    <row r="44" spans="1:23" ht="15" x14ac:dyDescent="0.2">
      <c r="A44" s="1" t="s">
        <v>19</v>
      </c>
      <c r="B44" s="3">
        <v>20</v>
      </c>
      <c r="C44" s="1">
        <v>8.1</v>
      </c>
      <c r="D44" s="3">
        <v>20</v>
      </c>
      <c r="E44" s="3">
        <v>347.41</v>
      </c>
      <c r="F44" s="3">
        <v>65.602500000000006</v>
      </c>
      <c r="G44" s="3">
        <v>249.36099999999999</v>
      </c>
      <c r="H44" s="3">
        <v>233.845</v>
      </c>
      <c r="I44" s="3">
        <v>253.845</v>
      </c>
      <c r="J44" s="3">
        <v>243.36199999999999</v>
      </c>
      <c r="K44" s="3">
        <v>202.904</v>
      </c>
      <c r="L44" s="3">
        <v>174.958</v>
      </c>
      <c r="N44" s="2">
        <f t="shared" si="0"/>
        <v>1358.2750000000001</v>
      </c>
      <c r="O44" s="2">
        <f t="shared" si="1"/>
        <v>249.36099999999999</v>
      </c>
      <c r="P44" s="2">
        <f t="shared" si="2"/>
        <v>253.845</v>
      </c>
      <c r="Q44" s="2">
        <f t="shared" si="3"/>
        <v>202.904</v>
      </c>
      <c r="R44" s="2">
        <f t="shared" si="4"/>
        <v>0.93777695790440374</v>
      </c>
      <c r="S44" s="2">
        <f t="shared" si="5"/>
        <v>0.95870314562035885</v>
      </c>
      <c r="T44" s="2">
        <f t="shared" si="6"/>
        <v>0.86226984189567479</v>
      </c>
      <c r="V44" s="2">
        <v>202.904</v>
      </c>
      <c r="W44" s="2">
        <f t="shared" si="7"/>
        <v>202.904</v>
      </c>
    </row>
    <row r="45" spans="1:23" ht="15" x14ac:dyDescent="0.2">
      <c r="A45" s="1" t="s">
        <v>19</v>
      </c>
      <c r="B45" s="3">
        <v>20</v>
      </c>
      <c r="C45" s="1">
        <v>8.1</v>
      </c>
      <c r="D45" s="3">
        <v>20</v>
      </c>
      <c r="E45" s="3">
        <v>345.27</v>
      </c>
      <c r="F45" s="3">
        <v>65.067499999999995</v>
      </c>
      <c r="G45" s="3">
        <v>257.78699999999998</v>
      </c>
      <c r="H45" s="3">
        <v>247.964</v>
      </c>
      <c r="I45" s="3">
        <v>319.37599999999998</v>
      </c>
      <c r="J45" s="3">
        <v>321.47800000000001</v>
      </c>
      <c r="K45" s="3">
        <v>188.447</v>
      </c>
      <c r="L45" s="3">
        <v>189.29400000000001</v>
      </c>
      <c r="N45" s="2">
        <f t="shared" si="0"/>
        <v>1524.3460000000002</v>
      </c>
      <c r="O45" s="2">
        <f t="shared" si="1"/>
        <v>257.78699999999998</v>
      </c>
      <c r="P45" s="2">
        <f t="shared" si="2"/>
        <v>321.47800000000001</v>
      </c>
      <c r="Q45" s="2">
        <f t="shared" si="3"/>
        <v>189.29400000000001</v>
      </c>
      <c r="R45" s="2">
        <f t="shared" si="4"/>
        <v>0.96189489772564174</v>
      </c>
      <c r="S45" s="2">
        <f t="shared" si="5"/>
        <v>0.99346144992814434</v>
      </c>
      <c r="T45" s="2">
        <f t="shared" si="6"/>
        <v>0.99552547888469778</v>
      </c>
      <c r="V45" s="2">
        <v>189.29400000000001</v>
      </c>
      <c r="W45" s="2">
        <f t="shared" si="7"/>
        <v>189.29400000000001</v>
      </c>
    </row>
    <row r="46" spans="1:23" ht="15" x14ac:dyDescent="0.2">
      <c r="A46" s="1" t="s">
        <v>19</v>
      </c>
      <c r="B46" s="3">
        <v>20</v>
      </c>
      <c r="C46" s="1">
        <v>8.1</v>
      </c>
      <c r="D46" s="3">
        <v>20</v>
      </c>
      <c r="E46" s="3">
        <v>341.4</v>
      </c>
      <c r="F46" s="3">
        <v>64.099999999999994</v>
      </c>
      <c r="G46" s="3">
        <v>243.96899999999999</v>
      </c>
      <c r="H46" s="3">
        <v>240.501</v>
      </c>
      <c r="I46" s="3">
        <v>227.32</v>
      </c>
      <c r="J46" s="3">
        <v>238.15299999999999</v>
      </c>
      <c r="K46" s="3">
        <v>149.852</v>
      </c>
      <c r="L46" s="3">
        <v>161.69300000000001</v>
      </c>
      <c r="N46" s="2">
        <f t="shared" si="0"/>
        <v>1261.4880000000001</v>
      </c>
      <c r="O46" s="2">
        <f t="shared" si="1"/>
        <v>243.96899999999999</v>
      </c>
      <c r="P46" s="2">
        <f t="shared" si="2"/>
        <v>238.15299999999999</v>
      </c>
      <c r="Q46" s="2">
        <f t="shared" si="3"/>
        <v>161.69300000000001</v>
      </c>
      <c r="R46" s="2">
        <f t="shared" si="4"/>
        <v>0.9857850792518722</v>
      </c>
      <c r="S46" s="2">
        <f t="shared" si="5"/>
        <v>0.95451243528320029</v>
      </c>
      <c r="T46" s="2">
        <f t="shared" si="6"/>
        <v>0.9267686294397407</v>
      </c>
      <c r="V46" s="2">
        <v>161.69300000000001</v>
      </c>
      <c r="W46" s="2">
        <f t="shared" si="7"/>
        <v>161.69300000000001</v>
      </c>
    </row>
    <row r="47" spans="1:23" ht="15" x14ac:dyDescent="0.2">
      <c r="A47" s="1" t="s">
        <v>19</v>
      </c>
      <c r="B47" s="3">
        <v>20</v>
      </c>
      <c r="C47" s="1">
        <v>8.1</v>
      </c>
      <c r="D47" s="3">
        <v>20</v>
      </c>
      <c r="E47" s="3">
        <v>334.24</v>
      </c>
      <c r="F47" s="3">
        <v>62.31</v>
      </c>
      <c r="G47" s="3">
        <v>254.78299999999999</v>
      </c>
      <c r="H47" s="3">
        <v>262.48399999999998</v>
      </c>
      <c r="I47" s="3">
        <v>260.65600000000001</v>
      </c>
      <c r="J47" s="3">
        <v>290.32100000000003</v>
      </c>
      <c r="K47" s="3">
        <v>157.96299999999999</v>
      </c>
      <c r="L47" s="3">
        <v>151.37799999999999</v>
      </c>
      <c r="N47" s="2">
        <f t="shared" si="0"/>
        <v>1377.585</v>
      </c>
      <c r="O47" s="2">
        <f t="shared" si="1"/>
        <v>262.48399999999998</v>
      </c>
      <c r="P47" s="2">
        <f t="shared" si="2"/>
        <v>290.32100000000003</v>
      </c>
      <c r="Q47" s="2">
        <f t="shared" si="3"/>
        <v>157.96299999999999</v>
      </c>
      <c r="R47" s="2">
        <f t="shared" si="4"/>
        <v>0.97066106886514991</v>
      </c>
      <c r="S47" s="2">
        <f t="shared" si="5"/>
        <v>0.897819999242218</v>
      </c>
      <c r="T47" s="2">
        <f t="shared" si="6"/>
        <v>0.95831302266986562</v>
      </c>
      <c r="V47" s="2">
        <v>157.96299999999999</v>
      </c>
      <c r="W47" s="2">
        <f t="shared" si="7"/>
        <v>157.96299999999999</v>
      </c>
    </row>
    <row r="48" spans="1:23" ht="15" x14ac:dyDescent="0.2">
      <c r="A48" s="1" t="s">
        <v>19</v>
      </c>
      <c r="B48" s="3">
        <v>20</v>
      </c>
      <c r="C48" s="1">
        <v>8.1</v>
      </c>
      <c r="D48" s="3">
        <v>20</v>
      </c>
      <c r="E48" s="3">
        <v>360.51</v>
      </c>
      <c r="F48" s="3">
        <v>68.877499999999998</v>
      </c>
      <c r="G48" s="3">
        <v>261.38499999999999</v>
      </c>
      <c r="H48" s="3">
        <v>284.75299999999999</v>
      </c>
      <c r="I48" s="3">
        <v>281.87</v>
      </c>
      <c r="J48" s="3">
        <v>282.45699999999999</v>
      </c>
      <c r="K48" s="3">
        <v>181.09299999999999</v>
      </c>
      <c r="L48" s="3">
        <v>204.52699999999999</v>
      </c>
      <c r="N48" s="2">
        <f t="shared" si="0"/>
        <v>1496.085</v>
      </c>
      <c r="O48" s="2">
        <f t="shared" si="1"/>
        <v>284.75299999999999</v>
      </c>
      <c r="P48" s="2">
        <f t="shared" si="2"/>
        <v>282.45699999999999</v>
      </c>
      <c r="Q48" s="2">
        <f t="shared" si="3"/>
        <v>204.52699999999999</v>
      </c>
      <c r="R48" s="2">
        <f t="shared" si="4"/>
        <v>0.91793589531980346</v>
      </c>
      <c r="S48" s="2">
        <f t="shared" si="5"/>
        <v>0.99792180756716953</v>
      </c>
      <c r="T48" s="2">
        <f t="shared" si="6"/>
        <v>0.88542344042595844</v>
      </c>
      <c r="V48" s="2">
        <v>204.52699999999999</v>
      </c>
      <c r="W48" s="2">
        <f t="shared" si="7"/>
        <v>204.52699999999999</v>
      </c>
    </row>
    <row r="49" spans="1:24" ht="15" x14ac:dyDescent="0.2">
      <c r="A49" s="1" t="s">
        <v>19</v>
      </c>
      <c r="B49" s="3">
        <v>20</v>
      </c>
      <c r="C49" s="1">
        <v>8.1</v>
      </c>
      <c r="D49" s="3">
        <v>20</v>
      </c>
      <c r="E49" s="3">
        <v>355.27</v>
      </c>
      <c r="F49" s="3">
        <v>67.567499999999995</v>
      </c>
      <c r="G49" s="3">
        <v>252.916</v>
      </c>
      <c r="H49" s="3">
        <v>252.392</v>
      </c>
      <c r="I49" s="3">
        <v>289.71199999999999</v>
      </c>
      <c r="J49" s="3">
        <v>296.45400000000001</v>
      </c>
      <c r="K49" s="3">
        <v>166.43299999999999</v>
      </c>
      <c r="L49" s="3">
        <v>170.22</v>
      </c>
      <c r="N49" s="2">
        <f t="shared" si="0"/>
        <v>1428.127</v>
      </c>
      <c r="O49" s="2">
        <f t="shared" si="1"/>
        <v>252.916</v>
      </c>
      <c r="P49" s="2">
        <f t="shared" si="2"/>
        <v>296.45400000000001</v>
      </c>
      <c r="Q49" s="2">
        <f t="shared" si="3"/>
        <v>170.22</v>
      </c>
      <c r="R49" s="2">
        <f t="shared" si="4"/>
        <v>0.99792816587325439</v>
      </c>
      <c r="S49" s="2">
        <f t="shared" si="5"/>
        <v>0.97725785450693858</v>
      </c>
      <c r="T49" s="2">
        <f t="shared" si="6"/>
        <v>0.97775232052637762</v>
      </c>
      <c r="V49" s="2">
        <v>170.22</v>
      </c>
      <c r="W49" s="2">
        <f t="shared" si="7"/>
        <v>170.22</v>
      </c>
    </row>
    <row r="50" spans="1:24" ht="15" x14ac:dyDescent="0.2">
      <c r="A50" s="1" t="s">
        <v>19</v>
      </c>
      <c r="B50" s="3">
        <v>20</v>
      </c>
      <c r="C50" s="1">
        <v>8.1</v>
      </c>
      <c r="D50" s="3">
        <v>20</v>
      </c>
      <c r="E50" s="3">
        <v>336.57</v>
      </c>
      <c r="F50" s="3">
        <v>62.892499999999998</v>
      </c>
      <c r="G50" s="3">
        <v>240.023</v>
      </c>
      <c r="H50" s="3">
        <v>245.143</v>
      </c>
      <c r="I50" s="3">
        <v>275.09899999999999</v>
      </c>
      <c r="J50" s="3">
        <v>248.26400000000001</v>
      </c>
      <c r="K50" s="3">
        <v>155.476</v>
      </c>
      <c r="L50" s="3">
        <v>150.03899999999999</v>
      </c>
      <c r="N50" s="2">
        <f t="shared" si="0"/>
        <v>1314.0440000000001</v>
      </c>
      <c r="O50" s="2">
        <f t="shared" si="1"/>
        <v>245.143</v>
      </c>
      <c r="P50" s="2">
        <f t="shared" si="2"/>
        <v>275.09899999999999</v>
      </c>
      <c r="Q50" s="2">
        <f t="shared" si="3"/>
        <v>155.476</v>
      </c>
      <c r="R50" s="2">
        <f t="shared" si="4"/>
        <v>0.97911423128541297</v>
      </c>
      <c r="S50" s="2">
        <f t="shared" si="5"/>
        <v>0.90245329863067481</v>
      </c>
      <c r="T50" s="2">
        <f t="shared" si="6"/>
        <v>0.96502997247163547</v>
      </c>
      <c r="V50" s="2">
        <v>155.476</v>
      </c>
      <c r="W50" s="2">
        <f t="shared" si="7"/>
        <v>155.476</v>
      </c>
    </row>
    <row r="51" spans="1:24" ht="15" x14ac:dyDescent="0.2">
      <c r="A51" s="1" t="s">
        <v>20</v>
      </c>
      <c r="B51" s="3">
        <v>20</v>
      </c>
      <c r="C51" s="1">
        <v>8.1</v>
      </c>
      <c r="D51" s="3">
        <v>0.18</v>
      </c>
      <c r="E51" s="3">
        <v>391.83</v>
      </c>
      <c r="F51" s="3">
        <v>76.707499999999996</v>
      </c>
      <c r="G51" s="3">
        <v>282.55399999999997</v>
      </c>
      <c r="H51" s="3">
        <v>294.50799999999998</v>
      </c>
      <c r="I51" s="3">
        <v>253.18600000000001</v>
      </c>
      <c r="J51" s="3">
        <v>291.61399999999998</v>
      </c>
      <c r="K51" s="3">
        <v>180.624</v>
      </c>
      <c r="L51" s="3">
        <v>157.93100000000001</v>
      </c>
      <c r="N51" s="2">
        <f t="shared" si="0"/>
        <v>1460.4169999999999</v>
      </c>
      <c r="O51" s="2">
        <f t="shared" si="1"/>
        <v>294.50799999999998</v>
      </c>
      <c r="P51" s="2">
        <f t="shared" si="2"/>
        <v>291.61399999999998</v>
      </c>
      <c r="Q51" s="2">
        <f t="shared" si="3"/>
        <v>180.624</v>
      </c>
      <c r="R51" s="2">
        <f t="shared" si="4"/>
        <v>0.95941027068874185</v>
      </c>
      <c r="S51" s="2">
        <f t="shared" si="5"/>
        <v>0.86822306199290855</v>
      </c>
      <c r="T51" s="2">
        <f t="shared" si="6"/>
        <v>0.87436331827442648</v>
      </c>
      <c r="V51" s="2">
        <v>180.624</v>
      </c>
      <c r="X51" s="2">
        <f>V51</f>
        <v>180.624</v>
      </c>
    </row>
    <row r="52" spans="1:24" ht="15" x14ac:dyDescent="0.2">
      <c r="A52" s="1" t="s">
        <v>20</v>
      </c>
      <c r="B52" s="3">
        <v>20</v>
      </c>
      <c r="C52" s="1">
        <v>8.1</v>
      </c>
      <c r="D52" s="3">
        <v>0.18</v>
      </c>
      <c r="E52" s="3">
        <v>358.69</v>
      </c>
      <c r="F52" s="3">
        <v>68.422499999999999</v>
      </c>
      <c r="G52" s="3">
        <v>245.15799999999999</v>
      </c>
      <c r="H52" s="3">
        <v>249.65</v>
      </c>
      <c r="I52" s="3">
        <v>186.26300000000001</v>
      </c>
      <c r="J52" s="3">
        <v>197.58600000000001</v>
      </c>
      <c r="K52" s="3">
        <v>183.93600000000001</v>
      </c>
      <c r="L52" s="3">
        <v>193.64400000000001</v>
      </c>
      <c r="N52" s="2">
        <f t="shared" si="0"/>
        <v>1256.2370000000001</v>
      </c>
      <c r="O52" s="2">
        <f t="shared" si="1"/>
        <v>249.65</v>
      </c>
      <c r="P52" s="2">
        <f t="shared" si="2"/>
        <v>197.58600000000001</v>
      </c>
      <c r="Q52" s="2">
        <f t="shared" si="3"/>
        <v>193.64400000000001</v>
      </c>
      <c r="R52" s="2">
        <f t="shared" si="4"/>
        <v>0.98200680953334663</v>
      </c>
      <c r="S52" s="2">
        <f t="shared" si="5"/>
        <v>0.94269330823034014</v>
      </c>
      <c r="T52" s="2">
        <f t="shared" si="6"/>
        <v>0.94986676581768603</v>
      </c>
      <c r="V52" s="2">
        <v>193.64400000000001</v>
      </c>
      <c r="X52" s="2">
        <f t="shared" ref="X52:X97" si="8">V52</f>
        <v>193.64400000000001</v>
      </c>
    </row>
    <row r="53" spans="1:24" ht="15" x14ac:dyDescent="0.2">
      <c r="A53" s="1" t="s">
        <v>20</v>
      </c>
      <c r="B53" s="3">
        <v>20</v>
      </c>
      <c r="C53" s="1">
        <v>8.1</v>
      </c>
      <c r="D53" s="3">
        <v>0.18</v>
      </c>
      <c r="E53" s="3">
        <v>376.24</v>
      </c>
      <c r="F53" s="3">
        <v>72.81</v>
      </c>
      <c r="G53" s="3">
        <v>263.42599999999999</v>
      </c>
      <c r="H53" s="3">
        <v>266.68700000000001</v>
      </c>
      <c r="I53" s="3">
        <v>166.494</v>
      </c>
      <c r="J53" s="3">
        <v>188.34700000000001</v>
      </c>
      <c r="K53" s="3">
        <v>146.78700000000001</v>
      </c>
      <c r="L53" s="3">
        <v>133.57499999999999</v>
      </c>
      <c r="N53" s="2">
        <f t="shared" si="0"/>
        <v>1165.316</v>
      </c>
      <c r="O53" s="2">
        <f t="shared" si="1"/>
        <v>266.68700000000001</v>
      </c>
      <c r="P53" s="2">
        <f t="shared" si="2"/>
        <v>188.34700000000001</v>
      </c>
      <c r="Q53" s="2">
        <f t="shared" si="3"/>
        <v>146.78700000000001</v>
      </c>
      <c r="R53" s="2">
        <f t="shared" si="4"/>
        <v>0.9877721823710941</v>
      </c>
      <c r="S53" s="2">
        <f t="shared" si="5"/>
        <v>0.88397479120984135</v>
      </c>
      <c r="T53" s="2">
        <f t="shared" si="6"/>
        <v>0.90999202926689682</v>
      </c>
      <c r="V53" s="2">
        <v>146.78700000000001</v>
      </c>
      <c r="X53" s="2">
        <f t="shared" si="8"/>
        <v>146.78700000000001</v>
      </c>
    </row>
    <row r="54" spans="1:24" ht="15" x14ac:dyDescent="0.2">
      <c r="A54" s="1" t="s">
        <v>20</v>
      </c>
      <c r="B54" s="3">
        <v>20</v>
      </c>
      <c r="C54" s="1">
        <v>8.1</v>
      </c>
      <c r="D54" s="3">
        <v>0.18</v>
      </c>
      <c r="E54" s="3">
        <v>360.65</v>
      </c>
      <c r="F54" s="3">
        <v>68.912499999999994</v>
      </c>
      <c r="G54" s="3">
        <v>249.41900000000001</v>
      </c>
      <c r="H54" s="3">
        <v>238.578</v>
      </c>
      <c r="I54" s="3">
        <v>218.36600000000001</v>
      </c>
      <c r="J54" s="3">
        <v>229.77799999999999</v>
      </c>
      <c r="K54" s="3">
        <v>175.75800000000001</v>
      </c>
      <c r="L54" s="3">
        <v>184.41200000000001</v>
      </c>
      <c r="N54" s="2">
        <f t="shared" si="0"/>
        <v>1296.3110000000001</v>
      </c>
      <c r="O54" s="2">
        <f t="shared" si="1"/>
        <v>249.41900000000001</v>
      </c>
      <c r="P54" s="2">
        <f t="shared" si="2"/>
        <v>229.77799999999999</v>
      </c>
      <c r="Q54" s="2">
        <f t="shared" si="3"/>
        <v>184.41200000000001</v>
      </c>
      <c r="R54" s="2">
        <f t="shared" si="4"/>
        <v>0.95653498731050957</v>
      </c>
      <c r="S54" s="2">
        <f t="shared" si="5"/>
        <v>0.95033467085621781</v>
      </c>
      <c r="T54" s="2">
        <f t="shared" si="6"/>
        <v>0.95307246816909963</v>
      </c>
      <c r="V54" s="2">
        <v>184.41200000000001</v>
      </c>
      <c r="X54" s="2">
        <f t="shared" si="8"/>
        <v>184.41200000000001</v>
      </c>
    </row>
    <row r="55" spans="1:24" ht="15" x14ac:dyDescent="0.2">
      <c r="A55" s="1" t="s">
        <v>20</v>
      </c>
      <c r="B55" s="3">
        <v>20</v>
      </c>
      <c r="C55" s="1">
        <v>8.1</v>
      </c>
      <c r="D55" s="3">
        <v>0.18</v>
      </c>
      <c r="E55" s="3">
        <v>332.78</v>
      </c>
      <c r="F55" s="3">
        <v>61.944999999999993</v>
      </c>
      <c r="G55" s="3">
        <v>252.85</v>
      </c>
      <c r="H55" s="3">
        <v>249.26499999999999</v>
      </c>
      <c r="I55" s="3">
        <v>275.83100000000002</v>
      </c>
      <c r="J55" s="3">
        <v>254.09399999999999</v>
      </c>
      <c r="K55" s="3">
        <v>117.621</v>
      </c>
      <c r="L55" s="3">
        <v>118.62</v>
      </c>
      <c r="N55" s="2">
        <f t="shared" si="0"/>
        <v>1268.2809999999999</v>
      </c>
      <c r="O55" s="2">
        <f t="shared" si="1"/>
        <v>252.85</v>
      </c>
      <c r="P55" s="2">
        <f t="shared" si="2"/>
        <v>275.83100000000002</v>
      </c>
      <c r="Q55" s="2">
        <f t="shared" si="3"/>
        <v>118.62</v>
      </c>
      <c r="R55" s="2">
        <f t="shared" si="4"/>
        <v>0.98582163337947393</v>
      </c>
      <c r="S55" s="2">
        <f t="shared" si="5"/>
        <v>0.92119449953050958</v>
      </c>
      <c r="T55" s="2">
        <f t="shared" si="6"/>
        <v>0.99157814871016681</v>
      </c>
      <c r="V55" s="2">
        <v>118.62</v>
      </c>
      <c r="X55" s="2">
        <f t="shared" si="8"/>
        <v>118.62</v>
      </c>
    </row>
    <row r="56" spans="1:24" ht="15" x14ac:dyDescent="0.2">
      <c r="A56" s="1" t="s">
        <v>20</v>
      </c>
      <c r="B56" s="3">
        <v>20</v>
      </c>
      <c r="C56" s="1">
        <v>8.1</v>
      </c>
      <c r="D56" s="3">
        <v>0.18</v>
      </c>
      <c r="E56" s="3">
        <v>330.1</v>
      </c>
      <c r="F56" s="3">
        <v>61.275000000000006</v>
      </c>
      <c r="G56" s="3">
        <v>228.29300000000001</v>
      </c>
      <c r="H56" s="3">
        <v>235.80199999999999</v>
      </c>
      <c r="I56" s="3">
        <v>239.14099999999999</v>
      </c>
      <c r="J56" s="3">
        <v>208.17599999999999</v>
      </c>
      <c r="K56" s="3">
        <v>171.01</v>
      </c>
      <c r="L56" s="3">
        <v>174.834</v>
      </c>
      <c r="N56" s="2">
        <f t="shared" si="0"/>
        <v>1257.2560000000001</v>
      </c>
      <c r="O56" s="2">
        <f t="shared" si="1"/>
        <v>235.80199999999999</v>
      </c>
      <c r="P56" s="2">
        <f t="shared" si="2"/>
        <v>239.14099999999999</v>
      </c>
      <c r="Q56" s="2">
        <f t="shared" si="3"/>
        <v>174.834</v>
      </c>
      <c r="R56" s="2">
        <f t="shared" si="4"/>
        <v>0.96815548638264315</v>
      </c>
      <c r="S56" s="2">
        <f t="shared" si="5"/>
        <v>0.8705157208508788</v>
      </c>
      <c r="T56" s="2">
        <f t="shared" si="6"/>
        <v>0.97812782410743904</v>
      </c>
      <c r="V56" s="2">
        <v>174.834</v>
      </c>
      <c r="X56" s="2">
        <f t="shared" si="8"/>
        <v>174.834</v>
      </c>
    </row>
    <row r="57" spans="1:24" ht="15" x14ac:dyDescent="0.2">
      <c r="A57" s="1" t="s">
        <v>20</v>
      </c>
      <c r="B57" s="3">
        <v>20</v>
      </c>
      <c r="C57" s="1">
        <v>8.1</v>
      </c>
      <c r="D57" s="3">
        <v>0.18</v>
      </c>
      <c r="E57" s="3">
        <v>384.32</v>
      </c>
      <c r="F57" s="3">
        <v>74.83</v>
      </c>
      <c r="G57" s="3">
        <v>261.54399999999998</v>
      </c>
      <c r="H57" s="3">
        <v>260.62</v>
      </c>
      <c r="I57" s="3">
        <v>257.95299999999997</v>
      </c>
      <c r="J57" s="3">
        <v>316.39100000000002</v>
      </c>
      <c r="K57" s="3">
        <v>218.81700000000001</v>
      </c>
      <c r="L57" s="3">
        <v>207.119</v>
      </c>
      <c r="N57" s="2">
        <f t="shared" si="0"/>
        <v>1522.444</v>
      </c>
      <c r="O57" s="2">
        <f t="shared" si="1"/>
        <v>261.54399999999998</v>
      </c>
      <c r="P57" s="2">
        <f t="shared" si="2"/>
        <v>316.39100000000002</v>
      </c>
      <c r="Q57" s="2">
        <f t="shared" si="3"/>
        <v>218.81700000000001</v>
      </c>
      <c r="R57" s="2">
        <f t="shared" si="4"/>
        <v>0.9964671336371701</v>
      </c>
      <c r="S57" s="2">
        <f t="shared" si="5"/>
        <v>0.81529815955573948</v>
      </c>
      <c r="T57" s="2">
        <f t="shared" si="6"/>
        <v>0.94653980266615478</v>
      </c>
      <c r="V57" s="2">
        <v>218.81700000000001</v>
      </c>
      <c r="X57" s="2">
        <f t="shared" si="8"/>
        <v>218.81700000000001</v>
      </c>
    </row>
    <row r="58" spans="1:24" ht="15" x14ac:dyDescent="0.2">
      <c r="A58" s="1" t="s">
        <v>20</v>
      </c>
      <c r="B58" s="3">
        <v>20</v>
      </c>
      <c r="C58" s="1">
        <v>8.1</v>
      </c>
      <c r="D58" s="3">
        <v>0.18</v>
      </c>
      <c r="E58" s="3">
        <v>339.23</v>
      </c>
      <c r="F58" s="3">
        <v>63.557500000000005</v>
      </c>
      <c r="G58" s="3">
        <v>247.43100000000001</v>
      </c>
      <c r="H58" s="3">
        <v>243.95699999999999</v>
      </c>
      <c r="I58" s="3">
        <v>256.887</v>
      </c>
      <c r="J58" s="3">
        <v>258.495</v>
      </c>
      <c r="K58" s="3">
        <v>109.803</v>
      </c>
      <c r="L58" s="3">
        <v>113.054</v>
      </c>
      <c r="N58" s="2">
        <f t="shared" si="0"/>
        <v>1229.6270000000002</v>
      </c>
      <c r="O58" s="2">
        <f t="shared" si="1"/>
        <v>247.43100000000001</v>
      </c>
      <c r="P58" s="2">
        <f t="shared" si="2"/>
        <v>258.495</v>
      </c>
      <c r="Q58" s="2">
        <f t="shared" si="3"/>
        <v>113.054</v>
      </c>
      <c r="R58" s="2">
        <f t="shared" si="4"/>
        <v>0.98595972210434413</v>
      </c>
      <c r="S58" s="2">
        <f t="shared" si="5"/>
        <v>0.9937793767771137</v>
      </c>
      <c r="T58" s="2">
        <f t="shared" si="6"/>
        <v>0.97124383038194129</v>
      </c>
      <c r="V58" s="2">
        <v>113.054</v>
      </c>
      <c r="X58" s="2">
        <f t="shared" si="8"/>
        <v>113.054</v>
      </c>
    </row>
    <row r="59" spans="1:24" ht="15" x14ac:dyDescent="0.2">
      <c r="A59" s="1" t="s">
        <v>20</v>
      </c>
      <c r="B59" s="3">
        <v>20</v>
      </c>
      <c r="C59" s="1">
        <v>8.1</v>
      </c>
      <c r="D59" s="3">
        <v>0.18</v>
      </c>
      <c r="E59" s="3">
        <v>358</v>
      </c>
      <c r="F59" s="3">
        <v>68.25</v>
      </c>
      <c r="G59" s="3">
        <v>256.887</v>
      </c>
      <c r="H59" s="3">
        <v>261.58600000000001</v>
      </c>
      <c r="I59" s="3">
        <v>165.929</v>
      </c>
      <c r="J59" s="3">
        <v>199.768</v>
      </c>
      <c r="K59" s="3">
        <v>162.31700000000001</v>
      </c>
      <c r="L59" s="3">
        <v>186.58699999999999</v>
      </c>
      <c r="N59" s="2">
        <f t="shared" si="0"/>
        <v>1233.0740000000001</v>
      </c>
      <c r="O59" s="2">
        <f t="shared" si="1"/>
        <v>261.58600000000001</v>
      </c>
      <c r="P59" s="2">
        <f t="shared" si="2"/>
        <v>199.768</v>
      </c>
      <c r="Q59" s="2">
        <f t="shared" si="3"/>
        <v>186.58699999999999</v>
      </c>
      <c r="R59" s="2">
        <f t="shared" si="4"/>
        <v>0.98203650042433455</v>
      </c>
      <c r="S59" s="2">
        <f t="shared" si="5"/>
        <v>0.83060850586680546</v>
      </c>
      <c r="T59" s="2">
        <f t="shared" si="6"/>
        <v>0.86992662940076215</v>
      </c>
      <c r="V59" s="2">
        <v>186.58699999999999</v>
      </c>
      <c r="X59" s="2">
        <f t="shared" si="8"/>
        <v>186.58699999999999</v>
      </c>
    </row>
    <row r="60" spans="1:24" ht="15" x14ac:dyDescent="0.2">
      <c r="A60" s="1" t="s">
        <v>20</v>
      </c>
      <c r="B60" s="3">
        <v>20</v>
      </c>
      <c r="C60" s="1">
        <v>8.1</v>
      </c>
      <c r="D60" s="3">
        <v>0.18</v>
      </c>
      <c r="E60" s="3">
        <v>343.93</v>
      </c>
      <c r="F60" s="3">
        <v>64.732500000000002</v>
      </c>
      <c r="G60" s="3">
        <v>262.476</v>
      </c>
      <c r="H60" s="3">
        <v>267.09800000000001</v>
      </c>
      <c r="I60" s="3">
        <v>293.52800000000002</v>
      </c>
      <c r="J60" s="3">
        <v>289.80200000000002</v>
      </c>
      <c r="K60" s="3">
        <v>119.01300000000001</v>
      </c>
      <c r="L60" s="3">
        <v>161.708</v>
      </c>
      <c r="N60" s="2">
        <f t="shared" si="0"/>
        <v>1393.625</v>
      </c>
      <c r="O60" s="2">
        <f t="shared" si="1"/>
        <v>267.09800000000001</v>
      </c>
      <c r="P60" s="2">
        <f t="shared" si="2"/>
        <v>293.52800000000002</v>
      </c>
      <c r="Q60" s="2">
        <f t="shared" si="3"/>
        <v>161.708</v>
      </c>
      <c r="R60" s="2">
        <f t="shared" si="4"/>
        <v>0.98269549004485235</v>
      </c>
      <c r="S60" s="2">
        <f t="shared" si="5"/>
        <v>0.98730615137227118</v>
      </c>
      <c r="T60" s="2">
        <f t="shared" si="6"/>
        <v>0.7359747198654365</v>
      </c>
      <c r="V60" s="2">
        <v>161.708</v>
      </c>
      <c r="X60" s="2">
        <f t="shared" si="8"/>
        <v>161.708</v>
      </c>
    </row>
    <row r="61" spans="1:24" ht="15" x14ac:dyDescent="0.2">
      <c r="A61" s="1" t="s">
        <v>20</v>
      </c>
      <c r="B61" s="3">
        <v>20</v>
      </c>
      <c r="C61" s="1">
        <v>7.95</v>
      </c>
      <c r="D61" s="3">
        <v>0.18</v>
      </c>
      <c r="E61" s="3">
        <v>384.98</v>
      </c>
      <c r="F61" s="3">
        <v>74.995000000000005</v>
      </c>
      <c r="G61" s="3">
        <v>263.017</v>
      </c>
      <c r="H61" s="3">
        <v>280.10199999999998</v>
      </c>
      <c r="I61" s="3">
        <v>265.32600000000002</v>
      </c>
      <c r="J61" s="3">
        <v>280.81</v>
      </c>
      <c r="K61" s="3">
        <v>189.422</v>
      </c>
      <c r="L61" s="3">
        <v>161.84200000000001</v>
      </c>
      <c r="N61" s="2">
        <f t="shared" si="0"/>
        <v>1440.519</v>
      </c>
      <c r="O61" s="2">
        <f t="shared" si="1"/>
        <v>280.10199999999998</v>
      </c>
      <c r="P61" s="2">
        <f t="shared" si="2"/>
        <v>280.81</v>
      </c>
      <c r="Q61" s="2">
        <f t="shared" si="3"/>
        <v>189.422</v>
      </c>
      <c r="R61" s="2">
        <f t="shared" si="4"/>
        <v>0.93900436269644638</v>
      </c>
      <c r="S61" s="2">
        <f t="shared" si="5"/>
        <v>0.94485951355008735</v>
      </c>
      <c r="T61" s="2">
        <f t="shared" si="6"/>
        <v>0.85439917221864414</v>
      </c>
      <c r="V61" s="2">
        <v>189.422</v>
      </c>
      <c r="X61" s="2">
        <f t="shared" si="8"/>
        <v>189.422</v>
      </c>
    </row>
    <row r="62" spans="1:24" ht="15" x14ac:dyDescent="0.2">
      <c r="A62" s="1" t="s">
        <v>20</v>
      </c>
      <c r="B62" s="3">
        <v>20</v>
      </c>
      <c r="C62" s="1">
        <v>7.95</v>
      </c>
      <c r="D62" s="3">
        <v>0.18</v>
      </c>
      <c r="E62" s="3">
        <v>405.67</v>
      </c>
      <c r="F62" s="3">
        <v>80.167500000000004</v>
      </c>
      <c r="G62" s="3">
        <v>261.733</v>
      </c>
      <c r="H62" s="3">
        <v>265.03399999999999</v>
      </c>
      <c r="I62" s="3">
        <v>258.411</v>
      </c>
      <c r="J62" s="3">
        <v>278.798</v>
      </c>
      <c r="K62" s="3">
        <v>229.589</v>
      </c>
      <c r="L62" s="3">
        <v>228.29900000000001</v>
      </c>
      <c r="N62" s="2">
        <f t="shared" si="0"/>
        <v>1521.864</v>
      </c>
      <c r="O62" s="2">
        <f t="shared" si="1"/>
        <v>265.03399999999999</v>
      </c>
      <c r="P62" s="2">
        <f t="shared" si="2"/>
        <v>278.798</v>
      </c>
      <c r="Q62" s="2">
        <f t="shared" si="3"/>
        <v>229.589</v>
      </c>
      <c r="R62" s="2">
        <f t="shared" si="4"/>
        <v>0.9875449942271558</v>
      </c>
      <c r="S62" s="2">
        <f t="shared" si="5"/>
        <v>0.92687537213322913</v>
      </c>
      <c r="T62" s="2">
        <f t="shared" si="6"/>
        <v>0.99438126391072745</v>
      </c>
      <c r="V62" s="2">
        <v>229.589</v>
      </c>
      <c r="X62" s="2">
        <f t="shared" si="8"/>
        <v>229.589</v>
      </c>
    </row>
    <row r="63" spans="1:24" ht="15" x14ac:dyDescent="0.2">
      <c r="A63" s="1" t="s">
        <v>20</v>
      </c>
      <c r="B63" s="3">
        <v>20</v>
      </c>
      <c r="C63" s="1">
        <v>7.95</v>
      </c>
      <c r="D63" s="3">
        <v>0.18</v>
      </c>
      <c r="E63" s="3">
        <v>383.56</v>
      </c>
      <c r="F63" s="3">
        <v>74.64</v>
      </c>
      <c r="G63" s="3">
        <v>274.17700000000002</v>
      </c>
      <c r="H63" s="3">
        <v>271.89699999999999</v>
      </c>
      <c r="I63" s="3">
        <v>134.86799999999999</v>
      </c>
      <c r="J63" s="3">
        <v>108.69499999999999</v>
      </c>
      <c r="K63" s="3">
        <v>109.379</v>
      </c>
      <c r="L63" s="3">
        <v>116.35299999999999</v>
      </c>
      <c r="N63" s="2">
        <f t="shared" si="0"/>
        <v>1015.3689999999999</v>
      </c>
      <c r="O63" s="2">
        <f t="shared" si="1"/>
        <v>274.17700000000002</v>
      </c>
      <c r="P63" s="2">
        <f t="shared" si="2"/>
        <v>134.86799999999999</v>
      </c>
      <c r="Q63" s="2">
        <f t="shared" si="3"/>
        <v>116.35299999999999</v>
      </c>
      <c r="R63" s="2">
        <f t="shared" si="4"/>
        <v>0.991684203999606</v>
      </c>
      <c r="S63" s="2">
        <f t="shared" si="5"/>
        <v>0.80593617463000855</v>
      </c>
      <c r="T63" s="2">
        <f t="shared" si="6"/>
        <v>0.94006170876556694</v>
      </c>
      <c r="V63" s="2">
        <v>116.35299999999999</v>
      </c>
      <c r="X63" s="2">
        <f t="shared" si="8"/>
        <v>116.35299999999999</v>
      </c>
    </row>
    <row r="64" spans="1:24" ht="15" x14ac:dyDescent="0.2">
      <c r="A64" s="1" t="s">
        <v>20</v>
      </c>
      <c r="B64" s="3">
        <v>20</v>
      </c>
      <c r="C64" s="1">
        <v>7.95</v>
      </c>
      <c r="D64" s="3">
        <v>0.18</v>
      </c>
      <c r="E64" s="3">
        <v>374.09</v>
      </c>
      <c r="F64" s="3">
        <v>72.272499999999994</v>
      </c>
      <c r="G64" s="3">
        <v>263.02199999999999</v>
      </c>
      <c r="H64" s="3">
        <v>259.30200000000002</v>
      </c>
      <c r="I64" s="3">
        <v>276.08499999999998</v>
      </c>
      <c r="J64" s="3">
        <v>304.18799999999999</v>
      </c>
      <c r="K64" s="3">
        <v>129.96700000000001</v>
      </c>
      <c r="L64" s="3">
        <v>157.33199999999999</v>
      </c>
      <c r="N64" s="2">
        <f t="shared" si="0"/>
        <v>1389.8960000000002</v>
      </c>
      <c r="O64" s="2">
        <f t="shared" si="1"/>
        <v>263.02199999999999</v>
      </c>
      <c r="P64" s="2">
        <f t="shared" si="2"/>
        <v>304.18799999999999</v>
      </c>
      <c r="Q64" s="2">
        <f t="shared" si="3"/>
        <v>157.33199999999999</v>
      </c>
      <c r="R64" s="2">
        <f t="shared" si="4"/>
        <v>0.98585669639802009</v>
      </c>
      <c r="S64" s="2">
        <f t="shared" si="5"/>
        <v>0.90761305508435575</v>
      </c>
      <c r="T64" s="2">
        <f t="shared" si="6"/>
        <v>0.82606844125797685</v>
      </c>
      <c r="V64" s="2">
        <v>157.33199999999999</v>
      </c>
      <c r="X64" s="2">
        <f t="shared" si="8"/>
        <v>157.33199999999999</v>
      </c>
    </row>
    <row r="65" spans="1:24" ht="15" x14ac:dyDescent="0.2">
      <c r="A65" s="1" t="s">
        <v>20</v>
      </c>
      <c r="B65" s="3">
        <v>20</v>
      </c>
      <c r="C65" s="1">
        <v>7.95</v>
      </c>
      <c r="D65" s="3">
        <v>0.18</v>
      </c>
      <c r="E65" s="3">
        <v>370.11</v>
      </c>
      <c r="F65" s="3">
        <v>71.277500000000003</v>
      </c>
      <c r="G65" s="3">
        <v>270.38600000000002</v>
      </c>
      <c r="H65" s="3">
        <v>267.67899999999997</v>
      </c>
      <c r="I65" s="3">
        <v>190.76499999999999</v>
      </c>
      <c r="J65" s="3">
        <v>168.298</v>
      </c>
      <c r="K65" s="3">
        <v>100.872</v>
      </c>
      <c r="L65" s="3">
        <v>113.61199999999999</v>
      </c>
      <c r="N65" s="2">
        <f t="shared" si="0"/>
        <v>1111.6120000000001</v>
      </c>
      <c r="O65" s="2">
        <f t="shared" si="1"/>
        <v>270.38600000000002</v>
      </c>
      <c r="P65" s="2">
        <f t="shared" si="2"/>
        <v>190.76499999999999</v>
      </c>
      <c r="Q65" s="2">
        <f t="shared" si="3"/>
        <v>113.61199999999999</v>
      </c>
      <c r="R65" s="2">
        <f t="shared" si="4"/>
        <v>0.98998838697269809</v>
      </c>
      <c r="S65" s="2">
        <f t="shared" si="5"/>
        <v>0.88222682357874882</v>
      </c>
      <c r="T65" s="2">
        <f t="shared" si="6"/>
        <v>0.88786395803260221</v>
      </c>
      <c r="V65" s="2">
        <v>113.61199999999999</v>
      </c>
      <c r="X65" s="2">
        <f t="shared" si="8"/>
        <v>113.61199999999999</v>
      </c>
    </row>
    <row r="66" spans="1:24" ht="15" x14ac:dyDescent="0.2">
      <c r="A66" s="1" t="s">
        <v>20</v>
      </c>
      <c r="B66" s="3">
        <v>20</v>
      </c>
      <c r="C66" s="1">
        <v>7.95</v>
      </c>
      <c r="D66" s="3">
        <v>0.18</v>
      </c>
      <c r="E66" s="3">
        <v>388.07</v>
      </c>
      <c r="F66" s="3">
        <v>75.767499999999998</v>
      </c>
      <c r="G66" s="3">
        <v>286.315</v>
      </c>
      <c r="H66" s="3">
        <v>289.245</v>
      </c>
      <c r="I66" s="3">
        <v>289.16899999999998</v>
      </c>
      <c r="J66" s="3">
        <v>305.38</v>
      </c>
      <c r="K66" s="3">
        <v>118.18</v>
      </c>
      <c r="L66" s="3">
        <v>120.88200000000001</v>
      </c>
      <c r="N66" s="2">
        <f t="shared" si="0"/>
        <v>1409.171</v>
      </c>
      <c r="O66" s="2">
        <f t="shared" si="1"/>
        <v>289.245</v>
      </c>
      <c r="P66" s="2">
        <f t="shared" si="2"/>
        <v>305.38</v>
      </c>
      <c r="Q66" s="2">
        <f t="shared" si="3"/>
        <v>120.88200000000001</v>
      </c>
      <c r="R66" s="2">
        <f t="shared" si="4"/>
        <v>0.98987017925979703</v>
      </c>
      <c r="S66" s="2">
        <f t="shared" si="5"/>
        <v>0.94691531861942491</v>
      </c>
      <c r="T66" s="2">
        <f t="shared" si="6"/>
        <v>0.97764762330206323</v>
      </c>
      <c r="V66" s="2">
        <v>120.88200000000001</v>
      </c>
      <c r="X66" s="2">
        <f t="shared" si="8"/>
        <v>120.88200000000001</v>
      </c>
    </row>
    <row r="67" spans="1:24" ht="15" x14ac:dyDescent="0.2">
      <c r="A67" s="1" t="s">
        <v>20</v>
      </c>
      <c r="B67" s="3">
        <v>20</v>
      </c>
      <c r="C67" s="1">
        <v>7.95</v>
      </c>
      <c r="D67" s="3">
        <v>0.18</v>
      </c>
      <c r="E67" s="3">
        <v>377.1</v>
      </c>
      <c r="F67" s="3">
        <v>73.025000000000006</v>
      </c>
      <c r="G67" s="3">
        <v>276.56799999999998</v>
      </c>
      <c r="H67" s="3">
        <v>276.13499999999999</v>
      </c>
      <c r="I67" s="3">
        <v>317.67</v>
      </c>
      <c r="J67" s="3">
        <v>179.12100000000001</v>
      </c>
      <c r="K67" s="3">
        <v>125.791</v>
      </c>
      <c r="L67" s="3">
        <v>101.425</v>
      </c>
      <c r="N67" s="2">
        <f t="shared" ref="N67:N130" si="9">SUM(G67:L67)</f>
        <v>1276.71</v>
      </c>
      <c r="O67" s="2">
        <f t="shared" ref="O67:O130" si="10">MAX(G67:H67)</f>
        <v>276.56799999999998</v>
      </c>
      <c r="P67" s="2">
        <f t="shared" ref="P67:P130" si="11">MAX(I67:J67)</f>
        <v>317.67</v>
      </c>
      <c r="Q67" s="2">
        <f t="shared" ref="Q67:Q130" si="12">MAX(K67:L67)</f>
        <v>125.791</v>
      </c>
      <c r="R67" s="2">
        <f t="shared" ref="R67:R130" si="13">MIN(G67:H67)/MAX(G67:H67)</f>
        <v>0.99843438141795149</v>
      </c>
      <c r="S67" s="2">
        <f t="shared" ref="S67:S130" si="14">MIN(I67:J67)/MAX(I67:J67)</f>
        <v>0.56385872131457171</v>
      </c>
      <c r="T67" s="2">
        <f t="shared" ref="T67:T130" si="15">MIN(K67:L67)/MAX(K67:L67)</f>
        <v>0.80629774785159514</v>
      </c>
      <c r="V67" s="2">
        <v>125.791</v>
      </c>
      <c r="X67" s="2">
        <f t="shared" si="8"/>
        <v>125.791</v>
      </c>
    </row>
    <row r="68" spans="1:24" ht="15" x14ac:dyDescent="0.2">
      <c r="A68" s="1" t="s">
        <v>20</v>
      </c>
      <c r="B68" s="3">
        <v>20</v>
      </c>
      <c r="C68" s="1">
        <v>7.95</v>
      </c>
      <c r="D68" s="3">
        <v>0.18</v>
      </c>
      <c r="E68" s="3">
        <v>336.3</v>
      </c>
      <c r="F68" s="3">
        <v>62.825000000000003</v>
      </c>
      <c r="G68" s="3">
        <v>269.14800000000002</v>
      </c>
      <c r="H68" s="3">
        <v>275.30700000000002</v>
      </c>
      <c r="I68" s="3">
        <v>131.511</v>
      </c>
      <c r="J68" s="3">
        <v>142.80699999999999</v>
      </c>
      <c r="K68" s="3">
        <v>82.744</v>
      </c>
      <c r="L68" s="3">
        <v>85.475999999999999</v>
      </c>
      <c r="N68" s="2">
        <f t="shared" si="9"/>
        <v>986.99300000000005</v>
      </c>
      <c r="O68" s="2">
        <f t="shared" si="10"/>
        <v>275.30700000000002</v>
      </c>
      <c r="P68" s="2">
        <f t="shared" si="11"/>
        <v>142.80699999999999</v>
      </c>
      <c r="Q68" s="2">
        <f t="shared" si="12"/>
        <v>85.475999999999999</v>
      </c>
      <c r="R68" s="2">
        <f t="shared" si="13"/>
        <v>0.97762861096884568</v>
      </c>
      <c r="S68" s="2">
        <f t="shared" si="14"/>
        <v>0.92090023598283</v>
      </c>
      <c r="T68" s="2">
        <f t="shared" si="15"/>
        <v>0.96803781178342463</v>
      </c>
      <c r="V68" s="2">
        <v>85.475999999999999</v>
      </c>
      <c r="X68" s="2">
        <f t="shared" si="8"/>
        <v>85.475999999999999</v>
      </c>
    </row>
    <row r="69" spans="1:24" ht="15" x14ac:dyDescent="0.2">
      <c r="A69" s="1" t="s">
        <v>20</v>
      </c>
      <c r="B69" s="3">
        <v>20</v>
      </c>
      <c r="C69" s="1">
        <v>7.7</v>
      </c>
      <c r="D69" s="3">
        <v>0.18</v>
      </c>
      <c r="E69" s="3">
        <v>377.84</v>
      </c>
      <c r="F69" s="3">
        <v>73.209999999999994</v>
      </c>
      <c r="G69" s="3">
        <v>278.27</v>
      </c>
      <c r="H69" s="3">
        <v>285.09699999999998</v>
      </c>
      <c r="I69" s="3">
        <v>361.90199999999999</v>
      </c>
      <c r="J69" s="3">
        <v>335.78100000000001</v>
      </c>
      <c r="K69" s="3">
        <v>197.93</v>
      </c>
      <c r="L69" s="3">
        <v>198.28399999999999</v>
      </c>
      <c r="N69" s="2">
        <f t="shared" si="9"/>
        <v>1657.2640000000001</v>
      </c>
      <c r="O69" s="2">
        <f t="shared" si="10"/>
        <v>285.09699999999998</v>
      </c>
      <c r="P69" s="2">
        <f t="shared" si="11"/>
        <v>361.90199999999999</v>
      </c>
      <c r="Q69" s="2">
        <f t="shared" si="12"/>
        <v>198.28399999999999</v>
      </c>
      <c r="R69" s="2">
        <f t="shared" si="13"/>
        <v>0.97605376415746226</v>
      </c>
      <c r="S69" s="2">
        <f t="shared" si="14"/>
        <v>0.92782300180711907</v>
      </c>
      <c r="T69" s="2">
        <f t="shared" si="15"/>
        <v>0.99821468197131391</v>
      </c>
      <c r="V69" s="2">
        <v>198.28399999999999</v>
      </c>
      <c r="X69" s="2">
        <f t="shared" si="8"/>
        <v>198.28399999999999</v>
      </c>
    </row>
    <row r="70" spans="1:24" ht="15" x14ac:dyDescent="0.2">
      <c r="A70" s="1" t="s">
        <v>20</v>
      </c>
      <c r="B70" s="3">
        <v>20</v>
      </c>
      <c r="C70" s="1">
        <v>7.7</v>
      </c>
      <c r="D70" s="3">
        <v>0.18</v>
      </c>
      <c r="E70" s="3">
        <v>335.41</v>
      </c>
      <c r="F70" s="3">
        <v>62.602500000000006</v>
      </c>
      <c r="G70" s="3">
        <v>226.876</v>
      </c>
      <c r="H70" s="3">
        <v>226.477</v>
      </c>
      <c r="I70" s="3">
        <v>132.43700000000001</v>
      </c>
      <c r="J70" s="3">
        <v>136.04499999999999</v>
      </c>
      <c r="K70" s="3">
        <v>116.821</v>
      </c>
      <c r="L70" s="3">
        <v>138.876</v>
      </c>
      <c r="N70" s="2">
        <f t="shared" si="9"/>
        <v>977.53199999999993</v>
      </c>
      <c r="O70" s="2">
        <f t="shared" si="10"/>
        <v>226.876</v>
      </c>
      <c r="P70" s="2">
        <f t="shared" si="11"/>
        <v>136.04499999999999</v>
      </c>
      <c r="Q70" s="2">
        <f t="shared" si="12"/>
        <v>138.876</v>
      </c>
      <c r="R70" s="2">
        <f t="shared" si="13"/>
        <v>0.99824133006576277</v>
      </c>
      <c r="S70" s="2">
        <f t="shared" si="14"/>
        <v>0.97347936344591879</v>
      </c>
      <c r="T70" s="2">
        <f t="shared" si="15"/>
        <v>0.8411892623635473</v>
      </c>
      <c r="V70" s="2">
        <v>138.876</v>
      </c>
      <c r="X70" s="2">
        <f t="shared" si="8"/>
        <v>138.876</v>
      </c>
    </row>
    <row r="71" spans="1:24" ht="15" x14ac:dyDescent="0.2">
      <c r="A71" s="1" t="s">
        <v>20</v>
      </c>
      <c r="B71" s="3">
        <v>20</v>
      </c>
      <c r="C71" s="1">
        <v>7.7</v>
      </c>
      <c r="D71" s="3">
        <v>0.18</v>
      </c>
      <c r="E71" s="3">
        <v>290.43</v>
      </c>
      <c r="F71" s="3">
        <v>51.357500000000002</v>
      </c>
      <c r="G71" s="3">
        <v>178.65299999999999</v>
      </c>
      <c r="H71" s="3">
        <v>160.73400000000001</v>
      </c>
      <c r="I71" s="3">
        <v>190.64599999999999</v>
      </c>
      <c r="J71" s="3">
        <v>171.12</v>
      </c>
      <c r="K71" s="3">
        <v>195.25200000000001</v>
      </c>
      <c r="L71" s="3">
        <v>197.87100000000001</v>
      </c>
      <c r="N71" s="2">
        <f t="shared" si="9"/>
        <v>1094.2760000000001</v>
      </c>
      <c r="O71" s="2">
        <f t="shared" si="10"/>
        <v>178.65299999999999</v>
      </c>
      <c r="P71" s="2">
        <f t="shared" si="11"/>
        <v>190.64599999999999</v>
      </c>
      <c r="Q71" s="2">
        <f t="shared" si="12"/>
        <v>197.87100000000001</v>
      </c>
      <c r="R71" s="2">
        <f t="shared" si="13"/>
        <v>0.89969941730617464</v>
      </c>
      <c r="S71" s="2">
        <f t="shared" si="14"/>
        <v>0.89757980760152334</v>
      </c>
      <c r="T71" s="2">
        <f t="shared" si="15"/>
        <v>0.986764103885865</v>
      </c>
      <c r="V71" s="2">
        <v>197.87100000000001</v>
      </c>
      <c r="X71" s="2">
        <f t="shared" si="8"/>
        <v>197.87100000000001</v>
      </c>
    </row>
    <row r="72" spans="1:24" ht="15" x14ac:dyDescent="0.2">
      <c r="A72" s="1" t="s">
        <v>20</v>
      </c>
      <c r="B72" s="3">
        <v>20</v>
      </c>
      <c r="C72" s="1">
        <v>7.7</v>
      </c>
      <c r="D72" s="3">
        <v>0.18</v>
      </c>
      <c r="E72" s="3">
        <v>301.79000000000002</v>
      </c>
      <c r="F72" s="3">
        <v>54.197500000000005</v>
      </c>
      <c r="G72" s="3">
        <v>254.76599999999999</v>
      </c>
      <c r="H72" s="3">
        <v>232.58</v>
      </c>
      <c r="I72" s="3">
        <v>369.90699999999998</v>
      </c>
      <c r="J72" s="3">
        <v>330.04199999999997</v>
      </c>
      <c r="K72" s="3">
        <v>261.73</v>
      </c>
      <c r="L72" s="3">
        <v>254.93100000000001</v>
      </c>
      <c r="N72" s="2">
        <f t="shared" si="9"/>
        <v>1703.9559999999999</v>
      </c>
      <c r="O72" s="2">
        <f t="shared" si="10"/>
        <v>254.76599999999999</v>
      </c>
      <c r="P72" s="2">
        <f t="shared" si="11"/>
        <v>369.90699999999998</v>
      </c>
      <c r="Q72" s="2">
        <f t="shared" si="12"/>
        <v>261.73</v>
      </c>
      <c r="R72" s="2">
        <f t="shared" si="13"/>
        <v>0.91291616620742178</v>
      </c>
      <c r="S72" s="2">
        <f t="shared" si="14"/>
        <v>0.89222966853830821</v>
      </c>
      <c r="T72" s="2">
        <f t="shared" si="15"/>
        <v>0.97402284797310201</v>
      </c>
      <c r="V72" s="2">
        <v>261.73</v>
      </c>
      <c r="X72" s="2">
        <f t="shared" si="8"/>
        <v>261.73</v>
      </c>
    </row>
    <row r="73" spans="1:24" ht="15" x14ac:dyDescent="0.2">
      <c r="A73" s="1" t="s">
        <v>20</v>
      </c>
      <c r="B73" s="3">
        <v>20</v>
      </c>
      <c r="C73" s="1">
        <v>7.7</v>
      </c>
      <c r="D73" s="3">
        <v>0.18</v>
      </c>
      <c r="E73" s="3">
        <v>292.54000000000002</v>
      </c>
      <c r="F73" s="3">
        <v>51.885000000000005</v>
      </c>
      <c r="G73" s="3">
        <v>174.43899999999999</v>
      </c>
      <c r="H73" s="3">
        <v>178.33500000000001</v>
      </c>
      <c r="I73" s="3">
        <v>181.68799999999999</v>
      </c>
      <c r="J73" s="3">
        <v>188.929</v>
      </c>
      <c r="K73" s="3">
        <v>199.93100000000001</v>
      </c>
      <c r="L73" s="3">
        <v>196.636</v>
      </c>
      <c r="N73" s="2">
        <f t="shared" si="9"/>
        <v>1119.9580000000001</v>
      </c>
      <c r="O73" s="2">
        <f t="shared" si="10"/>
        <v>178.33500000000001</v>
      </c>
      <c r="P73" s="2">
        <f t="shared" si="11"/>
        <v>188.929</v>
      </c>
      <c r="Q73" s="2">
        <f t="shared" si="12"/>
        <v>199.93100000000001</v>
      </c>
      <c r="R73" s="2">
        <f t="shared" si="13"/>
        <v>0.97815347520116624</v>
      </c>
      <c r="S73" s="2">
        <f t="shared" si="14"/>
        <v>0.96167343287690077</v>
      </c>
      <c r="T73" s="2">
        <f t="shared" si="15"/>
        <v>0.98351931416338634</v>
      </c>
      <c r="V73" s="2">
        <v>199.93100000000001</v>
      </c>
      <c r="X73" s="2">
        <f t="shared" si="8"/>
        <v>199.93100000000001</v>
      </c>
    </row>
    <row r="74" spans="1:24" ht="15" x14ac:dyDescent="0.2">
      <c r="A74" s="1" t="s">
        <v>20</v>
      </c>
      <c r="B74" s="3">
        <v>20</v>
      </c>
      <c r="C74" s="1">
        <v>7.7</v>
      </c>
      <c r="D74" s="3">
        <v>0.18</v>
      </c>
      <c r="E74" s="3">
        <v>376.17</v>
      </c>
      <c r="F74" s="3">
        <v>72.792500000000004</v>
      </c>
      <c r="G74" s="3">
        <v>291.387</v>
      </c>
      <c r="H74" s="3">
        <v>296.00799999999998</v>
      </c>
      <c r="I74" s="3">
        <v>237.363</v>
      </c>
      <c r="J74" s="3">
        <v>221.35300000000001</v>
      </c>
      <c r="K74" s="3">
        <v>168.33799999999999</v>
      </c>
      <c r="L74" s="3">
        <v>216.39099999999999</v>
      </c>
      <c r="N74" s="2">
        <f t="shared" si="9"/>
        <v>1430.8400000000001</v>
      </c>
      <c r="O74" s="2">
        <f t="shared" si="10"/>
        <v>296.00799999999998</v>
      </c>
      <c r="P74" s="2">
        <f t="shared" si="11"/>
        <v>237.363</v>
      </c>
      <c r="Q74" s="2">
        <f t="shared" si="12"/>
        <v>216.39099999999999</v>
      </c>
      <c r="R74" s="2">
        <f t="shared" si="13"/>
        <v>0.98438893543417749</v>
      </c>
      <c r="S74" s="2">
        <f t="shared" si="14"/>
        <v>0.9325505660107094</v>
      </c>
      <c r="T74" s="2">
        <f t="shared" si="15"/>
        <v>0.77793438728967468</v>
      </c>
      <c r="V74" s="2">
        <v>216.39099999999999</v>
      </c>
      <c r="X74" s="2">
        <f t="shared" si="8"/>
        <v>216.39099999999999</v>
      </c>
    </row>
    <row r="75" spans="1:24" ht="15" x14ac:dyDescent="0.2">
      <c r="A75" s="1" t="s">
        <v>20</v>
      </c>
      <c r="B75" s="3">
        <v>20</v>
      </c>
      <c r="C75" s="1">
        <v>7.7</v>
      </c>
      <c r="D75" s="3">
        <v>0.18</v>
      </c>
      <c r="E75" s="3">
        <v>339.27</v>
      </c>
      <c r="F75" s="3">
        <v>63.567499999999995</v>
      </c>
      <c r="G75" s="3">
        <v>278.37700000000001</v>
      </c>
      <c r="H75" s="3">
        <v>288.83</v>
      </c>
      <c r="I75" s="3">
        <v>303.69400000000002</v>
      </c>
      <c r="J75" s="3">
        <v>222.07900000000001</v>
      </c>
      <c r="K75" s="3">
        <v>141.12299999999999</v>
      </c>
      <c r="L75" s="3">
        <v>117.85899999999999</v>
      </c>
      <c r="N75" s="2">
        <f t="shared" si="9"/>
        <v>1351.962</v>
      </c>
      <c r="O75" s="2">
        <f t="shared" si="10"/>
        <v>288.83</v>
      </c>
      <c r="P75" s="2">
        <f t="shared" si="11"/>
        <v>303.69400000000002</v>
      </c>
      <c r="Q75" s="2">
        <f t="shared" si="12"/>
        <v>141.12299999999999</v>
      </c>
      <c r="R75" s="2">
        <f t="shared" si="13"/>
        <v>0.96380916109822401</v>
      </c>
      <c r="S75" s="2">
        <f t="shared" si="14"/>
        <v>0.73125909632722408</v>
      </c>
      <c r="T75" s="2">
        <f t="shared" si="15"/>
        <v>0.83515089673547194</v>
      </c>
      <c r="V75" s="2">
        <v>141.12299999999999</v>
      </c>
      <c r="X75" s="2">
        <f t="shared" si="8"/>
        <v>141.12299999999999</v>
      </c>
    </row>
    <row r="76" spans="1:24" ht="15" x14ac:dyDescent="0.2">
      <c r="A76" s="1" t="s">
        <v>20</v>
      </c>
      <c r="B76" s="3">
        <v>20</v>
      </c>
      <c r="C76" s="1">
        <v>7.7</v>
      </c>
      <c r="D76" s="3">
        <v>0.18</v>
      </c>
      <c r="E76" s="3">
        <v>394.45</v>
      </c>
      <c r="F76" s="3">
        <v>77.362499999999997</v>
      </c>
      <c r="G76" s="3">
        <v>309.55399999999997</v>
      </c>
      <c r="H76" s="3">
        <v>306.86700000000002</v>
      </c>
      <c r="I76" s="3">
        <v>240.61099999999999</v>
      </c>
      <c r="J76" s="3">
        <v>256.23599999999999</v>
      </c>
      <c r="K76" s="3">
        <v>235.964</v>
      </c>
      <c r="L76" s="3">
        <v>240.292</v>
      </c>
      <c r="N76" s="2">
        <f t="shared" si="9"/>
        <v>1589.5239999999999</v>
      </c>
      <c r="O76" s="2">
        <f t="shared" si="10"/>
        <v>309.55399999999997</v>
      </c>
      <c r="P76" s="2">
        <f t="shared" si="11"/>
        <v>256.23599999999999</v>
      </c>
      <c r="Q76" s="2">
        <f t="shared" si="12"/>
        <v>240.292</v>
      </c>
      <c r="R76" s="2">
        <f t="shared" si="13"/>
        <v>0.99131976973322922</v>
      </c>
      <c r="S76" s="2">
        <f t="shared" si="14"/>
        <v>0.93902105871150032</v>
      </c>
      <c r="T76" s="2">
        <f t="shared" si="15"/>
        <v>0.98198858056031824</v>
      </c>
      <c r="V76" s="2">
        <v>240.292</v>
      </c>
      <c r="X76" s="2">
        <f t="shared" si="8"/>
        <v>240.292</v>
      </c>
    </row>
    <row r="77" spans="1:24" ht="15" x14ac:dyDescent="0.2">
      <c r="A77" s="1" t="s">
        <v>20</v>
      </c>
      <c r="B77" s="3">
        <v>20</v>
      </c>
      <c r="C77" s="1">
        <v>7.7</v>
      </c>
      <c r="D77" s="3">
        <v>0.18</v>
      </c>
      <c r="E77" s="3">
        <v>381.53</v>
      </c>
      <c r="F77" s="3">
        <v>74.132499999999993</v>
      </c>
      <c r="G77" s="3">
        <v>294.51499999999999</v>
      </c>
      <c r="H77" s="3">
        <v>292.52499999999998</v>
      </c>
      <c r="I77" s="3">
        <v>222.28100000000001</v>
      </c>
      <c r="J77" s="3">
        <v>263.05900000000003</v>
      </c>
      <c r="K77" s="3">
        <v>145.92500000000001</v>
      </c>
      <c r="L77" s="3">
        <v>90.043999999999997</v>
      </c>
      <c r="N77" s="2">
        <f t="shared" si="9"/>
        <v>1308.3489999999999</v>
      </c>
      <c r="O77" s="2">
        <f t="shared" si="10"/>
        <v>294.51499999999999</v>
      </c>
      <c r="P77" s="2">
        <f t="shared" si="11"/>
        <v>263.05900000000003</v>
      </c>
      <c r="Q77" s="2">
        <f t="shared" si="12"/>
        <v>145.92500000000001</v>
      </c>
      <c r="R77" s="2">
        <f t="shared" si="13"/>
        <v>0.99324312853335139</v>
      </c>
      <c r="S77" s="2">
        <f t="shared" si="14"/>
        <v>0.8449853454928361</v>
      </c>
      <c r="T77" s="2">
        <f t="shared" si="15"/>
        <v>0.61705670721260919</v>
      </c>
      <c r="V77" s="2">
        <v>145.92500000000001</v>
      </c>
      <c r="X77" s="2">
        <f t="shared" si="8"/>
        <v>145.92500000000001</v>
      </c>
    </row>
    <row r="78" spans="1:24" ht="15" x14ac:dyDescent="0.2">
      <c r="A78" s="1" t="s">
        <v>20</v>
      </c>
      <c r="B78" s="3">
        <v>20</v>
      </c>
      <c r="C78" s="1">
        <v>7.45</v>
      </c>
      <c r="D78" s="3">
        <v>0.18</v>
      </c>
      <c r="E78" s="3">
        <v>385.86</v>
      </c>
      <c r="F78" s="3">
        <v>75.215000000000003</v>
      </c>
      <c r="G78" s="3">
        <v>307.774</v>
      </c>
      <c r="H78" s="3">
        <v>303.43799999999999</v>
      </c>
      <c r="I78" s="3">
        <v>212.71299999999999</v>
      </c>
      <c r="J78" s="3">
        <v>208.74199999999999</v>
      </c>
      <c r="K78" s="3">
        <v>180.791</v>
      </c>
      <c r="L78" s="3">
        <v>197.18299999999999</v>
      </c>
      <c r="N78" s="2">
        <f t="shared" si="9"/>
        <v>1410.6409999999998</v>
      </c>
      <c r="O78" s="2">
        <f t="shared" si="10"/>
        <v>307.774</v>
      </c>
      <c r="P78" s="2">
        <f t="shared" si="11"/>
        <v>212.71299999999999</v>
      </c>
      <c r="Q78" s="2">
        <f t="shared" si="12"/>
        <v>197.18299999999999</v>
      </c>
      <c r="R78" s="2">
        <f t="shared" si="13"/>
        <v>0.98591174043291507</v>
      </c>
      <c r="S78" s="2">
        <f t="shared" si="14"/>
        <v>0.98133165344854334</v>
      </c>
      <c r="T78" s="2">
        <f t="shared" si="15"/>
        <v>0.91686910129169352</v>
      </c>
      <c r="V78" s="2">
        <v>197.18299999999999</v>
      </c>
      <c r="X78" s="2">
        <f t="shared" si="8"/>
        <v>197.18299999999999</v>
      </c>
    </row>
    <row r="79" spans="1:24" ht="15" x14ac:dyDescent="0.2">
      <c r="A79" s="1" t="s">
        <v>20</v>
      </c>
      <c r="B79" s="3">
        <v>20</v>
      </c>
      <c r="C79" s="1">
        <v>7.45</v>
      </c>
      <c r="D79" s="3">
        <v>0.18</v>
      </c>
      <c r="E79" s="3">
        <v>346.83</v>
      </c>
      <c r="F79" s="3">
        <v>65.457499999999996</v>
      </c>
      <c r="G79" s="3">
        <v>262.79000000000002</v>
      </c>
      <c r="H79" s="3">
        <v>283.80399999999997</v>
      </c>
      <c r="I79" s="3">
        <v>78.572999999999993</v>
      </c>
      <c r="J79" s="3">
        <v>93.966999999999999</v>
      </c>
      <c r="K79" s="3">
        <v>101.492</v>
      </c>
      <c r="L79" s="3">
        <v>108.97499999999999</v>
      </c>
      <c r="N79" s="2">
        <f t="shared" si="9"/>
        <v>929.601</v>
      </c>
      <c r="O79" s="2">
        <f t="shared" si="10"/>
        <v>283.80399999999997</v>
      </c>
      <c r="P79" s="2">
        <f t="shared" si="11"/>
        <v>93.966999999999999</v>
      </c>
      <c r="Q79" s="2">
        <f t="shared" si="12"/>
        <v>108.97499999999999</v>
      </c>
      <c r="R79" s="2">
        <f t="shared" si="13"/>
        <v>0.92595594142436344</v>
      </c>
      <c r="S79" s="2">
        <f t="shared" si="14"/>
        <v>0.83617653005842474</v>
      </c>
      <c r="T79" s="2">
        <f t="shared" si="15"/>
        <v>0.93133287451250291</v>
      </c>
      <c r="V79" s="2">
        <v>108.97499999999999</v>
      </c>
      <c r="X79" s="2">
        <f t="shared" si="8"/>
        <v>108.97499999999999</v>
      </c>
    </row>
    <row r="80" spans="1:24" ht="15" x14ac:dyDescent="0.2">
      <c r="A80" s="1" t="s">
        <v>20</v>
      </c>
      <c r="B80" s="3">
        <v>20</v>
      </c>
      <c r="C80" s="1">
        <v>7.45</v>
      </c>
      <c r="D80" s="3">
        <v>0.18</v>
      </c>
      <c r="E80" s="3">
        <v>378.21</v>
      </c>
      <c r="F80" s="3">
        <v>73.302499999999995</v>
      </c>
      <c r="G80" s="3">
        <v>267.43700000000001</v>
      </c>
      <c r="H80" s="3">
        <v>311.57499999999999</v>
      </c>
      <c r="I80" s="3">
        <v>161.011</v>
      </c>
      <c r="J80" s="3">
        <v>184.12899999999999</v>
      </c>
      <c r="K80" s="3">
        <v>148.15899999999999</v>
      </c>
      <c r="L80" s="3">
        <v>177.25</v>
      </c>
      <c r="N80" s="2">
        <f t="shared" si="9"/>
        <v>1249.5609999999999</v>
      </c>
      <c r="O80" s="2">
        <f t="shared" si="10"/>
        <v>311.57499999999999</v>
      </c>
      <c r="P80" s="2">
        <f t="shared" si="11"/>
        <v>184.12899999999999</v>
      </c>
      <c r="Q80" s="2">
        <f t="shared" si="12"/>
        <v>177.25</v>
      </c>
      <c r="R80" s="2">
        <f t="shared" si="13"/>
        <v>0.85833908368771572</v>
      </c>
      <c r="S80" s="2">
        <f t="shared" si="14"/>
        <v>0.87444671941953744</v>
      </c>
      <c r="T80" s="2">
        <f t="shared" si="15"/>
        <v>0.83587588152327219</v>
      </c>
      <c r="V80" s="2">
        <v>177.25</v>
      </c>
      <c r="X80" s="2">
        <f t="shared" si="8"/>
        <v>177.25</v>
      </c>
    </row>
    <row r="81" spans="1:24" ht="15" x14ac:dyDescent="0.2">
      <c r="A81" s="1" t="s">
        <v>20</v>
      </c>
      <c r="B81" s="3">
        <v>20</v>
      </c>
      <c r="C81" s="1">
        <v>7.45</v>
      </c>
      <c r="D81" s="3">
        <v>0.18</v>
      </c>
      <c r="E81" s="3">
        <v>306.06</v>
      </c>
      <c r="F81" s="3">
        <v>55.265000000000001</v>
      </c>
      <c r="G81" s="3">
        <v>238.83099999999999</v>
      </c>
      <c r="H81" s="3">
        <v>238.55500000000001</v>
      </c>
      <c r="I81" s="3">
        <v>54.889000000000003</v>
      </c>
      <c r="J81" s="3">
        <v>71.248000000000005</v>
      </c>
      <c r="K81" s="3">
        <v>98.834999999999994</v>
      </c>
      <c r="L81" s="3">
        <v>82.125</v>
      </c>
      <c r="N81" s="2">
        <f t="shared" si="9"/>
        <v>784.48300000000006</v>
      </c>
      <c r="O81" s="2">
        <f t="shared" si="10"/>
        <v>238.83099999999999</v>
      </c>
      <c r="P81" s="2">
        <f t="shared" si="11"/>
        <v>71.248000000000005</v>
      </c>
      <c r="Q81" s="2">
        <f t="shared" si="12"/>
        <v>98.834999999999994</v>
      </c>
      <c r="R81" s="2">
        <f t="shared" si="13"/>
        <v>0.99884437112435165</v>
      </c>
      <c r="S81" s="2">
        <f t="shared" si="14"/>
        <v>0.77039355490680439</v>
      </c>
      <c r="T81" s="2">
        <f t="shared" si="15"/>
        <v>0.83093033844285935</v>
      </c>
      <c r="V81" s="2">
        <v>98.834999999999994</v>
      </c>
      <c r="X81" s="2">
        <f t="shared" si="8"/>
        <v>98.834999999999994</v>
      </c>
    </row>
    <row r="82" spans="1:24" ht="15" x14ac:dyDescent="0.2">
      <c r="A82" s="1" t="s">
        <v>20</v>
      </c>
      <c r="B82" s="3">
        <v>20</v>
      </c>
      <c r="C82" s="1">
        <v>7.45</v>
      </c>
      <c r="D82" s="3">
        <v>0.18</v>
      </c>
      <c r="E82" s="3">
        <v>302.5</v>
      </c>
      <c r="F82" s="3">
        <v>54.375</v>
      </c>
      <c r="G82" s="3">
        <v>219.31</v>
      </c>
      <c r="H82" s="3">
        <v>224.928</v>
      </c>
      <c r="I82" s="3">
        <v>127.18899999999999</v>
      </c>
      <c r="J82" s="3">
        <v>139.208</v>
      </c>
      <c r="K82" s="3">
        <v>105.042</v>
      </c>
      <c r="L82" s="3">
        <v>129.00299999999999</v>
      </c>
      <c r="N82" s="2">
        <f t="shared" si="9"/>
        <v>944.68000000000006</v>
      </c>
      <c r="O82" s="2">
        <f t="shared" si="10"/>
        <v>224.928</v>
      </c>
      <c r="P82" s="2">
        <f t="shared" si="11"/>
        <v>139.208</v>
      </c>
      <c r="Q82" s="2">
        <f t="shared" si="12"/>
        <v>129.00299999999999</v>
      </c>
      <c r="R82" s="2">
        <f t="shared" si="13"/>
        <v>0.975023118509034</v>
      </c>
      <c r="S82" s="2">
        <f t="shared" si="14"/>
        <v>0.91366157117407043</v>
      </c>
      <c r="T82" s="2">
        <f t="shared" si="15"/>
        <v>0.81426013348526793</v>
      </c>
      <c r="V82" s="2">
        <v>129.00299999999999</v>
      </c>
      <c r="X82" s="2">
        <f t="shared" si="8"/>
        <v>129.00299999999999</v>
      </c>
    </row>
    <row r="83" spans="1:24" ht="15" x14ac:dyDescent="0.2">
      <c r="A83" s="1" t="s">
        <v>20</v>
      </c>
      <c r="B83" s="3">
        <v>20</v>
      </c>
      <c r="C83" s="1">
        <v>7.45</v>
      </c>
      <c r="D83" s="3">
        <v>0.18</v>
      </c>
      <c r="E83" s="3">
        <v>350.88</v>
      </c>
      <c r="F83" s="3">
        <v>66.47</v>
      </c>
      <c r="G83" s="3">
        <v>237.489</v>
      </c>
      <c r="H83" s="3">
        <v>239.50200000000001</v>
      </c>
      <c r="I83" s="3">
        <v>135.113</v>
      </c>
      <c r="J83" s="3">
        <v>142.25700000000001</v>
      </c>
      <c r="K83" s="3">
        <v>131.87700000000001</v>
      </c>
      <c r="L83" s="3">
        <v>137.59299999999999</v>
      </c>
      <c r="N83" s="2">
        <f t="shared" si="9"/>
        <v>1023.831</v>
      </c>
      <c r="O83" s="2">
        <f t="shared" si="10"/>
        <v>239.50200000000001</v>
      </c>
      <c r="P83" s="2">
        <f t="shared" si="11"/>
        <v>142.25700000000001</v>
      </c>
      <c r="Q83" s="2">
        <f t="shared" si="12"/>
        <v>137.59299999999999</v>
      </c>
      <c r="R83" s="2">
        <f t="shared" si="13"/>
        <v>0.9915950597489791</v>
      </c>
      <c r="S83" s="2">
        <f t="shared" si="14"/>
        <v>0.94978103010748149</v>
      </c>
      <c r="T83" s="2">
        <f t="shared" si="15"/>
        <v>0.95845718895583365</v>
      </c>
      <c r="V83" s="2">
        <v>137.59299999999999</v>
      </c>
      <c r="X83" s="2">
        <f t="shared" si="8"/>
        <v>137.59299999999999</v>
      </c>
    </row>
    <row r="84" spans="1:24" ht="15" x14ac:dyDescent="0.2">
      <c r="A84" s="1" t="s">
        <v>20</v>
      </c>
      <c r="B84" s="3">
        <v>20</v>
      </c>
      <c r="C84" s="1">
        <v>7.45</v>
      </c>
      <c r="D84" s="3">
        <v>0.18</v>
      </c>
      <c r="E84" s="3">
        <v>300.23</v>
      </c>
      <c r="F84" s="3">
        <v>53.807500000000005</v>
      </c>
      <c r="G84" s="3">
        <v>212.15199999999999</v>
      </c>
      <c r="H84" s="3">
        <v>228.18799999999999</v>
      </c>
      <c r="I84" s="3">
        <v>70.950999999999993</v>
      </c>
      <c r="J84" s="3">
        <v>84.066999999999993</v>
      </c>
      <c r="K84" s="3">
        <v>90.197999999999993</v>
      </c>
      <c r="L84" s="3">
        <v>87.176000000000002</v>
      </c>
      <c r="N84" s="2">
        <f t="shared" si="9"/>
        <v>772.73199999999997</v>
      </c>
      <c r="O84" s="2">
        <f t="shared" si="10"/>
        <v>228.18799999999999</v>
      </c>
      <c r="P84" s="2">
        <f t="shared" si="11"/>
        <v>84.066999999999993</v>
      </c>
      <c r="Q84" s="2">
        <f t="shared" si="12"/>
        <v>90.197999999999993</v>
      </c>
      <c r="R84" s="2">
        <f t="shared" si="13"/>
        <v>0.92972461303837184</v>
      </c>
      <c r="S84" s="2">
        <f t="shared" si="14"/>
        <v>0.84398158611583618</v>
      </c>
      <c r="T84" s="2">
        <f t="shared" si="15"/>
        <v>0.9664959311736403</v>
      </c>
      <c r="V84" s="2">
        <v>90.197999999999993</v>
      </c>
      <c r="X84" s="2">
        <f t="shared" si="8"/>
        <v>90.197999999999993</v>
      </c>
    </row>
    <row r="85" spans="1:24" ht="15" x14ac:dyDescent="0.2">
      <c r="A85" s="1" t="s">
        <v>20</v>
      </c>
      <c r="B85" s="3">
        <v>20</v>
      </c>
      <c r="C85" s="1">
        <v>7.45</v>
      </c>
      <c r="D85" s="3">
        <v>0.18</v>
      </c>
      <c r="E85" s="3">
        <v>320.39999999999998</v>
      </c>
      <c r="F85" s="3">
        <v>58.849999999999994</v>
      </c>
      <c r="G85" s="3">
        <v>211.202</v>
      </c>
      <c r="H85" s="3">
        <v>194.11099999999999</v>
      </c>
      <c r="I85" s="3">
        <v>122.80800000000001</v>
      </c>
      <c r="J85" s="3">
        <v>130.77199999999999</v>
      </c>
      <c r="K85" s="3">
        <v>154.9</v>
      </c>
      <c r="L85" s="3">
        <v>121.934</v>
      </c>
      <c r="N85" s="2">
        <f t="shared" si="9"/>
        <v>935.72699999999998</v>
      </c>
      <c r="O85" s="2">
        <f t="shared" si="10"/>
        <v>211.202</v>
      </c>
      <c r="P85" s="2">
        <f t="shared" si="11"/>
        <v>130.77199999999999</v>
      </c>
      <c r="Q85" s="2">
        <f t="shared" si="12"/>
        <v>154.9</v>
      </c>
      <c r="R85" s="2">
        <f t="shared" si="13"/>
        <v>0.91907747085728353</v>
      </c>
      <c r="S85" s="2">
        <f t="shared" si="14"/>
        <v>0.93910011317407405</v>
      </c>
      <c r="T85" s="2">
        <f t="shared" si="15"/>
        <v>0.7871788250484183</v>
      </c>
      <c r="V85" s="2">
        <v>154.9</v>
      </c>
      <c r="X85" s="2">
        <f t="shared" si="8"/>
        <v>154.9</v>
      </c>
    </row>
    <row r="86" spans="1:24" ht="15" x14ac:dyDescent="0.2">
      <c r="A86" s="1" t="s">
        <v>20</v>
      </c>
      <c r="B86" s="3">
        <v>20</v>
      </c>
      <c r="C86" s="1">
        <v>7.45</v>
      </c>
      <c r="D86" s="3">
        <v>0.18</v>
      </c>
      <c r="E86" s="3">
        <v>316</v>
      </c>
      <c r="F86" s="3">
        <v>57.75</v>
      </c>
      <c r="G86" s="3">
        <v>222.36</v>
      </c>
      <c r="H86" s="3">
        <v>224.434</v>
      </c>
      <c r="I86" s="3">
        <v>107.967</v>
      </c>
      <c r="J86" s="3">
        <v>125.565</v>
      </c>
      <c r="K86" s="3">
        <v>116.86799999999999</v>
      </c>
      <c r="L86" s="3">
        <v>99.79</v>
      </c>
      <c r="N86" s="2">
        <f t="shared" si="9"/>
        <v>896.98399999999992</v>
      </c>
      <c r="O86" s="2">
        <f t="shared" si="10"/>
        <v>224.434</v>
      </c>
      <c r="P86" s="2">
        <f t="shared" si="11"/>
        <v>125.565</v>
      </c>
      <c r="Q86" s="2">
        <f t="shared" si="12"/>
        <v>116.86799999999999</v>
      </c>
      <c r="R86" s="2">
        <f t="shared" si="13"/>
        <v>0.99075897591274054</v>
      </c>
      <c r="S86" s="2">
        <f t="shared" si="14"/>
        <v>0.85984948034882336</v>
      </c>
      <c r="T86" s="2">
        <f t="shared" si="15"/>
        <v>0.85386932265461901</v>
      </c>
      <c r="V86" s="2">
        <v>116.86799999999999</v>
      </c>
      <c r="X86" s="2">
        <f t="shared" si="8"/>
        <v>116.86799999999999</v>
      </c>
    </row>
    <row r="87" spans="1:24" ht="15" x14ac:dyDescent="0.2">
      <c r="A87" s="1" t="s">
        <v>20</v>
      </c>
      <c r="B87" s="3">
        <v>20</v>
      </c>
      <c r="C87" s="1">
        <v>7.45</v>
      </c>
      <c r="D87" s="3">
        <v>0.18</v>
      </c>
      <c r="E87" s="3">
        <v>369.94</v>
      </c>
      <c r="F87" s="3">
        <v>71.234999999999999</v>
      </c>
      <c r="G87" s="3">
        <v>271.13600000000002</v>
      </c>
      <c r="H87" s="3">
        <v>267.06700000000001</v>
      </c>
      <c r="I87" s="3">
        <v>151.71</v>
      </c>
      <c r="J87" s="3">
        <v>234.834</v>
      </c>
      <c r="K87" s="3">
        <v>192.607</v>
      </c>
      <c r="L87" s="3">
        <v>187.423</v>
      </c>
      <c r="N87" s="2">
        <f t="shared" si="9"/>
        <v>1304.777</v>
      </c>
      <c r="O87" s="2">
        <f t="shared" si="10"/>
        <v>271.13600000000002</v>
      </c>
      <c r="P87" s="2">
        <f t="shared" si="11"/>
        <v>234.834</v>
      </c>
      <c r="Q87" s="2">
        <f t="shared" si="12"/>
        <v>192.607</v>
      </c>
      <c r="R87" s="2">
        <f t="shared" si="13"/>
        <v>0.98499277115543482</v>
      </c>
      <c r="S87" s="2">
        <f t="shared" si="14"/>
        <v>0.64603081325532086</v>
      </c>
      <c r="T87" s="2">
        <f t="shared" si="15"/>
        <v>0.9730850903653554</v>
      </c>
      <c r="V87" s="2">
        <v>192.607</v>
      </c>
      <c r="X87" s="2">
        <f t="shared" si="8"/>
        <v>192.607</v>
      </c>
    </row>
    <row r="88" spans="1:24" ht="15" x14ac:dyDescent="0.2">
      <c r="A88" s="1" t="s">
        <v>20</v>
      </c>
      <c r="B88" s="3">
        <v>20</v>
      </c>
      <c r="C88" s="1">
        <v>7.2</v>
      </c>
      <c r="D88" s="3">
        <v>0.18</v>
      </c>
      <c r="E88" s="3">
        <v>361.89</v>
      </c>
      <c r="F88" s="3">
        <v>69.222499999999997</v>
      </c>
      <c r="G88" s="3">
        <v>254.136</v>
      </c>
      <c r="H88" s="3">
        <v>265.86599999999999</v>
      </c>
      <c r="I88" s="3">
        <v>289.75900000000001</v>
      </c>
      <c r="J88" s="3">
        <v>201.63499999999999</v>
      </c>
      <c r="K88" s="3">
        <v>215.92599999999999</v>
      </c>
      <c r="L88" s="3">
        <v>166.43299999999999</v>
      </c>
      <c r="N88" s="2">
        <f t="shared" si="9"/>
        <v>1393.7549999999999</v>
      </c>
      <c r="O88" s="2">
        <f t="shared" si="10"/>
        <v>265.86599999999999</v>
      </c>
      <c r="P88" s="2">
        <f t="shared" si="11"/>
        <v>289.75900000000001</v>
      </c>
      <c r="Q88" s="2">
        <f t="shared" si="12"/>
        <v>215.92599999999999</v>
      </c>
      <c r="R88" s="2">
        <f t="shared" si="13"/>
        <v>0.95588002978944286</v>
      </c>
      <c r="S88" s="2">
        <f t="shared" si="14"/>
        <v>0.69587139657439456</v>
      </c>
      <c r="T88" s="2">
        <f t="shared" si="15"/>
        <v>0.77078721413817697</v>
      </c>
      <c r="V88" s="2">
        <v>215.92599999999999</v>
      </c>
      <c r="X88" s="2">
        <f t="shared" si="8"/>
        <v>215.92599999999999</v>
      </c>
    </row>
    <row r="89" spans="1:24" ht="15" x14ac:dyDescent="0.2">
      <c r="A89" s="1" t="s">
        <v>20</v>
      </c>
      <c r="B89" s="3">
        <v>20</v>
      </c>
      <c r="C89" s="1">
        <v>7.2</v>
      </c>
      <c r="D89" s="3">
        <v>0.18</v>
      </c>
      <c r="E89" s="3">
        <v>344.77</v>
      </c>
      <c r="F89" s="3">
        <v>64.942499999999995</v>
      </c>
      <c r="G89" s="3">
        <v>235.595</v>
      </c>
      <c r="H89" s="3">
        <v>241.46600000000001</v>
      </c>
      <c r="I89" s="3">
        <v>257.21300000000002</v>
      </c>
      <c r="J89" s="3">
        <v>238.684</v>
      </c>
      <c r="K89" s="3">
        <v>172.244</v>
      </c>
      <c r="L89" s="3">
        <v>170.78700000000001</v>
      </c>
      <c r="N89" s="2">
        <f t="shared" si="9"/>
        <v>1315.989</v>
      </c>
      <c r="O89" s="2">
        <f t="shared" si="10"/>
        <v>241.46600000000001</v>
      </c>
      <c r="P89" s="2">
        <f t="shared" si="11"/>
        <v>257.21300000000002</v>
      </c>
      <c r="Q89" s="2">
        <f t="shared" si="12"/>
        <v>172.244</v>
      </c>
      <c r="R89" s="2">
        <f t="shared" si="13"/>
        <v>0.97568601790728293</v>
      </c>
      <c r="S89" s="2">
        <f t="shared" si="14"/>
        <v>0.92796242802657714</v>
      </c>
      <c r="T89" s="2">
        <f t="shared" si="15"/>
        <v>0.9915410696453868</v>
      </c>
      <c r="V89" s="2">
        <v>172.244</v>
      </c>
      <c r="X89" s="2">
        <f t="shared" si="8"/>
        <v>172.244</v>
      </c>
    </row>
    <row r="90" spans="1:24" ht="15" x14ac:dyDescent="0.2">
      <c r="A90" s="1" t="s">
        <v>20</v>
      </c>
      <c r="B90" s="3">
        <v>20</v>
      </c>
      <c r="C90" s="1">
        <v>7.2</v>
      </c>
      <c r="D90" s="3">
        <v>0.18</v>
      </c>
      <c r="E90" s="3">
        <v>334.85</v>
      </c>
      <c r="F90" s="3">
        <v>62.462500000000006</v>
      </c>
      <c r="G90" s="3">
        <v>261.82</v>
      </c>
      <c r="H90" s="3">
        <v>256.81299999999999</v>
      </c>
      <c r="I90" s="3">
        <v>246.565</v>
      </c>
      <c r="J90" s="3">
        <v>236.96600000000001</v>
      </c>
      <c r="K90" s="3">
        <v>153.172</v>
      </c>
      <c r="L90" s="3">
        <v>103.464</v>
      </c>
      <c r="N90" s="2">
        <f t="shared" si="9"/>
        <v>1258.8</v>
      </c>
      <c r="O90" s="2">
        <f t="shared" si="10"/>
        <v>261.82</v>
      </c>
      <c r="P90" s="2">
        <f t="shared" si="11"/>
        <v>246.565</v>
      </c>
      <c r="Q90" s="2">
        <f t="shared" si="12"/>
        <v>153.172</v>
      </c>
      <c r="R90" s="2">
        <f t="shared" si="13"/>
        <v>0.98087617447101061</v>
      </c>
      <c r="S90" s="2">
        <f t="shared" si="14"/>
        <v>0.96106908928680068</v>
      </c>
      <c r="T90" s="2">
        <f t="shared" si="15"/>
        <v>0.6754759355495783</v>
      </c>
      <c r="V90" s="2">
        <v>153.172</v>
      </c>
      <c r="X90" s="2">
        <f t="shared" si="8"/>
        <v>153.172</v>
      </c>
    </row>
    <row r="91" spans="1:24" ht="15" x14ac:dyDescent="0.2">
      <c r="A91" s="1" t="s">
        <v>20</v>
      </c>
      <c r="B91" s="3">
        <v>20</v>
      </c>
      <c r="C91" s="1">
        <v>7.2</v>
      </c>
      <c r="D91" s="3">
        <v>0.18</v>
      </c>
      <c r="E91" s="3">
        <v>368.95</v>
      </c>
      <c r="F91" s="3">
        <v>70.987499999999997</v>
      </c>
      <c r="G91" s="3">
        <v>295.70400000000001</v>
      </c>
      <c r="H91" s="3">
        <v>306.39999999999998</v>
      </c>
      <c r="I91" s="3">
        <v>236.25200000000001</v>
      </c>
      <c r="J91" s="3">
        <v>244.69200000000001</v>
      </c>
      <c r="K91" s="3">
        <v>155.10599999999999</v>
      </c>
      <c r="L91" s="3">
        <v>158.63900000000001</v>
      </c>
      <c r="N91" s="2">
        <f t="shared" si="9"/>
        <v>1396.7930000000001</v>
      </c>
      <c r="O91" s="2">
        <f t="shared" si="10"/>
        <v>306.39999999999998</v>
      </c>
      <c r="P91" s="2">
        <f t="shared" si="11"/>
        <v>244.69200000000001</v>
      </c>
      <c r="Q91" s="2">
        <f t="shared" si="12"/>
        <v>158.63900000000001</v>
      </c>
      <c r="R91" s="2">
        <f t="shared" si="13"/>
        <v>0.96509138381201054</v>
      </c>
      <c r="S91" s="2">
        <f t="shared" si="14"/>
        <v>0.96550765860755561</v>
      </c>
      <c r="T91" s="2">
        <f t="shared" si="15"/>
        <v>0.97772930994270002</v>
      </c>
      <c r="V91" s="2">
        <v>158.63900000000001</v>
      </c>
      <c r="X91" s="2">
        <f t="shared" si="8"/>
        <v>158.63900000000001</v>
      </c>
    </row>
    <row r="92" spans="1:24" ht="15" x14ac:dyDescent="0.2">
      <c r="A92" s="1" t="s">
        <v>20</v>
      </c>
      <c r="B92" s="3">
        <v>20</v>
      </c>
      <c r="C92" s="1">
        <v>7.2</v>
      </c>
      <c r="D92" s="3">
        <v>0.18</v>
      </c>
      <c r="E92" s="3">
        <v>292.37</v>
      </c>
      <c r="F92" s="3">
        <v>51.842500000000001</v>
      </c>
      <c r="G92" s="3">
        <v>234.435</v>
      </c>
      <c r="H92" s="3">
        <v>208.221</v>
      </c>
      <c r="I92" s="3">
        <v>257.20800000000003</v>
      </c>
      <c r="J92" s="3">
        <v>227.18799999999999</v>
      </c>
      <c r="K92" s="3">
        <v>162.32300000000001</v>
      </c>
      <c r="L92" s="3">
        <v>141.56</v>
      </c>
      <c r="N92" s="2">
        <f t="shared" si="9"/>
        <v>1230.9349999999999</v>
      </c>
      <c r="O92" s="2">
        <f t="shared" si="10"/>
        <v>234.435</v>
      </c>
      <c r="P92" s="2">
        <f t="shared" si="11"/>
        <v>257.20800000000003</v>
      </c>
      <c r="Q92" s="2">
        <f t="shared" si="12"/>
        <v>162.32300000000001</v>
      </c>
      <c r="R92" s="2">
        <f t="shared" si="13"/>
        <v>0.88818222535031033</v>
      </c>
      <c r="S92" s="2">
        <f t="shared" si="14"/>
        <v>0.8832851233243133</v>
      </c>
      <c r="T92" s="2">
        <f t="shared" si="15"/>
        <v>0.87208836702130932</v>
      </c>
      <c r="V92" s="2">
        <v>162.32300000000001</v>
      </c>
      <c r="X92" s="2">
        <f t="shared" si="8"/>
        <v>162.32300000000001</v>
      </c>
    </row>
    <row r="93" spans="1:24" ht="15" x14ac:dyDescent="0.2">
      <c r="A93" s="1" t="s">
        <v>20</v>
      </c>
      <c r="B93" s="3">
        <v>20</v>
      </c>
      <c r="C93" s="1">
        <v>7.2</v>
      </c>
      <c r="D93" s="3">
        <v>0.18</v>
      </c>
      <c r="E93" s="3">
        <v>325.58999999999997</v>
      </c>
      <c r="F93" s="3">
        <v>60.147499999999994</v>
      </c>
      <c r="G93" s="3">
        <v>325.58800000000002</v>
      </c>
      <c r="H93" s="3">
        <v>229.23099999999999</v>
      </c>
      <c r="I93" s="3">
        <v>227.86500000000001</v>
      </c>
      <c r="J93" s="3">
        <v>210.607</v>
      </c>
      <c r="K93" s="3">
        <v>216.297</v>
      </c>
      <c r="L93" s="3">
        <v>144.24</v>
      </c>
      <c r="N93" s="2">
        <f t="shared" si="9"/>
        <v>1353.828</v>
      </c>
      <c r="O93" s="2">
        <f t="shared" si="10"/>
        <v>325.58800000000002</v>
      </c>
      <c r="P93" s="2">
        <f t="shared" si="11"/>
        <v>227.86500000000001</v>
      </c>
      <c r="Q93" s="2">
        <f t="shared" si="12"/>
        <v>216.297</v>
      </c>
      <c r="R93" s="2">
        <f t="shared" si="13"/>
        <v>0.70405236065211241</v>
      </c>
      <c r="S93" s="2">
        <f t="shared" si="14"/>
        <v>0.92426217277774114</v>
      </c>
      <c r="T93" s="2">
        <f t="shared" si="15"/>
        <v>0.66686084411711677</v>
      </c>
      <c r="V93" s="2">
        <v>216.297</v>
      </c>
      <c r="X93" s="2">
        <f t="shared" si="8"/>
        <v>216.297</v>
      </c>
    </row>
    <row r="94" spans="1:24" ht="15" x14ac:dyDescent="0.2">
      <c r="A94" s="1" t="s">
        <v>20</v>
      </c>
      <c r="B94" s="3">
        <v>20</v>
      </c>
      <c r="C94" s="1">
        <v>7.2</v>
      </c>
      <c r="D94" s="3">
        <v>0.18</v>
      </c>
      <c r="E94" s="3">
        <v>346.97</v>
      </c>
      <c r="F94" s="3">
        <v>65.492500000000007</v>
      </c>
      <c r="G94" s="3">
        <v>274.71199999999999</v>
      </c>
      <c r="H94" s="3">
        <v>274.93299999999999</v>
      </c>
      <c r="I94" s="3">
        <v>224.17599999999999</v>
      </c>
      <c r="J94" s="3">
        <v>186.84299999999999</v>
      </c>
      <c r="K94" s="3">
        <v>134.07</v>
      </c>
      <c r="L94" s="3">
        <v>154.017</v>
      </c>
      <c r="N94" s="2">
        <f t="shared" si="9"/>
        <v>1248.751</v>
      </c>
      <c r="O94" s="2">
        <f t="shared" si="10"/>
        <v>274.93299999999999</v>
      </c>
      <c r="P94" s="2">
        <f t="shared" si="11"/>
        <v>224.17599999999999</v>
      </c>
      <c r="Q94" s="2">
        <f t="shared" si="12"/>
        <v>154.017</v>
      </c>
      <c r="R94" s="2">
        <f t="shared" si="13"/>
        <v>0.99919616779360787</v>
      </c>
      <c r="S94" s="2">
        <f t="shared" si="14"/>
        <v>0.83346566983084724</v>
      </c>
      <c r="T94" s="2">
        <f t="shared" si="15"/>
        <v>0.87048832271762211</v>
      </c>
      <c r="V94" s="2">
        <v>154.017</v>
      </c>
      <c r="X94" s="2">
        <f t="shared" si="8"/>
        <v>154.017</v>
      </c>
    </row>
    <row r="95" spans="1:24" ht="15" x14ac:dyDescent="0.2">
      <c r="A95" s="1" t="s">
        <v>20</v>
      </c>
      <c r="B95" s="3">
        <v>20</v>
      </c>
      <c r="C95" s="1">
        <v>7.2</v>
      </c>
      <c r="D95" s="3">
        <v>0.18</v>
      </c>
      <c r="E95" s="3">
        <v>338.15</v>
      </c>
      <c r="F95" s="3">
        <v>63.287499999999994</v>
      </c>
      <c r="G95" s="3">
        <v>252.22800000000001</v>
      </c>
      <c r="H95" s="3">
        <v>243.66800000000001</v>
      </c>
      <c r="I95" s="3">
        <v>211.95599999999999</v>
      </c>
      <c r="J95" s="3">
        <v>222.054</v>
      </c>
      <c r="K95" s="3">
        <v>161.93100000000001</v>
      </c>
      <c r="L95" s="3">
        <v>166.155</v>
      </c>
      <c r="N95" s="2">
        <f t="shared" si="9"/>
        <v>1257.992</v>
      </c>
      <c r="O95" s="2">
        <f t="shared" si="10"/>
        <v>252.22800000000001</v>
      </c>
      <c r="P95" s="2">
        <f t="shared" si="11"/>
        <v>222.054</v>
      </c>
      <c r="Q95" s="2">
        <f t="shared" si="12"/>
        <v>166.155</v>
      </c>
      <c r="R95" s="2">
        <f t="shared" si="13"/>
        <v>0.96606245143283065</v>
      </c>
      <c r="S95" s="2">
        <f t="shared" si="14"/>
        <v>0.9545245751033532</v>
      </c>
      <c r="T95" s="2">
        <f t="shared" si="15"/>
        <v>0.97457795431976169</v>
      </c>
      <c r="V95" s="2">
        <v>166.155</v>
      </c>
      <c r="X95" s="2">
        <f t="shared" si="8"/>
        <v>166.155</v>
      </c>
    </row>
    <row r="96" spans="1:24" ht="15" x14ac:dyDescent="0.2">
      <c r="A96" s="1" t="s">
        <v>20</v>
      </c>
      <c r="B96" s="3">
        <v>20</v>
      </c>
      <c r="C96" s="1">
        <v>7.2</v>
      </c>
      <c r="D96" s="3">
        <v>0.18</v>
      </c>
      <c r="E96" s="3">
        <v>356.37</v>
      </c>
      <c r="F96" s="3">
        <v>67.842500000000001</v>
      </c>
      <c r="G96" s="3">
        <v>278.226</v>
      </c>
      <c r="H96" s="3">
        <v>275.24599999999998</v>
      </c>
      <c r="I96" s="3">
        <v>239.73099999999999</v>
      </c>
      <c r="J96" s="3">
        <v>229.376</v>
      </c>
      <c r="K96" s="3">
        <v>170.58099999999999</v>
      </c>
      <c r="L96" s="3">
        <v>166.81800000000001</v>
      </c>
      <c r="N96" s="2">
        <f t="shared" si="9"/>
        <v>1359.9779999999998</v>
      </c>
      <c r="O96" s="2">
        <f t="shared" si="10"/>
        <v>278.226</v>
      </c>
      <c r="P96" s="2">
        <f t="shared" si="11"/>
        <v>239.73099999999999</v>
      </c>
      <c r="Q96" s="2">
        <f t="shared" si="12"/>
        <v>170.58099999999999</v>
      </c>
      <c r="R96" s="2">
        <f t="shared" si="13"/>
        <v>0.98928928281325246</v>
      </c>
      <c r="S96" s="2">
        <f t="shared" si="14"/>
        <v>0.95680575311494975</v>
      </c>
      <c r="T96" s="2">
        <f t="shared" si="15"/>
        <v>0.97794009883867505</v>
      </c>
      <c r="V96" s="2">
        <v>170.58099999999999</v>
      </c>
      <c r="X96" s="2">
        <f t="shared" si="8"/>
        <v>170.58099999999999</v>
      </c>
    </row>
    <row r="97" spans="1:25" ht="15" x14ac:dyDescent="0.2">
      <c r="A97" s="1" t="s">
        <v>20</v>
      </c>
      <c r="B97" s="3">
        <v>20</v>
      </c>
      <c r="C97" s="1">
        <v>7.2</v>
      </c>
      <c r="D97" s="3">
        <v>0.18</v>
      </c>
      <c r="E97" s="3">
        <v>342.08</v>
      </c>
      <c r="F97" s="3">
        <v>64.27</v>
      </c>
      <c r="G97" s="3">
        <v>245.733</v>
      </c>
      <c r="H97" s="3">
        <v>253.77799999999999</v>
      </c>
      <c r="I97" s="3">
        <v>261.50799999999998</v>
      </c>
      <c r="J97" s="3">
        <v>187.97399999999999</v>
      </c>
      <c r="K97" s="3">
        <v>120.617</v>
      </c>
      <c r="L97" s="3">
        <v>127.97799999999999</v>
      </c>
      <c r="N97" s="2">
        <f t="shared" si="9"/>
        <v>1197.588</v>
      </c>
      <c r="O97" s="2">
        <f t="shared" si="10"/>
        <v>253.77799999999999</v>
      </c>
      <c r="P97" s="2">
        <f t="shared" si="11"/>
        <v>261.50799999999998</v>
      </c>
      <c r="Q97" s="2">
        <f t="shared" si="12"/>
        <v>127.97799999999999</v>
      </c>
      <c r="R97" s="2">
        <f t="shared" si="13"/>
        <v>0.9682990645367211</v>
      </c>
      <c r="S97" s="2">
        <f t="shared" si="14"/>
        <v>0.71880783761873446</v>
      </c>
      <c r="T97" s="2">
        <f t="shared" si="15"/>
        <v>0.94248230164559543</v>
      </c>
      <c r="V97" s="2">
        <v>127.97799999999999</v>
      </c>
      <c r="X97" s="2">
        <f t="shared" si="8"/>
        <v>127.97799999999999</v>
      </c>
    </row>
    <row r="98" spans="1:25" ht="15" x14ac:dyDescent="0.2">
      <c r="A98" s="1" t="s">
        <v>22</v>
      </c>
      <c r="B98" s="3">
        <v>12</v>
      </c>
      <c r="C98" s="1">
        <v>8.1</v>
      </c>
      <c r="D98" s="3">
        <v>0.18</v>
      </c>
      <c r="E98" s="3">
        <v>262.94</v>
      </c>
      <c r="F98" s="3">
        <v>44.484999999999999</v>
      </c>
      <c r="G98" s="3">
        <v>174.297</v>
      </c>
      <c r="H98" s="3">
        <v>176.25200000000001</v>
      </c>
      <c r="I98" s="3">
        <v>110.327</v>
      </c>
      <c r="J98" s="3">
        <v>98.662000000000006</v>
      </c>
      <c r="K98" s="3">
        <v>125.604</v>
      </c>
      <c r="L98" s="3">
        <v>125.965</v>
      </c>
      <c r="N98" s="2">
        <f t="shared" si="9"/>
        <v>811.10700000000008</v>
      </c>
      <c r="O98" s="2">
        <f t="shared" si="10"/>
        <v>176.25200000000001</v>
      </c>
      <c r="P98" s="2">
        <f t="shared" si="11"/>
        <v>110.327</v>
      </c>
      <c r="Q98" s="2">
        <f t="shared" si="12"/>
        <v>125.965</v>
      </c>
      <c r="R98" s="2">
        <f t="shared" si="13"/>
        <v>0.98890792728593147</v>
      </c>
      <c r="S98" s="2">
        <f t="shared" si="14"/>
        <v>0.89426885531193645</v>
      </c>
      <c r="T98" s="2">
        <f t="shared" si="15"/>
        <v>0.997134124558409</v>
      </c>
      <c r="V98" s="2">
        <v>125.965</v>
      </c>
      <c r="Y98" s="2">
        <f>V98</f>
        <v>125.965</v>
      </c>
    </row>
    <row r="99" spans="1:25" ht="15" x14ac:dyDescent="0.2">
      <c r="A99" s="1" t="s">
        <v>22</v>
      </c>
      <c r="B99" s="3">
        <v>12</v>
      </c>
      <c r="C99" s="1">
        <v>8.1</v>
      </c>
      <c r="D99" s="3">
        <v>0.18</v>
      </c>
      <c r="E99" s="3">
        <v>254.65</v>
      </c>
      <c r="F99" s="3">
        <v>42.412500000000001</v>
      </c>
      <c r="G99" s="3">
        <v>190.71899999999999</v>
      </c>
      <c r="H99" s="3">
        <v>195.96600000000001</v>
      </c>
      <c r="I99" s="3">
        <v>95.438999999999993</v>
      </c>
      <c r="J99" s="3">
        <v>110.425</v>
      </c>
      <c r="K99" s="3">
        <v>87.802999999999997</v>
      </c>
      <c r="L99" s="3">
        <v>88.430999999999997</v>
      </c>
      <c r="N99" s="2">
        <f t="shared" si="9"/>
        <v>768.78300000000002</v>
      </c>
      <c r="O99" s="2">
        <f t="shared" si="10"/>
        <v>195.96600000000001</v>
      </c>
      <c r="P99" s="2">
        <f t="shared" si="11"/>
        <v>110.425</v>
      </c>
      <c r="Q99" s="2">
        <f t="shared" si="12"/>
        <v>88.430999999999997</v>
      </c>
      <c r="R99" s="2">
        <f t="shared" si="13"/>
        <v>0.97322494718471564</v>
      </c>
      <c r="S99" s="2">
        <f t="shared" si="14"/>
        <v>0.86428797826579118</v>
      </c>
      <c r="T99" s="2">
        <f t="shared" si="15"/>
        <v>0.99289841797559675</v>
      </c>
      <c r="V99" s="2">
        <v>88.430999999999997</v>
      </c>
      <c r="Y99" s="2">
        <f t="shared" ref="Y99:Y134" si="16">V99</f>
        <v>88.430999999999997</v>
      </c>
    </row>
    <row r="100" spans="1:25" ht="15" x14ac:dyDescent="0.2">
      <c r="A100" s="1" t="s">
        <v>22</v>
      </c>
      <c r="B100" s="3">
        <v>12</v>
      </c>
      <c r="C100" s="1">
        <v>8.1</v>
      </c>
      <c r="D100" s="3">
        <v>0.18</v>
      </c>
      <c r="E100" s="3">
        <v>274.92</v>
      </c>
      <c r="F100" s="3">
        <v>47.480000000000004</v>
      </c>
      <c r="G100" s="3">
        <v>219.471</v>
      </c>
      <c r="H100" s="3">
        <v>215.5</v>
      </c>
      <c r="I100" s="3">
        <v>128.37</v>
      </c>
      <c r="J100" s="3">
        <v>100.559</v>
      </c>
      <c r="K100" s="3">
        <v>77.084000000000003</v>
      </c>
      <c r="L100" s="3">
        <v>85.688999999999993</v>
      </c>
      <c r="N100" s="2">
        <f t="shared" si="9"/>
        <v>826.67299999999989</v>
      </c>
      <c r="O100" s="2">
        <f t="shared" si="10"/>
        <v>219.471</v>
      </c>
      <c r="P100" s="2">
        <f t="shared" si="11"/>
        <v>128.37</v>
      </c>
      <c r="Q100" s="2">
        <f t="shared" si="12"/>
        <v>85.688999999999993</v>
      </c>
      <c r="R100" s="2">
        <f t="shared" si="13"/>
        <v>0.98190649334080582</v>
      </c>
      <c r="S100" s="2">
        <f t="shared" si="14"/>
        <v>0.78335280828854092</v>
      </c>
      <c r="T100" s="2">
        <f t="shared" si="15"/>
        <v>0.89957870905250392</v>
      </c>
      <c r="V100" s="2">
        <v>85.688999999999993</v>
      </c>
      <c r="Y100" s="2">
        <f t="shared" si="16"/>
        <v>85.688999999999993</v>
      </c>
    </row>
    <row r="101" spans="1:25" ht="15" x14ac:dyDescent="0.2">
      <c r="A101" s="1" t="s">
        <v>22</v>
      </c>
      <c r="B101" s="3">
        <v>12</v>
      </c>
      <c r="C101" s="1">
        <v>8.1</v>
      </c>
      <c r="D101" s="3">
        <v>0.18</v>
      </c>
      <c r="E101" s="3">
        <v>279.45999999999998</v>
      </c>
      <c r="F101" s="3">
        <v>48.614999999999995</v>
      </c>
      <c r="G101" s="3">
        <v>217.37</v>
      </c>
      <c r="H101" s="3">
        <v>214.63399999999999</v>
      </c>
      <c r="I101" s="3">
        <v>117.441</v>
      </c>
      <c r="J101" s="3">
        <v>130.673</v>
      </c>
      <c r="K101" s="3">
        <v>82.605000000000004</v>
      </c>
      <c r="L101" s="3">
        <v>82.462000000000003</v>
      </c>
      <c r="N101" s="2">
        <f t="shared" si="9"/>
        <v>845.18500000000006</v>
      </c>
      <c r="O101" s="2">
        <f t="shared" si="10"/>
        <v>217.37</v>
      </c>
      <c r="P101" s="2">
        <f t="shared" si="11"/>
        <v>130.673</v>
      </c>
      <c r="Q101" s="2">
        <f t="shared" si="12"/>
        <v>82.605000000000004</v>
      </c>
      <c r="R101" s="2">
        <f t="shared" si="13"/>
        <v>0.98741316649031596</v>
      </c>
      <c r="S101" s="2">
        <f t="shared" si="14"/>
        <v>0.89873960190705038</v>
      </c>
      <c r="T101" s="2">
        <f t="shared" si="15"/>
        <v>0.99826886992312813</v>
      </c>
      <c r="V101" s="2">
        <v>82.605000000000004</v>
      </c>
      <c r="Y101" s="2">
        <f t="shared" si="16"/>
        <v>82.605000000000004</v>
      </c>
    </row>
    <row r="102" spans="1:25" ht="15" x14ac:dyDescent="0.2">
      <c r="A102" s="1" t="s">
        <v>22</v>
      </c>
      <c r="B102" s="3">
        <v>12</v>
      </c>
      <c r="C102" s="1">
        <v>8.1</v>
      </c>
      <c r="D102" s="3">
        <v>0.18</v>
      </c>
      <c r="E102" s="3">
        <v>275.61</v>
      </c>
      <c r="F102" s="3">
        <v>47.652500000000003</v>
      </c>
      <c r="G102" s="3">
        <v>198.43299999999999</v>
      </c>
      <c r="H102" s="3">
        <v>211.94800000000001</v>
      </c>
      <c r="I102" s="3">
        <v>88.486000000000004</v>
      </c>
      <c r="J102" s="3">
        <v>92.605000000000004</v>
      </c>
      <c r="K102" s="3">
        <v>96.277000000000001</v>
      </c>
      <c r="L102" s="3">
        <v>86.915999999999997</v>
      </c>
      <c r="N102" s="2">
        <f t="shared" si="9"/>
        <v>774.66499999999996</v>
      </c>
      <c r="O102" s="2">
        <f t="shared" si="10"/>
        <v>211.94800000000001</v>
      </c>
      <c r="P102" s="2">
        <f t="shared" si="11"/>
        <v>92.605000000000004</v>
      </c>
      <c r="Q102" s="2">
        <f t="shared" si="12"/>
        <v>96.277000000000001</v>
      </c>
      <c r="R102" s="2">
        <f t="shared" si="13"/>
        <v>0.93623435937116639</v>
      </c>
      <c r="S102" s="2">
        <f t="shared" si="14"/>
        <v>0.95552076021813082</v>
      </c>
      <c r="T102" s="2">
        <f t="shared" si="15"/>
        <v>0.90277013201491529</v>
      </c>
      <c r="V102" s="2">
        <v>96.277000000000001</v>
      </c>
      <c r="Y102" s="2">
        <f t="shared" si="16"/>
        <v>96.277000000000001</v>
      </c>
    </row>
    <row r="103" spans="1:25" ht="15" x14ac:dyDescent="0.2">
      <c r="A103" s="1" t="s">
        <v>22</v>
      </c>
      <c r="B103" s="3">
        <v>12</v>
      </c>
      <c r="C103" s="1">
        <v>8.1</v>
      </c>
      <c r="D103" s="3">
        <v>0.18</v>
      </c>
      <c r="E103" s="3">
        <v>283.70999999999998</v>
      </c>
      <c r="F103" s="3">
        <v>49.677499999999995</v>
      </c>
      <c r="G103" s="3">
        <v>211.149</v>
      </c>
      <c r="H103" s="3">
        <v>213.126</v>
      </c>
      <c r="I103" s="3">
        <v>97.498000000000005</v>
      </c>
      <c r="J103" s="3">
        <v>109.992</v>
      </c>
      <c r="K103" s="3">
        <v>101.429</v>
      </c>
      <c r="L103" s="3">
        <v>110.645</v>
      </c>
      <c r="N103" s="2">
        <f t="shared" si="9"/>
        <v>843.83899999999994</v>
      </c>
      <c r="O103" s="2">
        <f t="shared" si="10"/>
        <v>213.126</v>
      </c>
      <c r="P103" s="2">
        <f t="shared" si="11"/>
        <v>109.992</v>
      </c>
      <c r="Q103" s="2">
        <f t="shared" si="12"/>
        <v>110.645</v>
      </c>
      <c r="R103" s="2">
        <f t="shared" si="13"/>
        <v>0.99072379719039438</v>
      </c>
      <c r="S103" s="2">
        <f t="shared" si="14"/>
        <v>0.88640992072150704</v>
      </c>
      <c r="T103" s="2">
        <f t="shared" si="15"/>
        <v>0.91670658412038508</v>
      </c>
      <c r="V103" s="2">
        <v>110.645</v>
      </c>
      <c r="Y103" s="2">
        <f t="shared" si="16"/>
        <v>110.645</v>
      </c>
    </row>
    <row r="104" spans="1:25" ht="15" x14ac:dyDescent="0.2">
      <c r="A104" s="1" t="s">
        <v>22</v>
      </c>
      <c r="B104" s="3">
        <v>12</v>
      </c>
      <c r="C104" s="1">
        <v>8.1</v>
      </c>
      <c r="D104" s="3">
        <v>0.18</v>
      </c>
      <c r="E104" s="3">
        <v>277.16000000000003</v>
      </c>
      <c r="F104" s="3">
        <v>48.040000000000006</v>
      </c>
      <c r="G104" s="3">
        <v>184.072</v>
      </c>
      <c r="H104" s="3">
        <v>188.88900000000001</v>
      </c>
      <c r="I104" s="3">
        <v>79.06</v>
      </c>
      <c r="J104" s="3">
        <v>87.034999999999997</v>
      </c>
      <c r="K104" s="3">
        <v>126.71</v>
      </c>
      <c r="L104" s="3">
        <v>123.01300000000001</v>
      </c>
      <c r="N104" s="2">
        <f t="shared" si="9"/>
        <v>788.77900000000011</v>
      </c>
      <c r="O104" s="2">
        <f t="shared" si="10"/>
        <v>188.88900000000001</v>
      </c>
      <c r="P104" s="2">
        <f t="shared" si="11"/>
        <v>87.034999999999997</v>
      </c>
      <c r="Q104" s="2">
        <f t="shared" si="12"/>
        <v>126.71</v>
      </c>
      <c r="R104" s="2">
        <f t="shared" si="13"/>
        <v>0.97449825029514681</v>
      </c>
      <c r="S104" s="2">
        <f t="shared" si="14"/>
        <v>0.90837019589820189</v>
      </c>
      <c r="T104" s="2">
        <f t="shared" si="15"/>
        <v>0.9708231394522927</v>
      </c>
      <c r="V104" s="2">
        <v>126.71</v>
      </c>
      <c r="Y104" s="2">
        <f t="shared" si="16"/>
        <v>126.71</v>
      </c>
    </row>
    <row r="105" spans="1:25" ht="15" x14ac:dyDescent="0.2">
      <c r="A105" s="1" t="s">
        <v>22</v>
      </c>
      <c r="B105" s="3">
        <v>12</v>
      </c>
      <c r="C105" s="1">
        <v>8.1</v>
      </c>
      <c r="D105" s="3">
        <v>0.18</v>
      </c>
      <c r="E105" s="3">
        <v>260.06</v>
      </c>
      <c r="F105" s="3">
        <v>43.765000000000001</v>
      </c>
      <c r="G105" s="3">
        <v>159.62299999999999</v>
      </c>
      <c r="H105" s="3">
        <v>163.54599999999999</v>
      </c>
      <c r="I105" s="3">
        <v>112.38200000000001</v>
      </c>
      <c r="J105" s="3">
        <v>118.70099999999999</v>
      </c>
      <c r="K105" s="3">
        <v>124.595</v>
      </c>
      <c r="L105" s="3">
        <v>111.28700000000001</v>
      </c>
      <c r="N105" s="2">
        <f t="shared" si="9"/>
        <v>790.13400000000001</v>
      </c>
      <c r="O105" s="2">
        <f t="shared" si="10"/>
        <v>163.54599999999999</v>
      </c>
      <c r="P105" s="2">
        <f t="shared" si="11"/>
        <v>118.70099999999999</v>
      </c>
      <c r="Q105" s="2">
        <f t="shared" si="12"/>
        <v>124.595</v>
      </c>
      <c r="R105" s="2">
        <f t="shared" si="13"/>
        <v>0.97601286488205152</v>
      </c>
      <c r="S105" s="2">
        <f t="shared" si="14"/>
        <v>0.94676540214488514</v>
      </c>
      <c r="T105" s="2">
        <f t="shared" si="15"/>
        <v>0.89318993539066582</v>
      </c>
      <c r="V105" s="2">
        <v>124.595</v>
      </c>
      <c r="Y105" s="2">
        <f t="shared" si="16"/>
        <v>124.595</v>
      </c>
    </row>
    <row r="106" spans="1:25" ht="15" x14ac:dyDescent="0.2">
      <c r="A106" s="1" t="s">
        <v>22</v>
      </c>
      <c r="B106" s="3">
        <v>12</v>
      </c>
      <c r="C106" s="1">
        <v>8.1</v>
      </c>
      <c r="D106" s="3">
        <v>0.18</v>
      </c>
      <c r="E106" s="3">
        <v>265.97000000000003</v>
      </c>
      <c r="F106" s="3">
        <v>45.242500000000007</v>
      </c>
      <c r="G106" s="3">
        <v>189.31</v>
      </c>
      <c r="H106" s="3">
        <v>202.464</v>
      </c>
      <c r="I106" s="3">
        <v>113.773</v>
      </c>
      <c r="J106" s="3">
        <v>109.01600000000001</v>
      </c>
      <c r="K106" s="3">
        <v>93.076999999999998</v>
      </c>
      <c r="L106" s="3">
        <v>90.129000000000005</v>
      </c>
      <c r="N106" s="2">
        <f t="shared" si="9"/>
        <v>797.76900000000001</v>
      </c>
      <c r="O106" s="2">
        <f t="shared" si="10"/>
        <v>202.464</v>
      </c>
      <c r="P106" s="2">
        <f t="shared" si="11"/>
        <v>113.773</v>
      </c>
      <c r="Q106" s="2">
        <f t="shared" si="12"/>
        <v>93.076999999999998</v>
      </c>
      <c r="R106" s="2">
        <f t="shared" si="13"/>
        <v>0.93503042516200408</v>
      </c>
      <c r="S106" s="2">
        <f t="shared" si="14"/>
        <v>0.95818867393845653</v>
      </c>
      <c r="T106" s="2">
        <f t="shared" si="15"/>
        <v>0.9683272989030588</v>
      </c>
      <c r="V106" s="2">
        <v>93.076999999999998</v>
      </c>
      <c r="Y106" s="2">
        <f t="shared" si="16"/>
        <v>93.076999999999998</v>
      </c>
    </row>
    <row r="107" spans="1:25" ht="15" x14ac:dyDescent="0.2">
      <c r="A107" s="1" t="s">
        <v>22</v>
      </c>
      <c r="B107" s="3">
        <v>12</v>
      </c>
      <c r="C107" s="1">
        <v>8.1</v>
      </c>
      <c r="D107" s="3">
        <v>0.18</v>
      </c>
      <c r="E107" s="3">
        <v>264.98</v>
      </c>
      <c r="F107" s="3">
        <v>44.995000000000005</v>
      </c>
      <c r="G107" s="3">
        <v>179.566</v>
      </c>
      <c r="H107" s="3">
        <v>185.107</v>
      </c>
      <c r="I107" s="3">
        <v>81.290999999999997</v>
      </c>
      <c r="J107" s="3">
        <v>103.771</v>
      </c>
      <c r="K107" s="3">
        <v>105.871</v>
      </c>
      <c r="L107" s="3">
        <v>110.51600000000001</v>
      </c>
      <c r="N107" s="2">
        <f t="shared" si="9"/>
        <v>766.12199999999996</v>
      </c>
      <c r="O107" s="2">
        <f t="shared" si="10"/>
        <v>185.107</v>
      </c>
      <c r="P107" s="2">
        <f t="shared" si="11"/>
        <v>103.771</v>
      </c>
      <c r="Q107" s="2">
        <f t="shared" si="12"/>
        <v>110.51600000000001</v>
      </c>
      <c r="R107" s="2">
        <f t="shared" si="13"/>
        <v>0.97006596184909266</v>
      </c>
      <c r="S107" s="2">
        <f t="shared" si="14"/>
        <v>0.78336914937699353</v>
      </c>
      <c r="T107" s="2">
        <f t="shared" si="15"/>
        <v>0.95796988671323602</v>
      </c>
      <c r="V107" s="2">
        <v>110.51600000000001</v>
      </c>
      <c r="Y107" s="2">
        <f t="shared" si="16"/>
        <v>110.51600000000001</v>
      </c>
    </row>
    <row r="108" spans="1:25" ht="15" x14ac:dyDescent="0.2">
      <c r="A108" s="1" t="s">
        <v>22</v>
      </c>
      <c r="B108" s="3">
        <v>16</v>
      </c>
      <c r="C108" s="1">
        <v>8.1</v>
      </c>
      <c r="D108" s="3">
        <v>0.18</v>
      </c>
      <c r="E108" s="3">
        <v>377.65</v>
      </c>
      <c r="F108" s="3">
        <v>73.162499999999994</v>
      </c>
      <c r="G108" s="3">
        <v>264.96699999999998</v>
      </c>
      <c r="H108" s="3">
        <v>261.846</v>
      </c>
      <c r="I108" s="3">
        <v>167.41499999999999</v>
      </c>
      <c r="J108" s="3">
        <v>175.614</v>
      </c>
      <c r="K108" s="3">
        <v>133.48699999999999</v>
      </c>
      <c r="L108" s="3">
        <v>120.65</v>
      </c>
      <c r="N108" s="2">
        <f t="shared" si="9"/>
        <v>1123.979</v>
      </c>
      <c r="O108" s="2">
        <f t="shared" si="10"/>
        <v>264.96699999999998</v>
      </c>
      <c r="P108" s="2">
        <f t="shared" si="11"/>
        <v>175.614</v>
      </c>
      <c r="Q108" s="2">
        <f t="shared" si="12"/>
        <v>133.48699999999999</v>
      </c>
      <c r="R108" s="2">
        <f t="shared" si="13"/>
        <v>0.98822117471232274</v>
      </c>
      <c r="S108" s="2">
        <f t="shared" si="14"/>
        <v>0.95331237828419135</v>
      </c>
      <c r="T108" s="2">
        <f t="shared" si="15"/>
        <v>0.90383333208477235</v>
      </c>
      <c r="V108" s="2">
        <v>133.48699999999999</v>
      </c>
      <c r="Y108" s="2">
        <f t="shared" si="16"/>
        <v>133.48699999999999</v>
      </c>
    </row>
    <row r="109" spans="1:25" ht="15" x14ac:dyDescent="0.2">
      <c r="A109" s="1" t="s">
        <v>22</v>
      </c>
      <c r="B109" s="3">
        <v>16</v>
      </c>
      <c r="C109" s="1">
        <v>8.1</v>
      </c>
      <c r="D109" s="3">
        <v>0.18</v>
      </c>
      <c r="E109" s="3">
        <v>389.99</v>
      </c>
      <c r="F109" s="3">
        <v>76.247500000000002</v>
      </c>
      <c r="G109" s="3">
        <v>286.17500000000001</v>
      </c>
      <c r="H109" s="3">
        <v>297.37700000000001</v>
      </c>
      <c r="I109" s="3">
        <v>176.01900000000001</v>
      </c>
      <c r="J109" s="3">
        <v>255.84700000000001</v>
      </c>
      <c r="K109" s="3">
        <v>103.596</v>
      </c>
      <c r="L109" s="3">
        <v>115.869</v>
      </c>
      <c r="N109" s="2">
        <f t="shared" si="9"/>
        <v>1234.883</v>
      </c>
      <c r="O109" s="2">
        <f t="shared" si="10"/>
        <v>297.37700000000001</v>
      </c>
      <c r="P109" s="2">
        <f t="shared" si="11"/>
        <v>255.84700000000001</v>
      </c>
      <c r="Q109" s="2">
        <f t="shared" si="12"/>
        <v>115.869</v>
      </c>
      <c r="R109" s="2">
        <f t="shared" si="13"/>
        <v>0.96233064426636894</v>
      </c>
      <c r="S109" s="2">
        <f t="shared" si="14"/>
        <v>0.68798539752273824</v>
      </c>
      <c r="T109" s="2">
        <f t="shared" si="15"/>
        <v>0.8940786577945784</v>
      </c>
      <c r="V109" s="2">
        <v>115.869</v>
      </c>
      <c r="Y109" s="2">
        <f t="shared" si="16"/>
        <v>115.869</v>
      </c>
    </row>
    <row r="110" spans="1:25" ht="15" x14ac:dyDescent="0.2">
      <c r="A110" s="1" t="s">
        <v>22</v>
      </c>
      <c r="B110" s="3">
        <v>16</v>
      </c>
      <c r="C110" s="1">
        <v>8.1</v>
      </c>
      <c r="D110" s="3">
        <v>0.18</v>
      </c>
      <c r="E110" s="3">
        <v>357</v>
      </c>
      <c r="F110" s="3">
        <v>68</v>
      </c>
      <c r="G110" s="3">
        <v>295.09699999999998</v>
      </c>
      <c r="H110" s="3">
        <v>300.08100000000002</v>
      </c>
      <c r="I110" s="3">
        <v>153.90199999999999</v>
      </c>
      <c r="J110" s="3">
        <v>299.37900000000002</v>
      </c>
      <c r="K110" s="3">
        <v>121.268</v>
      </c>
      <c r="L110" s="3">
        <v>100.58</v>
      </c>
      <c r="N110" s="2">
        <f t="shared" si="9"/>
        <v>1270.3069999999998</v>
      </c>
      <c r="O110" s="2">
        <f t="shared" si="10"/>
        <v>300.08100000000002</v>
      </c>
      <c r="P110" s="2">
        <f t="shared" si="11"/>
        <v>299.37900000000002</v>
      </c>
      <c r="Q110" s="2">
        <f t="shared" si="12"/>
        <v>121.268</v>
      </c>
      <c r="R110" s="2">
        <f t="shared" si="13"/>
        <v>0.98339115105588149</v>
      </c>
      <c r="S110" s="2">
        <f t="shared" si="14"/>
        <v>0.51407079320860838</v>
      </c>
      <c r="T110" s="2">
        <f t="shared" si="15"/>
        <v>0.82940264538047959</v>
      </c>
      <c r="V110" s="2">
        <v>121.268</v>
      </c>
      <c r="Y110" s="2">
        <f t="shared" si="16"/>
        <v>121.268</v>
      </c>
    </row>
    <row r="111" spans="1:25" ht="15" x14ac:dyDescent="0.2">
      <c r="A111" s="1" t="s">
        <v>22</v>
      </c>
      <c r="B111" s="3">
        <v>16</v>
      </c>
      <c r="C111" s="1">
        <v>8.1</v>
      </c>
      <c r="D111" s="3">
        <v>0.18</v>
      </c>
      <c r="E111" s="3">
        <v>397.92</v>
      </c>
      <c r="F111" s="3">
        <v>78.23</v>
      </c>
      <c r="G111" s="3">
        <v>287.88</v>
      </c>
      <c r="H111" s="3">
        <v>285.96899999999999</v>
      </c>
      <c r="I111" s="3">
        <v>299.03300000000002</v>
      </c>
      <c r="J111" s="3">
        <v>284.90600000000001</v>
      </c>
      <c r="K111" s="3">
        <v>140.91200000000001</v>
      </c>
      <c r="L111" s="3">
        <v>143.64699999999999</v>
      </c>
      <c r="N111" s="2">
        <f t="shared" si="9"/>
        <v>1442.347</v>
      </c>
      <c r="O111" s="2">
        <f t="shared" si="10"/>
        <v>287.88</v>
      </c>
      <c r="P111" s="2">
        <f t="shared" si="11"/>
        <v>299.03300000000002</v>
      </c>
      <c r="Q111" s="2">
        <f t="shared" si="12"/>
        <v>143.64699999999999</v>
      </c>
      <c r="R111" s="2">
        <f t="shared" si="13"/>
        <v>0.9933618174239266</v>
      </c>
      <c r="S111" s="2">
        <f t="shared" si="14"/>
        <v>0.95275772239184298</v>
      </c>
      <c r="T111" s="2">
        <f t="shared" si="15"/>
        <v>0.98096027066350155</v>
      </c>
      <c r="V111" s="2">
        <v>143.64699999999999</v>
      </c>
      <c r="Y111" s="2">
        <f t="shared" si="16"/>
        <v>143.64699999999999</v>
      </c>
    </row>
    <row r="112" spans="1:25" ht="15" x14ac:dyDescent="0.2">
      <c r="A112" s="1" t="s">
        <v>22</v>
      </c>
      <c r="B112" s="3">
        <v>16</v>
      </c>
      <c r="C112" s="1">
        <v>8.1</v>
      </c>
      <c r="D112" s="3">
        <v>0.18</v>
      </c>
      <c r="E112" s="3">
        <v>394.43</v>
      </c>
      <c r="F112" s="3">
        <v>77.357500000000002</v>
      </c>
      <c r="G112" s="3">
        <v>554.56100000000004</v>
      </c>
      <c r="H112" s="3">
        <v>498.44900000000001</v>
      </c>
      <c r="I112" s="3">
        <v>254.18600000000001</v>
      </c>
      <c r="J112" s="3">
        <v>206.64699999999999</v>
      </c>
      <c r="K112" s="3">
        <v>168.876</v>
      </c>
      <c r="L112" s="3">
        <v>142.93</v>
      </c>
      <c r="N112" s="2">
        <f t="shared" si="9"/>
        <v>1825.6489999999999</v>
      </c>
      <c r="P112" s="2">
        <f t="shared" si="11"/>
        <v>254.18600000000001</v>
      </c>
      <c r="Q112" s="2">
        <f t="shared" si="12"/>
        <v>168.876</v>
      </c>
      <c r="R112" s="2">
        <f t="shared" si="13"/>
        <v>0.89881726266362039</v>
      </c>
      <c r="S112" s="2">
        <f t="shared" si="14"/>
        <v>0.81297553759845143</v>
      </c>
      <c r="T112" s="2">
        <f t="shared" si="15"/>
        <v>0.8463606433122528</v>
      </c>
      <c r="V112" s="2">
        <v>168.876</v>
      </c>
      <c r="Y112" s="2">
        <f t="shared" si="16"/>
        <v>168.876</v>
      </c>
    </row>
    <row r="113" spans="1:25" ht="15" x14ac:dyDescent="0.2">
      <c r="A113" s="1" t="s">
        <v>22</v>
      </c>
      <c r="B113" s="3">
        <v>16</v>
      </c>
      <c r="C113" s="1">
        <v>8.1</v>
      </c>
      <c r="D113" s="3">
        <v>0.18</v>
      </c>
      <c r="E113" s="3">
        <v>376.38</v>
      </c>
      <c r="F113" s="3">
        <v>72.844999999999999</v>
      </c>
      <c r="G113" s="3">
        <v>281.73700000000002</v>
      </c>
      <c r="H113" s="3">
        <v>283.23599999999999</v>
      </c>
      <c r="I113" s="3">
        <v>184.166</v>
      </c>
      <c r="J113" s="3">
        <v>184.71</v>
      </c>
      <c r="K113" s="3">
        <v>133.46100000000001</v>
      </c>
      <c r="L113" s="3">
        <v>103.00700000000001</v>
      </c>
      <c r="N113" s="2">
        <f t="shared" si="9"/>
        <v>1170.317</v>
      </c>
      <c r="O113" s="2">
        <f t="shared" si="10"/>
        <v>283.23599999999999</v>
      </c>
      <c r="P113" s="2">
        <f t="shared" si="11"/>
        <v>184.71</v>
      </c>
      <c r="Q113" s="2">
        <f t="shared" si="12"/>
        <v>133.46100000000001</v>
      </c>
      <c r="R113" s="2">
        <f t="shared" si="13"/>
        <v>0.99470759366747175</v>
      </c>
      <c r="S113" s="2">
        <f t="shared" si="14"/>
        <v>0.99705484272643596</v>
      </c>
      <c r="T113" s="2">
        <f t="shared" si="15"/>
        <v>0.77181348858468013</v>
      </c>
      <c r="V113" s="2">
        <v>133.46100000000001</v>
      </c>
      <c r="Y113" s="2">
        <f t="shared" si="16"/>
        <v>133.46100000000001</v>
      </c>
    </row>
    <row r="114" spans="1:25" ht="15" x14ac:dyDescent="0.2">
      <c r="A114" s="1" t="s">
        <v>22</v>
      </c>
      <c r="B114" s="3">
        <v>16</v>
      </c>
      <c r="C114" s="1">
        <v>8.1</v>
      </c>
      <c r="D114" s="3">
        <v>0.18</v>
      </c>
      <c r="E114" s="3">
        <v>386.83</v>
      </c>
      <c r="F114" s="3">
        <v>75.457499999999996</v>
      </c>
      <c r="G114" s="3">
        <v>304.45699999999999</v>
      </c>
      <c r="H114" s="3">
        <v>286.541</v>
      </c>
      <c r="I114" s="3">
        <v>167.16300000000001</v>
      </c>
      <c r="J114" s="3">
        <v>203.91300000000001</v>
      </c>
      <c r="K114" s="3">
        <v>103.893</v>
      </c>
      <c r="L114" s="3">
        <v>96.736999999999995</v>
      </c>
      <c r="N114" s="2">
        <f t="shared" si="9"/>
        <v>1162.7040000000002</v>
      </c>
      <c r="O114" s="2">
        <f t="shared" si="10"/>
        <v>304.45699999999999</v>
      </c>
      <c r="P114" s="2">
        <f t="shared" si="11"/>
        <v>203.91300000000001</v>
      </c>
      <c r="Q114" s="2">
        <f t="shared" si="12"/>
        <v>103.893</v>
      </c>
      <c r="R114" s="2">
        <f t="shared" si="13"/>
        <v>0.94115425166772315</v>
      </c>
      <c r="S114" s="2">
        <f t="shared" si="14"/>
        <v>0.8197760809757102</v>
      </c>
      <c r="T114" s="2">
        <f t="shared" si="15"/>
        <v>0.93112144225308724</v>
      </c>
      <c r="V114" s="2">
        <v>103.893</v>
      </c>
      <c r="Y114" s="2">
        <f t="shared" si="16"/>
        <v>103.893</v>
      </c>
    </row>
    <row r="115" spans="1:25" ht="15" x14ac:dyDescent="0.2">
      <c r="A115" s="1" t="s">
        <v>22</v>
      </c>
      <c r="B115" s="3">
        <v>16</v>
      </c>
      <c r="C115" s="1">
        <v>8.1</v>
      </c>
      <c r="D115" s="3">
        <v>0.18</v>
      </c>
      <c r="E115" s="3">
        <v>406.46</v>
      </c>
      <c r="F115" s="3">
        <v>80.364999999999995</v>
      </c>
      <c r="G115" s="3">
        <v>295.81900000000002</v>
      </c>
      <c r="H115" s="3">
        <v>292.44900000000001</v>
      </c>
      <c r="I115" s="3">
        <v>281.80599999999998</v>
      </c>
      <c r="J115" s="3">
        <v>209.57400000000001</v>
      </c>
      <c r="K115" s="3">
        <v>210.93299999999999</v>
      </c>
      <c r="L115" s="3">
        <v>148.40299999999999</v>
      </c>
      <c r="N115" s="2">
        <f t="shared" si="9"/>
        <v>1438.9840000000002</v>
      </c>
      <c r="O115" s="2">
        <f t="shared" si="10"/>
        <v>295.81900000000002</v>
      </c>
      <c r="P115" s="2">
        <f t="shared" si="11"/>
        <v>281.80599999999998</v>
      </c>
      <c r="Q115" s="2">
        <f t="shared" si="12"/>
        <v>210.93299999999999</v>
      </c>
      <c r="R115" s="2">
        <f t="shared" si="13"/>
        <v>0.9886078987488971</v>
      </c>
      <c r="S115" s="2">
        <f t="shared" si="14"/>
        <v>0.74368182366592628</v>
      </c>
      <c r="T115" s="2">
        <f t="shared" si="15"/>
        <v>0.70355515732483775</v>
      </c>
      <c r="V115" s="2">
        <v>210.93299999999999</v>
      </c>
      <c r="Y115" s="2">
        <f t="shared" si="16"/>
        <v>210.93299999999999</v>
      </c>
    </row>
    <row r="116" spans="1:25" ht="15" x14ac:dyDescent="0.2">
      <c r="A116" s="1" t="s">
        <v>22</v>
      </c>
      <c r="B116" s="3">
        <v>16</v>
      </c>
      <c r="C116" s="1">
        <v>8.1</v>
      </c>
      <c r="D116" s="3">
        <v>0.18</v>
      </c>
      <c r="E116" s="3">
        <v>406.13</v>
      </c>
      <c r="F116" s="3">
        <v>80.282499999999999</v>
      </c>
      <c r="G116" s="3">
        <v>304.76</v>
      </c>
      <c r="H116" s="3">
        <v>301.43799999999999</v>
      </c>
      <c r="I116" s="3">
        <v>255.20699999999999</v>
      </c>
      <c r="J116" s="3">
        <v>247.339</v>
      </c>
      <c r="K116" s="3">
        <v>190.137</v>
      </c>
      <c r="L116" s="3">
        <v>206.04400000000001</v>
      </c>
      <c r="N116" s="2">
        <f t="shared" si="9"/>
        <v>1504.925</v>
      </c>
      <c r="O116" s="2">
        <f t="shared" si="10"/>
        <v>304.76</v>
      </c>
      <c r="P116" s="2">
        <f t="shared" si="11"/>
        <v>255.20699999999999</v>
      </c>
      <c r="Q116" s="2">
        <f t="shared" si="12"/>
        <v>206.04400000000001</v>
      </c>
      <c r="R116" s="2">
        <f t="shared" si="13"/>
        <v>0.98909961937262103</v>
      </c>
      <c r="S116" s="2">
        <f t="shared" si="14"/>
        <v>0.9691701246439165</v>
      </c>
      <c r="T116" s="2">
        <f t="shared" si="15"/>
        <v>0.92279804313641745</v>
      </c>
      <c r="V116" s="2">
        <v>206.04400000000001</v>
      </c>
      <c r="Y116" s="2">
        <f t="shared" si="16"/>
        <v>206.04400000000001</v>
      </c>
    </row>
    <row r="117" spans="1:25" ht="15" x14ac:dyDescent="0.2">
      <c r="A117" s="1" t="s">
        <v>22</v>
      </c>
      <c r="B117" s="3">
        <v>16</v>
      </c>
      <c r="C117" s="1">
        <v>8.1</v>
      </c>
      <c r="D117" s="3">
        <v>0.18</v>
      </c>
      <c r="E117" s="3">
        <v>385.14</v>
      </c>
      <c r="F117" s="3">
        <v>75.034999999999997</v>
      </c>
      <c r="G117" s="3">
        <v>276.84100000000001</v>
      </c>
      <c r="H117" s="3">
        <v>278.17</v>
      </c>
      <c r="I117" s="3">
        <v>254.727</v>
      </c>
      <c r="J117" s="3">
        <v>274.56900000000002</v>
      </c>
      <c r="K117" s="3">
        <v>131.07499999999999</v>
      </c>
      <c r="L117" s="3">
        <v>130.636</v>
      </c>
      <c r="N117" s="2">
        <f t="shared" si="9"/>
        <v>1346.018</v>
      </c>
      <c r="O117" s="2">
        <f t="shared" si="10"/>
        <v>278.17</v>
      </c>
      <c r="P117" s="2">
        <f t="shared" si="11"/>
        <v>274.56900000000002</v>
      </c>
      <c r="Q117" s="2">
        <f t="shared" si="12"/>
        <v>131.07499999999999</v>
      </c>
      <c r="R117" s="2">
        <f t="shared" si="13"/>
        <v>0.99522234604738102</v>
      </c>
      <c r="S117" s="2">
        <f t="shared" si="14"/>
        <v>0.92773401221550866</v>
      </c>
      <c r="T117" s="2">
        <f t="shared" si="15"/>
        <v>0.99665077245851619</v>
      </c>
      <c r="V117" s="2">
        <v>131.07499999999999</v>
      </c>
      <c r="Y117" s="2">
        <f t="shared" si="16"/>
        <v>131.07499999999999</v>
      </c>
    </row>
    <row r="118" spans="1:25" ht="15" x14ac:dyDescent="0.2">
      <c r="A118" s="1" t="s">
        <v>22</v>
      </c>
      <c r="B118" s="3">
        <v>20</v>
      </c>
      <c r="C118" s="1">
        <v>8.1</v>
      </c>
      <c r="D118" s="3">
        <v>0.18</v>
      </c>
      <c r="E118" s="3">
        <v>384.07</v>
      </c>
      <c r="F118" s="3">
        <v>74.767499999999998</v>
      </c>
      <c r="G118" s="3">
        <v>269.91500000000002</v>
      </c>
      <c r="H118" s="3">
        <v>267.26900000000001</v>
      </c>
      <c r="I118" s="3">
        <v>256.92599999999999</v>
      </c>
      <c r="J118" s="3">
        <v>263.70299999999997</v>
      </c>
      <c r="K118" s="3">
        <v>191.096</v>
      </c>
      <c r="L118" s="3">
        <v>195.38300000000001</v>
      </c>
      <c r="N118" s="2">
        <f t="shared" si="9"/>
        <v>1444.2919999999999</v>
      </c>
      <c r="O118" s="2">
        <f t="shared" si="10"/>
        <v>269.91500000000002</v>
      </c>
      <c r="P118" s="2">
        <f t="shared" si="11"/>
        <v>263.70299999999997</v>
      </c>
      <c r="Q118" s="2">
        <f t="shared" si="12"/>
        <v>195.38300000000001</v>
      </c>
      <c r="R118" s="2">
        <f t="shared" si="13"/>
        <v>0.99019691384324693</v>
      </c>
      <c r="S118" s="2">
        <f t="shared" si="14"/>
        <v>0.97430063366742137</v>
      </c>
      <c r="T118" s="2">
        <f t="shared" si="15"/>
        <v>0.97805848001105522</v>
      </c>
      <c r="V118" s="2">
        <v>195.38300000000001</v>
      </c>
      <c r="Y118" s="2">
        <f t="shared" si="16"/>
        <v>195.38300000000001</v>
      </c>
    </row>
    <row r="119" spans="1:25" ht="15" x14ac:dyDescent="0.2">
      <c r="A119" s="1" t="s">
        <v>22</v>
      </c>
      <c r="B119" s="3">
        <v>20</v>
      </c>
      <c r="C119" s="1">
        <v>8.1</v>
      </c>
      <c r="D119" s="3">
        <v>0.18</v>
      </c>
      <c r="E119" s="3">
        <v>321.63</v>
      </c>
      <c r="F119" s="3">
        <v>59.157499999999999</v>
      </c>
      <c r="G119" s="3">
        <v>210.601</v>
      </c>
      <c r="H119" s="3">
        <v>213.48599999999999</v>
      </c>
      <c r="I119" s="3">
        <v>250.63200000000001</v>
      </c>
      <c r="J119" s="3">
        <v>248.06800000000001</v>
      </c>
      <c r="K119" s="3">
        <v>165.649</v>
      </c>
      <c r="L119" s="3">
        <v>164.86099999999999</v>
      </c>
      <c r="N119" s="2">
        <f t="shared" si="9"/>
        <v>1253.297</v>
      </c>
      <c r="O119" s="2">
        <f t="shared" si="10"/>
        <v>213.48599999999999</v>
      </c>
      <c r="P119" s="2">
        <f t="shared" si="11"/>
        <v>250.63200000000001</v>
      </c>
      <c r="Q119" s="2">
        <f t="shared" si="12"/>
        <v>165.649</v>
      </c>
      <c r="R119" s="2">
        <f t="shared" si="13"/>
        <v>0.98648623328930241</v>
      </c>
      <c r="S119" s="2">
        <f t="shared" si="14"/>
        <v>0.98976986178939641</v>
      </c>
      <c r="T119" s="2">
        <f t="shared" si="15"/>
        <v>0.99524295347391167</v>
      </c>
      <c r="V119" s="2">
        <v>165.649</v>
      </c>
      <c r="Y119" s="2">
        <f t="shared" si="16"/>
        <v>165.649</v>
      </c>
    </row>
    <row r="120" spans="1:25" ht="15" x14ac:dyDescent="0.2">
      <c r="A120" s="1" t="s">
        <v>22</v>
      </c>
      <c r="B120" s="3">
        <v>20</v>
      </c>
      <c r="C120" s="1">
        <v>8.1</v>
      </c>
      <c r="D120" s="3">
        <v>0.18</v>
      </c>
      <c r="E120" s="3">
        <v>398.77</v>
      </c>
      <c r="F120" s="3">
        <v>78.442499999999995</v>
      </c>
      <c r="G120" s="3">
        <v>295.37799999999999</v>
      </c>
      <c r="H120" s="3">
        <v>296.62</v>
      </c>
      <c r="I120" s="3">
        <v>295.77199999999999</v>
      </c>
      <c r="J120" s="3">
        <v>300.92099999999999</v>
      </c>
      <c r="K120" s="3">
        <v>177.19499999999999</v>
      </c>
      <c r="L120" s="3">
        <v>193.09200000000001</v>
      </c>
      <c r="N120" s="2">
        <f t="shared" si="9"/>
        <v>1558.9780000000001</v>
      </c>
      <c r="O120" s="2">
        <f t="shared" si="10"/>
        <v>296.62</v>
      </c>
      <c r="P120" s="2">
        <f t="shared" si="11"/>
        <v>300.92099999999999</v>
      </c>
      <c r="Q120" s="2">
        <f t="shared" si="12"/>
        <v>193.09200000000001</v>
      </c>
      <c r="R120" s="2">
        <f t="shared" si="13"/>
        <v>0.99581282448924546</v>
      </c>
      <c r="S120" s="2">
        <f t="shared" si="14"/>
        <v>0.98288919683239118</v>
      </c>
      <c r="T120" s="2">
        <f t="shared" si="15"/>
        <v>0.91767136908831015</v>
      </c>
      <c r="V120" s="2">
        <v>193.09200000000001</v>
      </c>
      <c r="Y120" s="2">
        <f t="shared" si="16"/>
        <v>193.09200000000001</v>
      </c>
    </row>
    <row r="121" spans="1:25" ht="15" x14ac:dyDescent="0.2">
      <c r="A121" s="1" t="s">
        <v>22</v>
      </c>
      <c r="B121" s="3">
        <v>20</v>
      </c>
      <c r="C121" s="1">
        <v>8.1</v>
      </c>
      <c r="D121" s="3">
        <v>0.18</v>
      </c>
      <c r="E121" s="3">
        <v>365.19</v>
      </c>
      <c r="F121" s="3">
        <v>70.047499999999999</v>
      </c>
      <c r="G121" s="3">
        <v>253.18199999999999</v>
      </c>
      <c r="H121" s="3">
        <v>254.36</v>
      </c>
      <c r="I121" s="3">
        <v>315.87700000000001</v>
      </c>
      <c r="J121" s="3">
        <v>321.85700000000003</v>
      </c>
      <c r="K121" s="3">
        <v>200.98699999999999</v>
      </c>
      <c r="L121" s="3">
        <v>200.49799999999999</v>
      </c>
      <c r="N121" s="2">
        <f t="shared" si="9"/>
        <v>1546.7610000000002</v>
      </c>
      <c r="O121" s="2">
        <f t="shared" si="10"/>
        <v>254.36</v>
      </c>
      <c r="P121" s="2">
        <f t="shared" si="11"/>
        <v>321.85700000000003</v>
      </c>
      <c r="Q121" s="2">
        <f t="shared" si="12"/>
        <v>200.98699999999999</v>
      </c>
      <c r="R121" s="2">
        <f t="shared" si="13"/>
        <v>0.99536876867431978</v>
      </c>
      <c r="S121" s="2">
        <f t="shared" si="14"/>
        <v>0.98142032020431424</v>
      </c>
      <c r="T121" s="2">
        <f t="shared" si="15"/>
        <v>0.9975670068213367</v>
      </c>
      <c r="V121" s="2">
        <v>200.98699999999999</v>
      </c>
      <c r="Y121" s="2">
        <f t="shared" si="16"/>
        <v>200.98699999999999</v>
      </c>
    </row>
    <row r="122" spans="1:25" ht="15" x14ac:dyDescent="0.2">
      <c r="A122" s="1" t="s">
        <v>22</v>
      </c>
      <c r="B122" s="3">
        <v>20</v>
      </c>
      <c r="C122" s="1">
        <v>8.1</v>
      </c>
      <c r="D122" s="3">
        <v>0.18</v>
      </c>
      <c r="E122" s="3">
        <v>386.85</v>
      </c>
      <c r="F122" s="3">
        <v>75.462500000000006</v>
      </c>
      <c r="G122" s="3">
        <v>291.75</v>
      </c>
      <c r="H122" s="3">
        <v>283.88099999999997</v>
      </c>
      <c r="I122" s="3">
        <v>291.67500000000001</v>
      </c>
      <c r="J122" s="3">
        <v>289.98</v>
      </c>
      <c r="K122" s="3">
        <v>193.375</v>
      </c>
      <c r="L122" s="3">
        <v>206.554</v>
      </c>
      <c r="N122" s="2">
        <f t="shared" si="9"/>
        <v>1557.2150000000001</v>
      </c>
      <c r="O122" s="2">
        <f t="shared" si="10"/>
        <v>291.75</v>
      </c>
      <c r="P122" s="2">
        <f t="shared" si="11"/>
        <v>291.67500000000001</v>
      </c>
      <c r="Q122" s="2">
        <f t="shared" si="12"/>
        <v>206.554</v>
      </c>
      <c r="R122" s="2">
        <f t="shared" si="13"/>
        <v>0.97302827763496136</v>
      </c>
      <c r="S122" s="2">
        <f t="shared" si="14"/>
        <v>0.99418873746464387</v>
      </c>
      <c r="T122" s="2">
        <f t="shared" si="15"/>
        <v>0.93619586161488033</v>
      </c>
      <c r="V122" s="2">
        <v>206.554</v>
      </c>
      <c r="Y122" s="2">
        <f t="shared" si="16"/>
        <v>206.554</v>
      </c>
    </row>
    <row r="123" spans="1:25" ht="15" x14ac:dyDescent="0.2">
      <c r="A123" s="1" t="s">
        <v>22</v>
      </c>
      <c r="B123" s="3">
        <v>20</v>
      </c>
      <c r="C123" s="1">
        <v>8.1</v>
      </c>
      <c r="D123" s="3">
        <v>0.18</v>
      </c>
      <c r="E123" s="3">
        <v>372.05</v>
      </c>
      <c r="F123" s="3">
        <v>71.762500000000003</v>
      </c>
      <c r="G123" s="3">
        <v>255.392</v>
      </c>
      <c r="H123" s="3">
        <v>265.92399999999998</v>
      </c>
      <c r="I123" s="3">
        <v>241.78399999999999</v>
      </c>
      <c r="J123" s="3">
        <v>229.77600000000001</v>
      </c>
      <c r="K123" s="3">
        <v>198.59700000000001</v>
      </c>
      <c r="L123" s="3">
        <v>176.56899999999999</v>
      </c>
      <c r="N123" s="2">
        <f t="shared" si="9"/>
        <v>1368.0419999999999</v>
      </c>
      <c r="O123" s="2">
        <f t="shared" si="10"/>
        <v>265.92399999999998</v>
      </c>
      <c r="P123" s="2">
        <f t="shared" si="11"/>
        <v>241.78399999999999</v>
      </c>
      <c r="Q123" s="2">
        <f t="shared" si="12"/>
        <v>198.59700000000001</v>
      </c>
      <c r="R123" s="2">
        <f t="shared" si="13"/>
        <v>0.96039469923737619</v>
      </c>
      <c r="S123" s="2">
        <f t="shared" si="14"/>
        <v>0.95033583694537282</v>
      </c>
      <c r="T123" s="2">
        <f t="shared" si="15"/>
        <v>0.88908190959581457</v>
      </c>
      <c r="V123" s="2">
        <v>198.59700000000001</v>
      </c>
      <c r="Y123" s="2">
        <f t="shared" si="16"/>
        <v>198.59700000000001</v>
      </c>
    </row>
    <row r="124" spans="1:25" ht="15" x14ac:dyDescent="0.2">
      <c r="A124" s="1" t="s">
        <v>22</v>
      </c>
      <c r="B124" s="3">
        <v>20</v>
      </c>
      <c r="C124" s="1">
        <v>8.1</v>
      </c>
      <c r="D124" s="3">
        <v>0.18</v>
      </c>
      <c r="E124" s="3">
        <v>403.28</v>
      </c>
      <c r="F124" s="3">
        <v>79.569999999999993</v>
      </c>
      <c r="G124" s="3">
        <v>276.86099999999999</v>
      </c>
      <c r="H124" s="3">
        <v>277.33300000000003</v>
      </c>
      <c r="I124" s="3">
        <v>265.166</v>
      </c>
      <c r="J124" s="3">
        <v>295.81900000000002</v>
      </c>
      <c r="K124" s="3">
        <v>218.02799999999999</v>
      </c>
      <c r="L124" s="3">
        <v>241.821</v>
      </c>
      <c r="N124" s="2">
        <f t="shared" si="9"/>
        <v>1575.0279999999998</v>
      </c>
      <c r="O124" s="2">
        <f t="shared" si="10"/>
        <v>277.33300000000003</v>
      </c>
      <c r="P124" s="2">
        <f t="shared" si="11"/>
        <v>295.81900000000002</v>
      </c>
      <c r="Q124" s="2">
        <f t="shared" si="12"/>
        <v>241.821</v>
      </c>
      <c r="R124" s="2">
        <f t="shared" si="13"/>
        <v>0.99829807487749367</v>
      </c>
      <c r="S124" s="2">
        <f t="shared" si="14"/>
        <v>0.89637920485161526</v>
      </c>
      <c r="T124" s="2">
        <f t="shared" si="15"/>
        <v>0.90160904139838971</v>
      </c>
      <c r="V124" s="2">
        <v>241.821</v>
      </c>
      <c r="Y124" s="2">
        <f t="shared" si="16"/>
        <v>241.821</v>
      </c>
    </row>
    <row r="125" spans="1:25" ht="15" x14ac:dyDescent="0.2">
      <c r="A125" s="1" t="s">
        <v>22</v>
      </c>
      <c r="B125" s="3">
        <v>20</v>
      </c>
      <c r="C125" s="1">
        <v>8.1</v>
      </c>
      <c r="D125" s="3">
        <v>0.18</v>
      </c>
      <c r="E125" s="3">
        <v>376.91</v>
      </c>
      <c r="F125" s="3">
        <v>72.977500000000006</v>
      </c>
      <c r="G125" s="3">
        <v>261.928</v>
      </c>
      <c r="H125" s="3">
        <v>257.13400000000001</v>
      </c>
      <c r="I125" s="3">
        <v>243.73099999999999</v>
      </c>
      <c r="J125" s="3">
        <v>224.04</v>
      </c>
      <c r="K125" s="3">
        <v>206.738</v>
      </c>
      <c r="L125" s="3">
        <v>209.17699999999999</v>
      </c>
      <c r="N125" s="2">
        <f t="shared" si="9"/>
        <v>1402.7479999999998</v>
      </c>
      <c r="O125" s="2">
        <f t="shared" si="10"/>
        <v>261.928</v>
      </c>
      <c r="P125" s="2">
        <f t="shared" si="11"/>
        <v>243.73099999999999</v>
      </c>
      <c r="Q125" s="2">
        <f t="shared" si="12"/>
        <v>209.17699999999999</v>
      </c>
      <c r="R125" s="2">
        <f t="shared" si="13"/>
        <v>0.98169726031581206</v>
      </c>
      <c r="S125" s="2">
        <f t="shared" si="14"/>
        <v>0.91921011278827891</v>
      </c>
      <c r="T125" s="2">
        <f t="shared" si="15"/>
        <v>0.98834001826204609</v>
      </c>
      <c r="V125" s="2">
        <v>209.17699999999999</v>
      </c>
      <c r="Y125" s="2">
        <f t="shared" si="16"/>
        <v>209.17699999999999</v>
      </c>
    </row>
    <row r="126" spans="1:25" ht="15" x14ac:dyDescent="0.2">
      <c r="A126" s="1" t="s">
        <v>22</v>
      </c>
      <c r="B126" s="3">
        <v>20</v>
      </c>
      <c r="C126" s="1">
        <v>8.1</v>
      </c>
      <c r="D126" s="3">
        <v>0.18</v>
      </c>
      <c r="E126" s="3">
        <v>387.6</v>
      </c>
      <c r="F126" s="3">
        <v>75.650000000000006</v>
      </c>
      <c r="G126" s="3">
        <v>288.315</v>
      </c>
      <c r="H126" s="3">
        <v>315.48700000000002</v>
      </c>
      <c r="I126" s="3">
        <v>342.029</v>
      </c>
      <c r="J126" s="3">
        <v>313.18200000000002</v>
      </c>
      <c r="K126" s="3">
        <v>175.21100000000001</v>
      </c>
      <c r="L126" s="3">
        <v>150.16499999999999</v>
      </c>
      <c r="N126" s="2">
        <f t="shared" si="9"/>
        <v>1584.3889999999999</v>
      </c>
      <c r="O126" s="2">
        <f t="shared" si="10"/>
        <v>315.48700000000002</v>
      </c>
      <c r="P126" s="2">
        <f t="shared" si="11"/>
        <v>342.029</v>
      </c>
      <c r="Q126" s="2">
        <f t="shared" si="12"/>
        <v>175.21100000000001</v>
      </c>
      <c r="R126" s="2">
        <f t="shared" si="13"/>
        <v>0.91387283786653639</v>
      </c>
      <c r="S126" s="2">
        <f t="shared" si="14"/>
        <v>0.91565919848901711</v>
      </c>
      <c r="T126" s="2">
        <f t="shared" si="15"/>
        <v>0.85705235401886859</v>
      </c>
      <c r="V126" s="2">
        <v>175.21100000000001</v>
      </c>
      <c r="Y126" s="2">
        <f t="shared" si="16"/>
        <v>175.21100000000001</v>
      </c>
    </row>
    <row r="127" spans="1:25" ht="15" x14ac:dyDescent="0.2">
      <c r="A127" s="1" t="s">
        <v>22</v>
      </c>
      <c r="B127" s="3">
        <v>20</v>
      </c>
      <c r="C127" s="1">
        <v>8.1</v>
      </c>
      <c r="D127" s="3">
        <v>0.18</v>
      </c>
      <c r="E127" s="3">
        <v>391.15</v>
      </c>
      <c r="F127" s="3">
        <v>76.537499999999994</v>
      </c>
      <c r="G127" s="3">
        <v>266.96600000000001</v>
      </c>
      <c r="H127" s="3">
        <v>264.08800000000002</v>
      </c>
      <c r="I127" s="3">
        <v>197.16</v>
      </c>
      <c r="J127" s="3">
        <v>159.80099999999999</v>
      </c>
      <c r="K127" s="3">
        <v>176.86600000000001</v>
      </c>
      <c r="L127" s="3">
        <v>135.089</v>
      </c>
      <c r="N127" s="2">
        <f t="shared" si="9"/>
        <v>1199.97</v>
      </c>
      <c r="O127" s="2">
        <f t="shared" si="10"/>
        <v>266.96600000000001</v>
      </c>
      <c r="P127" s="2">
        <f t="shared" si="11"/>
        <v>197.16</v>
      </c>
      <c r="Q127" s="2">
        <f t="shared" si="12"/>
        <v>176.86600000000001</v>
      </c>
      <c r="R127" s="2">
        <f t="shared" si="13"/>
        <v>0.98921960099787998</v>
      </c>
      <c r="S127" s="2">
        <f t="shared" si="14"/>
        <v>0.8105143031040779</v>
      </c>
      <c r="T127" s="2">
        <f t="shared" si="15"/>
        <v>0.76379292797937415</v>
      </c>
      <c r="V127" s="2">
        <v>176.86600000000001</v>
      </c>
      <c r="Y127" s="2">
        <f t="shared" si="16"/>
        <v>176.86600000000001</v>
      </c>
    </row>
    <row r="128" spans="1:25" ht="15" x14ac:dyDescent="0.2">
      <c r="A128" s="1" t="s">
        <v>22</v>
      </c>
      <c r="B128" s="3">
        <v>24</v>
      </c>
      <c r="C128" s="1">
        <v>8.1</v>
      </c>
      <c r="D128" s="3">
        <v>0.18</v>
      </c>
      <c r="E128" s="3">
        <v>379.92</v>
      </c>
      <c r="F128" s="3">
        <v>73.73</v>
      </c>
      <c r="G128" s="3">
        <v>266.47300000000001</v>
      </c>
      <c r="H128" s="3">
        <v>276.58600000000001</v>
      </c>
      <c r="I128" s="3">
        <v>139.232</v>
      </c>
      <c r="J128" s="3">
        <v>145.624</v>
      </c>
      <c r="K128" s="3">
        <v>156.27099999999999</v>
      </c>
      <c r="L128" s="3">
        <v>154.9</v>
      </c>
      <c r="N128" s="2">
        <f t="shared" si="9"/>
        <v>1139.086</v>
      </c>
      <c r="O128" s="2">
        <f t="shared" si="10"/>
        <v>276.58600000000001</v>
      </c>
      <c r="P128" s="2">
        <f t="shared" si="11"/>
        <v>145.624</v>
      </c>
      <c r="Q128" s="2">
        <f t="shared" si="12"/>
        <v>156.27099999999999</v>
      </c>
      <c r="R128" s="2">
        <f t="shared" si="13"/>
        <v>0.96343632721829742</v>
      </c>
      <c r="S128" s="2">
        <f t="shared" si="14"/>
        <v>0.95610613635115094</v>
      </c>
      <c r="T128" s="2">
        <f t="shared" si="15"/>
        <v>0.9912267791208863</v>
      </c>
      <c r="V128" s="2">
        <v>156.27099999999999</v>
      </c>
      <c r="Y128" s="2">
        <f t="shared" si="16"/>
        <v>156.27099999999999</v>
      </c>
    </row>
    <row r="129" spans="1:26" ht="15" x14ac:dyDescent="0.2">
      <c r="A129" s="1" t="s">
        <v>22</v>
      </c>
      <c r="B129" s="3">
        <v>24</v>
      </c>
      <c r="C129" s="1">
        <v>8.1</v>
      </c>
      <c r="D129" s="3">
        <v>0.18</v>
      </c>
      <c r="E129" s="3">
        <v>357.88</v>
      </c>
      <c r="F129" s="3">
        <v>68.22</v>
      </c>
      <c r="G129" s="3">
        <v>260.03500000000003</v>
      </c>
      <c r="H129" s="3">
        <v>261.85700000000003</v>
      </c>
      <c r="I129" s="3">
        <v>106.36499999999999</v>
      </c>
      <c r="J129" s="3">
        <v>109.623</v>
      </c>
      <c r="K129" s="3">
        <v>135.46799999999999</v>
      </c>
      <c r="L129" s="3">
        <v>149.75399999999999</v>
      </c>
      <c r="N129" s="2">
        <f t="shared" si="9"/>
        <v>1023.1020000000001</v>
      </c>
      <c r="O129" s="2">
        <f t="shared" si="10"/>
        <v>261.85700000000003</v>
      </c>
      <c r="P129" s="2">
        <f t="shared" si="11"/>
        <v>109.623</v>
      </c>
      <c r="Q129" s="2">
        <f t="shared" si="12"/>
        <v>149.75399999999999</v>
      </c>
      <c r="R129" s="2">
        <f t="shared" si="13"/>
        <v>0.99304200384179153</v>
      </c>
      <c r="S129" s="2">
        <f t="shared" si="14"/>
        <v>0.97027995949755064</v>
      </c>
      <c r="T129" s="2">
        <f t="shared" si="15"/>
        <v>0.90460354982170754</v>
      </c>
      <c r="V129" s="2">
        <v>149.75399999999999</v>
      </c>
      <c r="Y129" s="2">
        <f t="shared" si="16"/>
        <v>149.75399999999999</v>
      </c>
    </row>
    <row r="130" spans="1:26" ht="15" x14ac:dyDescent="0.2">
      <c r="A130" s="1" t="s">
        <v>22</v>
      </c>
      <c r="B130" s="3">
        <v>24</v>
      </c>
      <c r="C130" s="1">
        <v>8.1</v>
      </c>
      <c r="D130" s="3">
        <v>0.18</v>
      </c>
      <c r="E130" s="3">
        <v>343.37</v>
      </c>
      <c r="F130" s="3">
        <v>64.592500000000001</v>
      </c>
      <c r="G130" s="3">
        <v>250.08099999999999</v>
      </c>
      <c r="H130" s="3">
        <v>254.291</v>
      </c>
      <c r="I130" s="3">
        <v>101.387</v>
      </c>
      <c r="J130" s="3">
        <v>105.71</v>
      </c>
      <c r="K130" s="3">
        <v>118.187</v>
      </c>
      <c r="L130" s="3">
        <v>99.528000000000006</v>
      </c>
      <c r="N130" s="2">
        <f t="shared" si="9"/>
        <v>929.18400000000008</v>
      </c>
      <c r="O130" s="2">
        <f t="shared" si="10"/>
        <v>254.291</v>
      </c>
      <c r="P130" s="2">
        <f t="shared" si="11"/>
        <v>105.71</v>
      </c>
      <c r="Q130" s="2">
        <f t="shared" si="12"/>
        <v>118.187</v>
      </c>
      <c r="R130" s="2">
        <f t="shared" si="13"/>
        <v>0.98344416436287552</v>
      </c>
      <c r="S130" s="2">
        <f t="shared" si="14"/>
        <v>0.95910509885535911</v>
      </c>
      <c r="T130" s="2">
        <f t="shared" si="15"/>
        <v>0.84212307614204618</v>
      </c>
      <c r="V130" s="2">
        <v>118.187</v>
      </c>
      <c r="Y130" s="2">
        <f t="shared" si="16"/>
        <v>118.187</v>
      </c>
    </row>
    <row r="131" spans="1:26" ht="15" x14ac:dyDescent="0.2">
      <c r="A131" s="1" t="s">
        <v>22</v>
      </c>
      <c r="B131" s="3">
        <v>24</v>
      </c>
      <c r="C131" s="1">
        <v>8.1</v>
      </c>
      <c r="D131" s="3">
        <v>0.18</v>
      </c>
      <c r="E131" s="3">
        <v>337.54</v>
      </c>
      <c r="F131" s="3">
        <v>63.135000000000005</v>
      </c>
      <c r="G131" s="3">
        <v>250.04499999999999</v>
      </c>
      <c r="H131" s="3">
        <v>251.80600000000001</v>
      </c>
      <c r="I131" s="3">
        <v>84.463999999999999</v>
      </c>
      <c r="J131" s="3">
        <v>113.151</v>
      </c>
      <c r="K131" s="3">
        <v>98.501000000000005</v>
      </c>
      <c r="L131" s="3">
        <v>97.83</v>
      </c>
      <c r="N131" s="2">
        <f t="shared" ref="N131:N134" si="17">SUM(G131:L131)</f>
        <v>895.79700000000003</v>
      </c>
      <c r="O131" s="2">
        <f t="shared" ref="O131:O134" si="18">MAX(G131:H131)</f>
        <v>251.80600000000001</v>
      </c>
      <c r="P131" s="2">
        <f t="shared" ref="P131:P134" si="19">MAX(I131:J131)</f>
        <v>113.151</v>
      </c>
      <c r="Q131" s="2">
        <f t="shared" ref="Q131:Q134" si="20">MAX(K131:L131)</f>
        <v>98.501000000000005</v>
      </c>
      <c r="R131" s="2">
        <f t="shared" ref="R131:R134" si="21">MIN(G131:H131)/MAX(G131:H131)</f>
        <v>0.9930065208930684</v>
      </c>
      <c r="S131" s="2">
        <f t="shared" ref="S131:S134" si="22">MIN(I131:J131)/MAX(I131:J131)</f>
        <v>0.74647152919549986</v>
      </c>
      <c r="T131" s="2">
        <f t="shared" ref="T131:T134" si="23">MIN(K131:L131)/MAX(K131:L131)</f>
        <v>0.99318788641739675</v>
      </c>
      <c r="V131" s="2">
        <v>98.501000000000005</v>
      </c>
      <c r="Y131" s="2">
        <f t="shared" si="16"/>
        <v>98.501000000000005</v>
      </c>
    </row>
    <row r="132" spans="1:26" ht="15" x14ac:dyDescent="0.2">
      <c r="A132" s="1" t="s">
        <v>22</v>
      </c>
      <c r="B132" s="3">
        <v>24</v>
      </c>
      <c r="C132" s="1">
        <v>8.1</v>
      </c>
      <c r="D132" s="3">
        <v>0.18</v>
      </c>
      <c r="E132" s="3">
        <v>363.07</v>
      </c>
      <c r="F132" s="3">
        <v>69.517499999999998</v>
      </c>
      <c r="G132" s="3">
        <v>275.52300000000002</v>
      </c>
      <c r="H132" s="3">
        <v>279.75299999999999</v>
      </c>
      <c r="I132" s="3">
        <v>119.473</v>
      </c>
      <c r="J132" s="3">
        <v>111.76</v>
      </c>
      <c r="K132" s="3">
        <v>112.56699999999999</v>
      </c>
      <c r="L132" s="3">
        <v>117.621</v>
      </c>
      <c r="N132" s="2">
        <f t="shared" si="17"/>
        <v>1016.697</v>
      </c>
      <c r="O132" s="2">
        <f t="shared" si="18"/>
        <v>279.75299999999999</v>
      </c>
      <c r="P132" s="2">
        <f t="shared" si="19"/>
        <v>119.473</v>
      </c>
      <c r="Q132" s="2">
        <f t="shared" si="20"/>
        <v>117.621</v>
      </c>
      <c r="R132" s="2">
        <f t="shared" si="21"/>
        <v>0.98487951871829804</v>
      </c>
      <c r="S132" s="2">
        <f t="shared" si="22"/>
        <v>0.93544148050187081</v>
      </c>
      <c r="T132" s="2">
        <f t="shared" si="23"/>
        <v>0.95703148247336778</v>
      </c>
      <c r="V132" s="2">
        <v>117.621</v>
      </c>
      <c r="Y132" s="2">
        <f t="shared" si="16"/>
        <v>117.621</v>
      </c>
    </row>
    <row r="133" spans="1:26" ht="15" x14ac:dyDescent="0.2">
      <c r="A133" s="1" t="s">
        <v>22</v>
      </c>
      <c r="B133" s="3">
        <v>24</v>
      </c>
      <c r="C133" s="1">
        <v>8.1</v>
      </c>
      <c r="D133" s="3">
        <v>0.18</v>
      </c>
      <c r="E133" s="3">
        <v>385.96</v>
      </c>
      <c r="F133" s="3">
        <v>75.239999999999995</v>
      </c>
      <c r="G133" s="3">
        <v>298.83600000000001</v>
      </c>
      <c r="H133" s="3">
        <v>277.12099999999998</v>
      </c>
      <c r="I133" s="3">
        <v>93.528000000000006</v>
      </c>
      <c r="J133" s="3">
        <v>87.180999999999997</v>
      </c>
      <c r="K133" s="3">
        <v>139.16300000000001</v>
      </c>
      <c r="L133" s="3">
        <v>176.95599999999999</v>
      </c>
      <c r="N133" s="2">
        <f t="shared" si="17"/>
        <v>1072.7850000000001</v>
      </c>
      <c r="O133" s="2">
        <f t="shared" si="18"/>
        <v>298.83600000000001</v>
      </c>
      <c r="P133" s="2">
        <f t="shared" si="19"/>
        <v>93.528000000000006</v>
      </c>
      <c r="Q133" s="2">
        <f t="shared" si="20"/>
        <v>176.95599999999999</v>
      </c>
      <c r="R133" s="2">
        <f t="shared" si="21"/>
        <v>0.9273347254012233</v>
      </c>
      <c r="S133" s="2">
        <f t="shared" si="22"/>
        <v>0.93213796937815407</v>
      </c>
      <c r="T133" s="2">
        <f t="shared" si="23"/>
        <v>0.78642713442889767</v>
      </c>
      <c r="V133" s="2">
        <v>176.95599999999999</v>
      </c>
      <c r="Y133" s="2">
        <f t="shared" si="16"/>
        <v>176.95599999999999</v>
      </c>
    </row>
    <row r="134" spans="1:26" ht="15" x14ac:dyDescent="0.2">
      <c r="A134" s="1" t="s">
        <v>22</v>
      </c>
      <c r="B134" s="3">
        <v>30</v>
      </c>
      <c r="C134" s="1">
        <v>8.1</v>
      </c>
      <c r="D134" s="3">
        <v>0.18</v>
      </c>
      <c r="E134" s="3">
        <v>374.42</v>
      </c>
      <c r="F134" s="3">
        <v>72.355000000000004</v>
      </c>
      <c r="G134" s="3">
        <v>284.93299999999999</v>
      </c>
      <c r="H134" s="3">
        <v>287.416</v>
      </c>
      <c r="I134" s="3">
        <v>152.989</v>
      </c>
      <c r="J134" s="3">
        <v>173.495</v>
      </c>
      <c r="K134" s="3">
        <v>99.278000000000006</v>
      </c>
      <c r="L134" s="3">
        <v>107.989</v>
      </c>
      <c r="N134" s="2">
        <f t="shared" si="17"/>
        <v>1106.0999999999999</v>
      </c>
      <c r="O134" s="2">
        <f t="shared" si="18"/>
        <v>287.416</v>
      </c>
      <c r="P134" s="2">
        <f t="shared" si="19"/>
        <v>173.495</v>
      </c>
      <c r="Q134" s="2">
        <f t="shared" si="20"/>
        <v>107.989</v>
      </c>
      <c r="R134" s="2">
        <f t="shared" si="21"/>
        <v>0.99136095415704062</v>
      </c>
      <c r="S134" s="2">
        <f t="shared" si="22"/>
        <v>0.88180639211504652</v>
      </c>
      <c r="T134" s="2">
        <f t="shared" si="23"/>
        <v>0.91933437664947359</v>
      </c>
      <c r="V134" s="2">
        <v>107.989</v>
      </c>
      <c r="Y134" s="2">
        <f t="shared" si="16"/>
        <v>107.989</v>
      </c>
    </row>
    <row r="135" spans="1:26" ht="15.75" customHeight="1" x14ac:dyDescent="0.2">
      <c r="A135" s="1" t="s">
        <v>22</v>
      </c>
      <c r="B135" s="3">
        <v>30</v>
      </c>
      <c r="C135" s="1">
        <v>8.1</v>
      </c>
      <c r="D135" s="3">
        <v>0.18</v>
      </c>
      <c r="E135" s="2">
        <v>315.85599999999999</v>
      </c>
      <c r="F135" s="3">
        <v>57.713999999999999</v>
      </c>
    </row>
    <row r="136" spans="1:26" ht="15.75" customHeight="1" x14ac:dyDescent="0.2">
      <c r="A136" s="1" t="s">
        <v>22</v>
      </c>
      <c r="B136" s="3">
        <v>30</v>
      </c>
      <c r="C136" s="1">
        <v>8.1</v>
      </c>
      <c r="D136" s="3">
        <v>0.18</v>
      </c>
      <c r="E136" s="2">
        <v>376.46100000000001</v>
      </c>
      <c r="F136" s="3">
        <v>72.865250000000003</v>
      </c>
    </row>
    <row r="137" spans="1:26" ht="15.75" customHeight="1" x14ac:dyDescent="0.2">
      <c r="A137" s="1" t="s">
        <v>22</v>
      </c>
      <c r="B137" s="3">
        <v>30</v>
      </c>
      <c r="C137" s="1">
        <v>8.1</v>
      </c>
      <c r="D137" s="3">
        <v>0.18</v>
      </c>
      <c r="E137" s="2">
        <v>269.60899999999998</v>
      </c>
      <c r="F137" s="3">
        <v>46.152249999999995</v>
      </c>
    </row>
    <row r="138" spans="1:26" ht="15.75" customHeight="1" x14ac:dyDescent="0.2">
      <c r="A138" s="1" t="s">
        <v>22</v>
      </c>
      <c r="B138" s="3">
        <v>30</v>
      </c>
      <c r="C138" s="1">
        <v>8.1</v>
      </c>
      <c r="D138" s="3">
        <v>0.18</v>
      </c>
      <c r="E138" s="2">
        <v>281.84500000000003</v>
      </c>
      <c r="F138" s="3">
        <v>49.211250000000007</v>
      </c>
    </row>
    <row r="139" spans="1:26" ht="15.75" customHeight="1" x14ac:dyDescent="0.2">
      <c r="A139" s="2" t="s">
        <v>23</v>
      </c>
      <c r="B139" s="2">
        <v>24</v>
      </c>
      <c r="C139" s="2">
        <v>8.1</v>
      </c>
      <c r="D139" s="2">
        <v>0.18</v>
      </c>
      <c r="E139" s="2">
        <v>405</v>
      </c>
      <c r="F139" s="2">
        <v>101.25</v>
      </c>
      <c r="G139" s="2">
        <v>301</v>
      </c>
      <c r="H139" s="2">
        <v>291</v>
      </c>
      <c r="I139" s="2">
        <v>244</v>
      </c>
      <c r="J139" s="2">
        <v>246</v>
      </c>
      <c r="K139" s="2">
        <v>220</v>
      </c>
      <c r="L139" s="2">
        <v>239</v>
      </c>
      <c r="N139" s="2">
        <f t="shared" ref="N139" si="24">SUM(G139:L139)</f>
        <v>1541</v>
      </c>
      <c r="O139" s="2">
        <f t="shared" ref="O139" si="25">MAX(G139:H139)</f>
        <v>301</v>
      </c>
      <c r="P139" s="2">
        <f t="shared" ref="P139" si="26">MAX(I139:J139)</f>
        <v>246</v>
      </c>
      <c r="Q139" s="2">
        <f t="shared" ref="Q139" si="27">MAX(K139:L139)</f>
        <v>239</v>
      </c>
      <c r="R139" s="2">
        <f t="shared" ref="R139" si="28">MIN(G139:H139)/MAX(G139:H139)</f>
        <v>0.96677740863787376</v>
      </c>
      <c r="S139" s="2">
        <f t="shared" ref="S139" si="29">MIN(I139:J139)/MAX(I139:J139)</f>
        <v>0.99186991869918695</v>
      </c>
      <c r="T139" s="2">
        <f t="shared" ref="T139" si="30">MIN(K139:L139)/MAX(K139:L139)</f>
        <v>0.92050209205020916</v>
      </c>
      <c r="V139" s="2">
        <v>239</v>
      </c>
      <c r="Z139" s="2">
        <f>V139</f>
        <v>239</v>
      </c>
    </row>
    <row r="140" spans="1:26" ht="15.75" customHeight="1" x14ac:dyDescent="0.2">
      <c r="A140" s="2" t="s">
        <v>23</v>
      </c>
      <c r="B140" s="2">
        <v>24</v>
      </c>
      <c r="C140" s="2">
        <v>8.1</v>
      </c>
      <c r="D140" s="2">
        <v>0.18</v>
      </c>
      <c r="E140" s="2">
        <v>351</v>
      </c>
      <c r="F140" s="2">
        <v>87.75</v>
      </c>
      <c r="G140" s="2">
        <v>243</v>
      </c>
      <c r="H140" s="2">
        <v>253</v>
      </c>
      <c r="I140" s="2">
        <v>232</v>
      </c>
      <c r="J140" s="2">
        <v>184</v>
      </c>
      <c r="K140" s="2">
        <v>144</v>
      </c>
      <c r="L140" s="2">
        <v>199</v>
      </c>
      <c r="N140" s="2">
        <f t="shared" ref="N140:N203" si="31">SUM(G140:L140)</f>
        <v>1255</v>
      </c>
      <c r="O140" s="2">
        <f t="shared" ref="O140:O203" si="32">MAX(G140:H140)</f>
        <v>253</v>
      </c>
      <c r="P140" s="2">
        <f t="shared" ref="P140:P203" si="33">MAX(I140:J140)</f>
        <v>232</v>
      </c>
      <c r="Q140" s="2">
        <f t="shared" ref="Q140:Q203" si="34">MAX(K140:L140)</f>
        <v>199</v>
      </c>
      <c r="R140" s="2">
        <f t="shared" ref="R140:R203" si="35">MIN(G140:H140)/MAX(G140:H140)</f>
        <v>0.96047430830039526</v>
      </c>
      <c r="S140" s="2">
        <f t="shared" ref="S140:S203" si="36">MIN(I140:J140)/MAX(I140:J140)</f>
        <v>0.7931034482758621</v>
      </c>
      <c r="T140" s="2">
        <f t="shared" ref="T140:T203" si="37">MIN(K140:L140)/MAX(K140:L140)</f>
        <v>0.72361809045226133</v>
      </c>
      <c r="V140" s="2">
        <v>199</v>
      </c>
      <c r="Z140" s="2">
        <f t="shared" ref="Z140:Z203" si="38">V140</f>
        <v>199</v>
      </c>
    </row>
    <row r="141" spans="1:26" ht="15.75" customHeight="1" x14ac:dyDescent="0.2">
      <c r="A141" s="2" t="s">
        <v>23</v>
      </c>
      <c r="B141" s="2">
        <v>24</v>
      </c>
      <c r="C141" s="2">
        <v>8.1</v>
      </c>
      <c r="D141" s="2">
        <v>0.18</v>
      </c>
      <c r="E141" s="2">
        <v>404</v>
      </c>
      <c r="F141" s="2">
        <v>101</v>
      </c>
      <c r="G141" s="2">
        <v>293</v>
      </c>
      <c r="H141" s="2">
        <v>282</v>
      </c>
      <c r="I141" s="2">
        <v>150</v>
      </c>
      <c r="J141" s="2">
        <v>130</v>
      </c>
      <c r="K141" s="2">
        <v>88</v>
      </c>
      <c r="L141" s="2">
        <v>111</v>
      </c>
      <c r="N141" s="2">
        <f t="shared" si="31"/>
        <v>1054</v>
      </c>
      <c r="O141" s="2">
        <f t="shared" si="32"/>
        <v>293</v>
      </c>
      <c r="P141" s="2">
        <f t="shared" si="33"/>
        <v>150</v>
      </c>
      <c r="Q141" s="2">
        <f t="shared" si="34"/>
        <v>111</v>
      </c>
      <c r="R141" s="2">
        <f t="shared" si="35"/>
        <v>0.96245733788395904</v>
      </c>
      <c r="S141" s="2">
        <f t="shared" si="36"/>
        <v>0.8666666666666667</v>
      </c>
      <c r="T141" s="2">
        <f t="shared" si="37"/>
        <v>0.7927927927927928</v>
      </c>
      <c r="V141" s="2">
        <v>111</v>
      </c>
      <c r="Z141" s="2">
        <f t="shared" si="38"/>
        <v>111</v>
      </c>
    </row>
    <row r="142" spans="1:26" ht="15.75" customHeight="1" x14ac:dyDescent="0.2">
      <c r="A142" s="2" t="s">
        <v>23</v>
      </c>
      <c r="B142" s="2">
        <v>24</v>
      </c>
      <c r="C142" s="2">
        <v>8.1</v>
      </c>
      <c r="D142" s="2">
        <v>0.18</v>
      </c>
      <c r="E142" s="2">
        <v>334</v>
      </c>
      <c r="F142" s="2">
        <v>83.5</v>
      </c>
      <c r="G142" s="2">
        <v>247</v>
      </c>
      <c r="H142" s="2">
        <v>246</v>
      </c>
      <c r="I142" s="2">
        <v>213</v>
      </c>
      <c r="J142" s="2">
        <v>186</v>
      </c>
      <c r="K142" s="2">
        <v>160</v>
      </c>
      <c r="L142" s="2">
        <v>133</v>
      </c>
      <c r="N142" s="2">
        <f t="shared" si="31"/>
        <v>1185</v>
      </c>
      <c r="O142" s="2">
        <f t="shared" si="32"/>
        <v>247</v>
      </c>
      <c r="P142" s="2">
        <f t="shared" si="33"/>
        <v>213</v>
      </c>
      <c r="Q142" s="2">
        <f t="shared" si="34"/>
        <v>160</v>
      </c>
      <c r="R142" s="2">
        <f t="shared" si="35"/>
        <v>0.99595141700404854</v>
      </c>
      <c r="S142" s="2">
        <f t="shared" si="36"/>
        <v>0.87323943661971826</v>
      </c>
      <c r="T142" s="2">
        <f t="shared" si="37"/>
        <v>0.83125000000000004</v>
      </c>
      <c r="V142" s="2">
        <v>160</v>
      </c>
      <c r="Z142" s="2">
        <f t="shared" si="38"/>
        <v>160</v>
      </c>
    </row>
    <row r="143" spans="1:26" ht="15.75" customHeight="1" x14ac:dyDescent="0.2">
      <c r="A143" s="2" t="s">
        <v>23</v>
      </c>
      <c r="B143" s="2">
        <v>24</v>
      </c>
      <c r="C143" s="2">
        <v>8.1</v>
      </c>
      <c r="D143" s="2">
        <v>0.18</v>
      </c>
      <c r="E143" s="2">
        <v>328</v>
      </c>
      <c r="F143" s="2">
        <v>82</v>
      </c>
      <c r="G143" s="2">
        <v>276</v>
      </c>
      <c r="H143" s="2">
        <v>277</v>
      </c>
      <c r="I143" s="2">
        <v>150</v>
      </c>
      <c r="J143" s="2">
        <v>234</v>
      </c>
      <c r="K143" s="2">
        <v>114</v>
      </c>
      <c r="L143" s="2">
        <v>145</v>
      </c>
      <c r="N143" s="2">
        <f t="shared" si="31"/>
        <v>1196</v>
      </c>
      <c r="O143" s="2">
        <f t="shared" si="32"/>
        <v>277</v>
      </c>
      <c r="P143" s="2">
        <f t="shared" si="33"/>
        <v>234</v>
      </c>
      <c r="Q143" s="2">
        <f t="shared" si="34"/>
        <v>145</v>
      </c>
      <c r="R143" s="2">
        <f t="shared" si="35"/>
        <v>0.99638989169675085</v>
      </c>
      <c r="S143" s="2">
        <f t="shared" si="36"/>
        <v>0.64102564102564108</v>
      </c>
      <c r="T143" s="2">
        <f t="shared" si="37"/>
        <v>0.78620689655172415</v>
      </c>
      <c r="V143" s="2">
        <v>145</v>
      </c>
      <c r="Z143" s="2">
        <f t="shared" si="38"/>
        <v>145</v>
      </c>
    </row>
    <row r="144" spans="1:26" ht="15.75" customHeight="1" x14ac:dyDescent="0.2">
      <c r="A144" s="2" t="s">
        <v>23</v>
      </c>
      <c r="B144" s="2">
        <v>24</v>
      </c>
      <c r="C144" s="2">
        <v>8.1</v>
      </c>
      <c r="D144" s="2">
        <v>0.18</v>
      </c>
      <c r="E144" s="2">
        <v>367</v>
      </c>
      <c r="F144" s="2">
        <v>91.75</v>
      </c>
      <c r="G144" s="2">
        <v>268</v>
      </c>
      <c r="H144" s="2">
        <v>269</v>
      </c>
      <c r="I144" s="2">
        <v>265</v>
      </c>
      <c r="J144" s="2">
        <v>283</v>
      </c>
      <c r="K144" s="2">
        <v>206</v>
      </c>
      <c r="L144" s="2">
        <v>197</v>
      </c>
      <c r="N144" s="2">
        <f t="shared" si="31"/>
        <v>1488</v>
      </c>
      <c r="O144" s="2">
        <f t="shared" si="32"/>
        <v>269</v>
      </c>
      <c r="P144" s="2">
        <f t="shared" si="33"/>
        <v>283</v>
      </c>
      <c r="Q144" s="2">
        <f t="shared" si="34"/>
        <v>206</v>
      </c>
      <c r="R144" s="2">
        <f t="shared" si="35"/>
        <v>0.99628252788104088</v>
      </c>
      <c r="S144" s="2">
        <f t="shared" si="36"/>
        <v>0.93639575971731448</v>
      </c>
      <c r="T144" s="2">
        <f t="shared" si="37"/>
        <v>0.9563106796116505</v>
      </c>
      <c r="V144" s="2">
        <v>206</v>
      </c>
      <c r="Z144" s="2">
        <f t="shared" si="38"/>
        <v>206</v>
      </c>
    </row>
    <row r="145" spans="1:26" ht="15.75" customHeight="1" x14ac:dyDescent="0.2">
      <c r="A145" s="2" t="s">
        <v>23</v>
      </c>
      <c r="B145" s="2">
        <v>24</v>
      </c>
      <c r="C145" s="2">
        <v>8.1</v>
      </c>
      <c r="D145" s="2">
        <v>0.18</v>
      </c>
      <c r="E145" s="2">
        <v>330</v>
      </c>
      <c r="F145" s="2">
        <v>82.5</v>
      </c>
      <c r="G145" s="2">
        <v>291</v>
      </c>
      <c r="H145" s="2">
        <v>279</v>
      </c>
      <c r="I145" s="2">
        <v>118</v>
      </c>
      <c r="J145" s="2">
        <v>179</v>
      </c>
      <c r="K145" s="2">
        <v>122</v>
      </c>
      <c r="L145" s="2">
        <v>153</v>
      </c>
      <c r="N145" s="2">
        <f t="shared" si="31"/>
        <v>1142</v>
      </c>
      <c r="O145" s="2">
        <f t="shared" si="32"/>
        <v>291</v>
      </c>
      <c r="P145" s="2">
        <f t="shared" si="33"/>
        <v>179</v>
      </c>
      <c r="Q145" s="2">
        <f t="shared" si="34"/>
        <v>153</v>
      </c>
      <c r="R145" s="2">
        <f t="shared" si="35"/>
        <v>0.95876288659793818</v>
      </c>
      <c r="S145" s="2">
        <f t="shared" si="36"/>
        <v>0.65921787709497204</v>
      </c>
      <c r="T145" s="2">
        <f t="shared" si="37"/>
        <v>0.79738562091503273</v>
      </c>
      <c r="V145" s="2">
        <v>153</v>
      </c>
      <c r="Z145" s="2">
        <f t="shared" si="38"/>
        <v>153</v>
      </c>
    </row>
    <row r="146" spans="1:26" ht="15.75" customHeight="1" x14ac:dyDescent="0.2">
      <c r="A146" s="2" t="s">
        <v>23</v>
      </c>
      <c r="B146" s="2">
        <v>24</v>
      </c>
      <c r="C146" s="2">
        <v>8.1</v>
      </c>
      <c r="D146" s="2">
        <v>0.18</v>
      </c>
      <c r="E146" s="2">
        <v>363</v>
      </c>
      <c r="F146" s="2">
        <v>90.75</v>
      </c>
      <c r="G146" s="2">
        <v>275</v>
      </c>
      <c r="H146" s="2">
        <v>278</v>
      </c>
      <c r="I146" s="2">
        <v>251</v>
      </c>
      <c r="J146" s="2">
        <v>211</v>
      </c>
      <c r="K146" s="2">
        <v>148</v>
      </c>
      <c r="L146" s="2">
        <v>170</v>
      </c>
      <c r="N146" s="2">
        <f t="shared" si="31"/>
        <v>1333</v>
      </c>
      <c r="O146" s="2">
        <f t="shared" si="32"/>
        <v>278</v>
      </c>
      <c r="P146" s="2">
        <f t="shared" si="33"/>
        <v>251</v>
      </c>
      <c r="Q146" s="2">
        <f t="shared" si="34"/>
        <v>170</v>
      </c>
      <c r="R146" s="2">
        <f t="shared" si="35"/>
        <v>0.98920863309352514</v>
      </c>
      <c r="S146" s="2">
        <f t="shared" si="36"/>
        <v>0.84063745019920322</v>
      </c>
      <c r="T146" s="2">
        <f t="shared" si="37"/>
        <v>0.87058823529411766</v>
      </c>
      <c r="V146" s="2">
        <v>170</v>
      </c>
      <c r="Z146" s="2">
        <f t="shared" si="38"/>
        <v>170</v>
      </c>
    </row>
    <row r="147" spans="1:26" ht="15.75" customHeight="1" x14ac:dyDescent="0.2">
      <c r="A147" s="2" t="s">
        <v>23</v>
      </c>
      <c r="B147" s="2">
        <v>24</v>
      </c>
      <c r="C147" s="2">
        <v>8.1</v>
      </c>
      <c r="D147" s="2">
        <v>0.18</v>
      </c>
      <c r="E147" s="2">
        <v>365</v>
      </c>
      <c r="F147" s="2">
        <v>91.25</v>
      </c>
      <c r="G147" s="2">
        <v>279</v>
      </c>
      <c r="H147" s="2">
        <v>280</v>
      </c>
      <c r="I147" s="2">
        <v>262</v>
      </c>
      <c r="J147" s="2">
        <v>286</v>
      </c>
      <c r="K147" s="2">
        <v>188</v>
      </c>
      <c r="L147" s="2">
        <v>178</v>
      </c>
      <c r="N147" s="2">
        <f t="shared" si="31"/>
        <v>1473</v>
      </c>
      <c r="O147" s="2">
        <f t="shared" si="32"/>
        <v>280</v>
      </c>
      <c r="P147" s="2">
        <f t="shared" si="33"/>
        <v>286</v>
      </c>
      <c r="Q147" s="2">
        <f t="shared" si="34"/>
        <v>188</v>
      </c>
      <c r="R147" s="2">
        <f t="shared" si="35"/>
        <v>0.99642857142857144</v>
      </c>
      <c r="S147" s="2">
        <f t="shared" si="36"/>
        <v>0.91608391608391604</v>
      </c>
      <c r="T147" s="2">
        <f t="shared" si="37"/>
        <v>0.94680851063829785</v>
      </c>
      <c r="V147" s="2">
        <v>188</v>
      </c>
      <c r="Z147" s="2">
        <f t="shared" si="38"/>
        <v>188</v>
      </c>
    </row>
    <row r="148" spans="1:26" ht="15.75" customHeight="1" x14ac:dyDescent="0.2">
      <c r="A148" s="2" t="s">
        <v>23</v>
      </c>
      <c r="B148" s="2">
        <v>24</v>
      </c>
      <c r="C148" s="2">
        <v>8.1</v>
      </c>
      <c r="D148" s="2">
        <v>0.18</v>
      </c>
      <c r="E148" s="2">
        <v>325</v>
      </c>
      <c r="F148" s="2">
        <v>81.25</v>
      </c>
      <c r="G148" s="2">
        <v>245</v>
      </c>
      <c r="H148" s="2">
        <v>248</v>
      </c>
      <c r="I148" s="2">
        <v>219</v>
      </c>
      <c r="J148" s="2">
        <v>191</v>
      </c>
      <c r="K148" s="2">
        <v>169</v>
      </c>
      <c r="L148" s="2">
        <v>131</v>
      </c>
      <c r="N148" s="2">
        <f t="shared" si="31"/>
        <v>1203</v>
      </c>
      <c r="O148" s="2">
        <f t="shared" si="32"/>
        <v>248</v>
      </c>
      <c r="P148" s="2">
        <f t="shared" si="33"/>
        <v>219</v>
      </c>
      <c r="Q148" s="2">
        <f t="shared" si="34"/>
        <v>169</v>
      </c>
      <c r="R148" s="2">
        <f t="shared" si="35"/>
        <v>0.98790322580645162</v>
      </c>
      <c r="S148" s="2">
        <f t="shared" si="36"/>
        <v>0.87214611872146119</v>
      </c>
      <c r="T148" s="2">
        <f t="shared" si="37"/>
        <v>0.7751479289940828</v>
      </c>
      <c r="V148" s="2">
        <v>169</v>
      </c>
      <c r="Z148" s="2">
        <f t="shared" si="38"/>
        <v>169</v>
      </c>
    </row>
    <row r="149" spans="1:26" ht="15.75" customHeight="1" x14ac:dyDescent="0.2">
      <c r="A149" s="2" t="s">
        <v>23</v>
      </c>
      <c r="B149" s="2">
        <v>24</v>
      </c>
      <c r="C149" s="2">
        <v>8.1</v>
      </c>
      <c r="D149" s="2">
        <v>0.18</v>
      </c>
      <c r="E149" s="2">
        <v>297</v>
      </c>
      <c r="F149" s="2">
        <v>74.25</v>
      </c>
      <c r="G149" s="2">
        <v>239</v>
      </c>
      <c r="H149" s="2">
        <v>229</v>
      </c>
      <c r="I149" s="2">
        <v>216</v>
      </c>
      <c r="J149" s="2">
        <v>214</v>
      </c>
      <c r="K149" s="2">
        <v>189</v>
      </c>
      <c r="L149" s="2">
        <v>188</v>
      </c>
      <c r="N149" s="2">
        <f t="shared" si="31"/>
        <v>1275</v>
      </c>
      <c r="O149" s="2">
        <f t="shared" si="32"/>
        <v>239</v>
      </c>
      <c r="P149" s="2">
        <f t="shared" si="33"/>
        <v>216</v>
      </c>
      <c r="Q149" s="2">
        <f t="shared" si="34"/>
        <v>189</v>
      </c>
      <c r="R149" s="2">
        <f t="shared" si="35"/>
        <v>0.95815899581589958</v>
      </c>
      <c r="S149" s="2">
        <f t="shared" si="36"/>
        <v>0.9907407407407407</v>
      </c>
      <c r="T149" s="2">
        <f t="shared" si="37"/>
        <v>0.99470899470899465</v>
      </c>
      <c r="V149" s="2">
        <v>189</v>
      </c>
      <c r="Z149" s="2">
        <f t="shared" si="38"/>
        <v>189</v>
      </c>
    </row>
    <row r="150" spans="1:26" ht="15.75" customHeight="1" x14ac:dyDescent="0.2">
      <c r="A150" s="2" t="s">
        <v>23</v>
      </c>
      <c r="B150" s="2">
        <v>24</v>
      </c>
      <c r="C150" s="2">
        <v>8.1</v>
      </c>
      <c r="D150" s="2">
        <v>0.18</v>
      </c>
      <c r="E150" s="2">
        <v>313</v>
      </c>
      <c r="F150" s="2">
        <v>78.25</v>
      </c>
      <c r="G150" s="2">
        <v>253</v>
      </c>
      <c r="H150" s="2">
        <v>266</v>
      </c>
      <c r="I150" s="2">
        <v>124</v>
      </c>
      <c r="J150" s="2">
        <v>151</v>
      </c>
      <c r="K150" s="2">
        <v>176</v>
      </c>
      <c r="L150" s="2">
        <v>163</v>
      </c>
      <c r="N150" s="2">
        <f t="shared" si="31"/>
        <v>1133</v>
      </c>
      <c r="O150" s="2">
        <f t="shared" si="32"/>
        <v>266</v>
      </c>
      <c r="P150" s="2">
        <f t="shared" si="33"/>
        <v>151</v>
      </c>
      <c r="Q150" s="2">
        <f t="shared" si="34"/>
        <v>176</v>
      </c>
      <c r="R150" s="2">
        <f t="shared" si="35"/>
        <v>0.95112781954887216</v>
      </c>
      <c r="S150" s="2">
        <f t="shared" si="36"/>
        <v>0.82119205298013243</v>
      </c>
      <c r="T150" s="2">
        <f t="shared" si="37"/>
        <v>0.92613636363636365</v>
      </c>
      <c r="V150" s="2">
        <v>176</v>
      </c>
      <c r="Z150" s="2">
        <f t="shared" si="38"/>
        <v>176</v>
      </c>
    </row>
    <row r="151" spans="1:26" ht="15.75" customHeight="1" x14ac:dyDescent="0.2">
      <c r="A151" s="2" t="s">
        <v>23</v>
      </c>
      <c r="B151" s="2">
        <v>24</v>
      </c>
      <c r="C151" s="2">
        <v>8.1</v>
      </c>
      <c r="D151" s="2">
        <v>0.18</v>
      </c>
      <c r="E151" s="2">
        <v>308</v>
      </c>
      <c r="F151" s="2">
        <v>77</v>
      </c>
      <c r="G151" s="2">
        <v>221</v>
      </c>
      <c r="H151" s="2">
        <v>211</v>
      </c>
      <c r="I151" s="2">
        <v>229</v>
      </c>
      <c r="J151" s="2">
        <v>247</v>
      </c>
      <c r="K151" s="2">
        <v>174</v>
      </c>
      <c r="L151" s="2">
        <v>182</v>
      </c>
      <c r="N151" s="2">
        <f t="shared" si="31"/>
        <v>1264</v>
      </c>
      <c r="O151" s="2">
        <f t="shared" si="32"/>
        <v>221</v>
      </c>
      <c r="P151" s="2">
        <f t="shared" si="33"/>
        <v>247</v>
      </c>
      <c r="Q151" s="2">
        <f t="shared" si="34"/>
        <v>182</v>
      </c>
      <c r="R151" s="2">
        <f t="shared" si="35"/>
        <v>0.95475113122171951</v>
      </c>
      <c r="S151" s="2">
        <f t="shared" si="36"/>
        <v>0.92712550607287447</v>
      </c>
      <c r="T151" s="2">
        <f t="shared" si="37"/>
        <v>0.95604395604395609</v>
      </c>
      <c r="V151" s="2">
        <v>182</v>
      </c>
      <c r="Z151" s="2">
        <f t="shared" si="38"/>
        <v>182</v>
      </c>
    </row>
    <row r="152" spans="1:26" ht="15.75" customHeight="1" x14ac:dyDescent="0.2">
      <c r="A152" s="2" t="s">
        <v>23</v>
      </c>
      <c r="B152" s="2">
        <v>24</v>
      </c>
      <c r="C152" s="2">
        <v>8.1</v>
      </c>
      <c r="D152" s="2">
        <v>0.18</v>
      </c>
      <c r="E152" s="2">
        <v>322</v>
      </c>
      <c r="F152" s="2">
        <v>80.5</v>
      </c>
      <c r="G152" s="2">
        <v>243</v>
      </c>
      <c r="H152" s="2">
        <v>253</v>
      </c>
      <c r="I152" s="2">
        <v>131</v>
      </c>
      <c r="J152" s="2">
        <v>146</v>
      </c>
      <c r="K152" s="2">
        <v>177</v>
      </c>
      <c r="L152" s="2">
        <v>199</v>
      </c>
      <c r="N152" s="2">
        <f t="shared" si="31"/>
        <v>1149</v>
      </c>
      <c r="O152" s="2">
        <f t="shared" si="32"/>
        <v>253</v>
      </c>
      <c r="P152" s="2">
        <f t="shared" si="33"/>
        <v>146</v>
      </c>
      <c r="Q152" s="2">
        <f t="shared" si="34"/>
        <v>199</v>
      </c>
      <c r="R152" s="2">
        <f t="shared" si="35"/>
        <v>0.96047430830039526</v>
      </c>
      <c r="S152" s="2">
        <f t="shared" si="36"/>
        <v>0.89726027397260277</v>
      </c>
      <c r="T152" s="2">
        <f t="shared" si="37"/>
        <v>0.88944723618090449</v>
      </c>
      <c r="V152" s="2">
        <v>199</v>
      </c>
      <c r="Z152" s="2">
        <f t="shared" si="38"/>
        <v>199</v>
      </c>
    </row>
    <row r="153" spans="1:26" ht="15.75" customHeight="1" x14ac:dyDescent="0.2">
      <c r="A153" s="2" t="s">
        <v>23</v>
      </c>
      <c r="B153" s="2">
        <v>24</v>
      </c>
      <c r="C153" s="2">
        <v>8.1</v>
      </c>
      <c r="D153" s="2">
        <v>0.18</v>
      </c>
      <c r="E153" s="2">
        <v>322</v>
      </c>
      <c r="F153" s="2">
        <v>80.5</v>
      </c>
      <c r="G153" s="2">
        <v>239</v>
      </c>
      <c r="H153" s="2">
        <v>258</v>
      </c>
      <c r="I153" s="2">
        <v>218</v>
      </c>
      <c r="J153" s="2">
        <v>214</v>
      </c>
      <c r="K153" s="2">
        <v>193</v>
      </c>
      <c r="L153" s="2">
        <v>214</v>
      </c>
      <c r="N153" s="2">
        <f t="shared" si="31"/>
        <v>1336</v>
      </c>
      <c r="O153" s="2">
        <f t="shared" si="32"/>
        <v>258</v>
      </c>
      <c r="P153" s="2">
        <f t="shared" si="33"/>
        <v>218</v>
      </c>
      <c r="Q153" s="2">
        <f t="shared" si="34"/>
        <v>214</v>
      </c>
      <c r="R153" s="2">
        <f t="shared" si="35"/>
        <v>0.9263565891472868</v>
      </c>
      <c r="S153" s="2">
        <f t="shared" si="36"/>
        <v>0.98165137614678899</v>
      </c>
      <c r="T153" s="2">
        <f t="shared" si="37"/>
        <v>0.90186915887850472</v>
      </c>
      <c r="V153" s="2">
        <v>214</v>
      </c>
      <c r="Z153" s="2">
        <f t="shared" si="38"/>
        <v>214</v>
      </c>
    </row>
    <row r="154" spans="1:26" ht="15.75" customHeight="1" x14ac:dyDescent="0.2">
      <c r="A154" s="2" t="s">
        <v>23</v>
      </c>
      <c r="B154" s="2">
        <v>24</v>
      </c>
      <c r="C154" s="2">
        <v>8.1</v>
      </c>
      <c r="D154" s="2">
        <v>0.18</v>
      </c>
      <c r="E154" s="2">
        <v>294</v>
      </c>
      <c r="F154" s="2">
        <v>73.5</v>
      </c>
      <c r="G154" s="2">
        <v>254</v>
      </c>
      <c r="H154" s="2">
        <v>256</v>
      </c>
      <c r="I154" s="2">
        <v>234</v>
      </c>
      <c r="J154" s="2">
        <v>244</v>
      </c>
      <c r="K154" s="2">
        <v>209</v>
      </c>
      <c r="L154" s="2">
        <v>193</v>
      </c>
      <c r="N154" s="2">
        <f t="shared" si="31"/>
        <v>1390</v>
      </c>
      <c r="O154" s="2">
        <f t="shared" si="32"/>
        <v>256</v>
      </c>
      <c r="P154" s="2">
        <f t="shared" si="33"/>
        <v>244</v>
      </c>
      <c r="Q154" s="2">
        <f t="shared" si="34"/>
        <v>209</v>
      </c>
      <c r="R154" s="2">
        <f t="shared" si="35"/>
        <v>0.9921875</v>
      </c>
      <c r="S154" s="2">
        <f t="shared" si="36"/>
        <v>0.95901639344262291</v>
      </c>
      <c r="T154" s="2">
        <f t="shared" si="37"/>
        <v>0.92344497607655507</v>
      </c>
      <c r="V154" s="2">
        <v>209</v>
      </c>
      <c r="Z154" s="2">
        <f t="shared" si="38"/>
        <v>209</v>
      </c>
    </row>
    <row r="155" spans="1:26" ht="15.75" customHeight="1" x14ac:dyDescent="0.2">
      <c r="A155" s="2" t="s">
        <v>23</v>
      </c>
      <c r="B155" s="2">
        <v>24</v>
      </c>
      <c r="C155" s="2">
        <v>8.1</v>
      </c>
      <c r="D155" s="2">
        <v>0.18</v>
      </c>
      <c r="E155" s="2">
        <v>317</v>
      </c>
      <c r="F155" s="2">
        <v>79.25</v>
      </c>
      <c r="G155" s="2">
        <v>243</v>
      </c>
      <c r="H155" s="2">
        <v>248</v>
      </c>
      <c r="I155" s="2">
        <v>255</v>
      </c>
      <c r="J155" s="2">
        <v>229</v>
      </c>
      <c r="K155" s="2">
        <v>210</v>
      </c>
      <c r="L155" s="2">
        <v>176</v>
      </c>
      <c r="N155" s="2">
        <f t="shared" si="31"/>
        <v>1361</v>
      </c>
      <c r="O155" s="2">
        <f t="shared" si="32"/>
        <v>248</v>
      </c>
      <c r="P155" s="2">
        <f t="shared" si="33"/>
        <v>255</v>
      </c>
      <c r="Q155" s="2">
        <f t="shared" si="34"/>
        <v>210</v>
      </c>
      <c r="R155" s="2">
        <f t="shared" si="35"/>
        <v>0.97983870967741937</v>
      </c>
      <c r="S155" s="2">
        <f t="shared" si="36"/>
        <v>0.89803921568627454</v>
      </c>
      <c r="T155" s="2">
        <f t="shared" si="37"/>
        <v>0.83809523809523812</v>
      </c>
      <c r="V155" s="2">
        <v>210</v>
      </c>
      <c r="Z155" s="2">
        <f t="shared" si="38"/>
        <v>210</v>
      </c>
    </row>
    <row r="156" spans="1:26" ht="15.75" customHeight="1" x14ac:dyDescent="0.2">
      <c r="A156" s="2" t="s">
        <v>23</v>
      </c>
      <c r="B156" s="2">
        <v>24</v>
      </c>
      <c r="C156" s="2">
        <v>8.1</v>
      </c>
      <c r="D156" s="2">
        <v>0.18</v>
      </c>
      <c r="E156" s="2">
        <v>302</v>
      </c>
      <c r="F156" s="2">
        <v>75.5</v>
      </c>
      <c r="G156" s="2">
        <v>243</v>
      </c>
      <c r="H156" s="2">
        <v>247</v>
      </c>
      <c r="I156" s="2">
        <v>175</v>
      </c>
      <c r="J156" s="2">
        <v>196</v>
      </c>
      <c r="K156" s="2">
        <v>180</v>
      </c>
      <c r="L156" s="2">
        <v>176</v>
      </c>
      <c r="N156" s="2">
        <f t="shared" si="31"/>
        <v>1217</v>
      </c>
      <c r="O156" s="2">
        <f t="shared" si="32"/>
        <v>247</v>
      </c>
      <c r="P156" s="2">
        <f t="shared" si="33"/>
        <v>196</v>
      </c>
      <c r="Q156" s="2">
        <f t="shared" si="34"/>
        <v>180</v>
      </c>
      <c r="R156" s="2">
        <f t="shared" si="35"/>
        <v>0.98380566801619429</v>
      </c>
      <c r="S156" s="2">
        <f t="shared" si="36"/>
        <v>0.8928571428571429</v>
      </c>
      <c r="T156" s="2">
        <f t="shared" si="37"/>
        <v>0.97777777777777775</v>
      </c>
      <c r="V156" s="2">
        <v>180</v>
      </c>
      <c r="Z156" s="2">
        <f t="shared" si="38"/>
        <v>180</v>
      </c>
    </row>
    <row r="157" spans="1:26" ht="15.75" customHeight="1" x14ac:dyDescent="0.2">
      <c r="A157" s="2" t="s">
        <v>23</v>
      </c>
      <c r="B157" s="2">
        <v>24</v>
      </c>
      <c r="C157" s="2">
        <v>8.1</v>
      </c>
      <c r="D157" s="2">
        <v>0.18</v>
      </c>
      <c r="E157" s="2">
        <v>311</v>
      </c>
      <c r="F157" s="2">
        <v>77.75</v>
      </c>
      <c r="G157" s="2">
        <v>253</v>
      </c>
      <c r="H157" s="2">
        <v>253</v>
      </c>
      <c r="I157" s="2">
        <v>234</v>
      </c>
      <c r="J157" s="2">
        <v>257</v>
      </c>
      <c r="K157" s="2">
        <v>189</v>
      </c>
      <c r="L157" s="2">
        <v>205</v>
      </c>
      <c r="N157" s="2">
        <f t="shared" si="31"/>
        <v>1391</v>
      </c>
      <c r="O157" s="2">
        <f t="shared" si="32"/>
        <v>253</v>
      </c>
      <c r="P157" s="2">
        <f t="shared" si="33"/>
        <v>257</v>
      </c>
      <c r="Q157" s="2">
        <f t="shared" si="34"/>
        <v>205</v>
      </c>
      <c r="R157" s="2">
        <f t="shared" si="35"/>
        <v>1</v>
      </c>
      <c r="S157" s="2">
        <f t="shared" si="36"/>
        <v>0.91050583657587547</v>
      </c>
      <c r="T157" s="2">
        <f t="shared" si="37"/>
        <v>0.92195121951219516</v>
      </c>
      <c r="V157" s="2">
        <v>205</v>
      </c>
      <c r="Z157" s="2">
        <f t="shared" si="38"/>
        <v>205</v>
      </c>
    </row>
    <row r="158" spans="1:26" ht="15.75" customHeight="1" x14ac:dyDescent="0.2">
      <c r="A158" s="2" t="s">
        <v>23</v>
      </c>
      <c r="B158" s="2">
        <v>24</v>
      </c>
      <c r="C158" s="2">
        <v>8.1</v>
      </c>
      <c r="D158" s="2">
        <v>0.18</v>
      </c>
      <c r="E158" s="2">
        <v>322</v>
      </c>
      <c r="F158" s="2">
        <v>80.5</v>
      </c>
      <c r="G158" s="2">
        <v>244</v>
      </c>
      <c r="H158" s="2">
        <v>255</v>
      </c>
      <c r="I158" s="2">
        <v>218</v>
      </c>
      <c r="J158" s="2">
        <v>216</v>
      </c>
      <c r="K158" s="2">
        <v>181</v>
      </c>
      <c r="L158" s="2">
        <v>211</v>
      </c>
      <c r="N158" s="2">
        <f t="shared" si="31"/>
        <v>1325</v>
      </c>
      <c r="O158" s="2">
        <f t="shared" si="32"/>
        <v>255</v>
      </c>
      <c r="P158" s="2">
        <f t="shared" si="33"/>
        <v>218</v>
      </c>
      <c r="Q158" s="2">
        <f t="shared" si="34"/>
        <v>211</v>
      </c>
      <c r="R158" s="2">
        <f t="shared" si="35"/>
        <v>0.95686274509803926</v>
      </c>
      <c r="S158" s="2">
        <f t="shared" si="36"/>
        <v>0.99082568807339455</v>
      </c>
      <c r="T158" s="2">
        <f t="shared" si="37"/>
        <v>0.85781990521327012</v>
      </c>
      <c r="V158" s="2">
        <v>211</v>
      </c>
      <c r="Z158" s="2">
        <f t="shared" si="38"/>
        <v>211</v>
      </c>
    </row>
    <row r="159" spans="1:26" ht="15.75" customHeight="1" x14ac:dyDescent="0.2">
      <c r="A159" s="2" t="s">
        <v>23</v>
      </c>
      <c r="B159" s="2">
        <v>24</v>
      </c>
      <c r="C159" s="2">
        <v>7.7</v>
      </c>
      <c r="D159" s="2">
        <v>0.18</v>
      </c>
      <c r="E159" s="2">
        <v>369</v>
      </c>
      <c r="F159" s="2">
        <v>92.25</v>
      </c>
      <c r="G159" s="2">
        <v>270</v>
      </c>
      <c r="H159" s="2">
        <v>263</v>
      </c>
      <c r="I159" s="2">
        <v>280</v>
      </c>
      <c r="J159" s="2">
        <v>243</v>
      </c>
      <c r="K159" s="2">
        <v>195</v>
      </c>
      <c r="L159" s="2">
        <v>205</v>
      </c>
      <c r="N159" s="2">
        <f t="shared" si="31"/>
        <v>1456</v>
      </c>
      <c r="O159" s="2">
        <f t="shared" si="32"/>
        <v>270</v>
      </c>
      <c r="P159" s="2">
        <f t="shared" si="33"/>
        <v>280</v>
      </c>
      <c r="Q159" s="2">
        <f t="shared" si="34"/>
        <v>205</v>
      </c>
      <c r="R159" s="2">
        <f t="shared" si="35"/>
        <v>0.97407407407407409</v>
      </c>
      <c r="S159" s="2">
        <f t="shared" si="36"/>
        <v>0.86785714285714288</v>
      </c>
      <c r="T159" s="2">
        <f t="shared" si="37"/>
        <v>0.95121951219512191</v>
      </c>
      <c r="V159" s="2">
        <v>205</v>
      </c>
      <c r="Z159" s="2">
        <f t="shared" si="38"/>
        <v>205</v>
      </c>
    </row>
    <row r="160" spans="1:26" ht="15.75" customHeight="1" x14ac:dyDescent="0.2">
      <c r="A160" s="2" t="s">
        <v>23</v>
      </c>
      <c r="B160" s="2">
        <v>24</v>
      </c>
      <c r="C160" s="2">
        <v>7.7</v>
      </c>
      <c r="D160" s="2">
        <v>0.18</v>
      </c>
      <c r="E160" s="2">
        <v>389</v>
      </c>
      <c r="F160" s="2">
        <v>97.25</v>
      </c>
      <c r="G160" s="2">
        <v>288</v>
      </c>
      <c r="H160" s="2">
        <v>289</v>
      </c>
      <c r="I160" s="2">
        <v>312</v>
      </c>
      <c r="J160" s="2">
        <v>255</v>
      </c>
      <c r="K160" s="2">
        <v>180</v>
      </c>
      <c r="L160" s="2">
        <v>209</v>
      </c>
      <c r="N160" s="2">
        <f t="shared" si="31"/>
        <v>1533</v>
      </c>
      <c r="O160" s="2">
        <f t="shared" si="32"/>
        <v>289</v>
      </c>
      <c r="P160" s="2">
        <f t="shared" si="33"/>
        <v>312</v>
      </c>
      <c r="Q160" s="2">
        <f t="shared" si="34"/>
        <v>209</v>
      </c>
      <c r="R160" s="2">
        <f t="shared" si="35"/>
        <v>0.9965397923875432</v>
      </c>
      <c r="S160" s="2">
        <f t="shared" si="36"/>
        <v>0.81730769230769229</v>
      </c>
      <c r="T160" s="2">
        <f t="shared" si="37"/>
        <v>0.86124401913875603</v>
      </c>
      <c r="V160" s="2">
        <v>209</v>
      </c>
      <c r="Z160" s="2">
        <f t="shared" si="38"/>
        <v>209</v>
      </c>
    </row>
    <row r="161" spans="1:26" ht="15.75" customHeight="1" x14ac:dyDescent="0.2">
      <c r="A161" s="2" t="s">
        <v>23</v>
      </c>
      <c r="B161" s="2">
        <v>24</v>
      </c>
      <c r="C161" s="2">
        <v>7.7</v>
      </c>
      <c r="D161" s="2">
        <v>0.18</v>
      </c>
      <c r="E161" s="2">
        <v>358</v>
      </c>
      <c r="F161" s="2">
        <v>89.5</v>
      </c>
      <c r="G161" s="2">
        <v>251</v>
      </c>
      <c r="H161" s="2">
        <v>253</v>
      </c>
      <c r="I161" s="2">
        <v>279</v>
      </c>
      <c r="J161" s="2">
        <v>332</v>
      </c>
      <c r="K161" s="2">
        <v>231</v>
      </c>
      <c r="L161" s="2">
        <v>207</v>
      </c>
      <c r="N161" s="2">
        <f t="shared" si="31"/>
        <v>1553</v>
      </c>
      <c r="O161" s="2">
        <f t="shared" si="32"/>
        <v>253</v>
      </c>
      <c r="P161" s="2">
        <f t="shared" si="33"/>
        <v>332</v>
      </c>
      <c r="Q161" s="2">
        <f t="shared" si="34"/>
        <v>231</v>
      </c>
      <c r="R161" s="2">
        <f t="shared" si="35"/>
        <v>0.9920948616600791</v>
      </c>
      <c r="S161" s="2">
        <f t="shared" si="36"/>
        <v>0.84036144578313254</v>
      </c>
      <c r="T161" s="2">
        <f t="shared" si="37"/>
        <v>0.89610389610389607</v>
      </c>
      <c r="V161" s="2">
        <v>231</v>
      </c>
      <c r="Z161" s="2">
        <f t="shared" si="38"/>
        <v>231</v>
      </c>
    </row>
    <row r="162" spans="1:26" ht="15.75" customHeight="1" x14ac:dyDescent="0.2">
      <c r="A162" s="2" t="s">
        <v>23</v>
      </c>
      <c r="B162" s="2">
        <v>24</v>
      </c>
      <c r="C162" s="2">
        <v>7.7</v>
      </c>
      <c r="D162" s="2">
        <v>0.18</v>
      </c>
      <c r="E162" s="2">
        <v>356</v>
      </c>
      <c r="F162" s="2">
        <v>89</v>
      </c>
      <c r="G162" s="2">
        <v>283</v>
      </c>
      <c r="H162" s="2">
        <v>284</v>
      </c>
      <c r="I162" s="2">
        <v>341</v>
      </c>
      <c r="J162" s="2">
        <v>333</v>
      </c>
      <c r="K162" s="2">
        <v>244</v>
      </c>
      <c r="L162" s="2">
        <v>228</v>
      </c>
      <c r="N162" s="2">
        <f t="shared" si="31"/>
        <v>1713</v>
      </c>
      <c r="O162" s="2">
        <f t="shared" si="32"/>
        <v>284</v>
      </c>
      <c r="P162" s="2">
        <f t="shared" si="33"/>
        <v>341</v>
      </c>
      <c r="Q162" s="2">
        <f t="shared" si="34"/>
        <v>244</v>
      </c>
      <c r="R162" s="2">
        <f t="shared" si="35"/>
        <v>0.99647887323943662</v>
      </c>
      <c r="S162" s="2">
        <f t="shared" si="36"/>
        <v>0.97653958944281527</v>
      </c>
      <c r="T162" s="2">
        <f t="shared" si="37"/>
        <v>0.93442622950819676</v>
      </c>
      <c r="V162" s="2">
        <v>244</v>
      </c>
      <c r="Z162" s="2">
        <f t="shared" si="38"/>
        <v>244</v>
      </c>
    </row>
    <row r="163" spans="1:26" ht="15.75" customHeight="1" x14ac:dyDescent="0.2">
      <c r="A163" s="2" t="s">
        <v>23</v>
      </c>
      <c r="B163" s="2">
        <v>24</v>
      </c>
      <c r="C163" s="2">
        <v>7.7</v>
      </c>
      <c r="D163" s="2">
        <v>0.18</v>
      </c>
      <c r="E163" s="2">
        <v>357</v>
      </c>
      <c r="F163" s="2">
        <v>89.25</v>
      </c>
      <c r="G163" s="2">
        <v>256</v>
      </c>
      <c r="H163" s="2">
        <v>260</v>
      </c>
      <c r="I163" s="2">
        <v>375</v>
      </c>
      <c r="J163" s="2">
        <v>337</v>
      </c>
      <c r="K163" s="2">
        <v>205</v>
      </c>
      <c r="L163" s="2">
        <v>127</v>
      </c>
      <c r="N163" s="2">
        <f t="shared" si="31"/>
        <v>1560</v>
      </c>
      <c r="O163" s="2">
        <f t="shared" si="32"/>
        <v>260</v>
      </c>
      <c r="P163" s="2">
        <f t="shared" si="33"/>
        <v>375</v>
      </c>
      <c r="Q163" s="2">
        <f t="shared" si="34"/>
        <v>205</v>
      </c>
      <c r="R163" s="2">
        <f t="shared" si="35"/>
        <v>0.98461538461538467</v>
      </c>
      <c r="S163" s="2">
        <f t="shared" si="36"/>
        <v>0.89866666666666661</v>
      </c>
      <c r="T163" s="2">
        <f t="shared" si="37"/>
        <v>0.61951219512195121</v>
      </c>
      <c r="V163" s="2">
        <v>205</v>
      </c>
      <c r="Z163" s="2">
        <f t="shared" si="38"/>
        <v>205</v>
      </c>
    </row>
    <row r="164" spans="1:26" ht="15.75" customHeight="1" x14ac:dyDescent="0.2">
      <c r="A164" s="2" t="s">
        <v>23</v>
      </c>
      <c r="B164" s="2">
        <v>24</v>
      </c>
      <c r="C164" s="2">
        <v>7.7</v>
      </c>
      <c r="D164" s="2">
        <v>0.18</v>
      </c>
      <c r="E164" s="2">
        <v>370</v>
      </c>
      <c r="F164" s="2">
        <v>92.5</v>
      </c>
      <c r="G164" s="2">
        <v>268</v>
      </c>
      <c r="H164" s="2">
        <v>280</v>
      </c>
      <c r="I164" s="2">
        <v>273</v>
      </c>
      <c r="J164" s="2">
        <v>228</v>
      </c>
      <c r="K164" s="2">
        <v>179</v>
      </c>
      <c r="L164" s="2">
        <v>179</v>
      </c>
      <c r="N164" s="2">
        <f t="shared" si="31"/>
        <v>1407</v>
      </c>
      <c r="O164" s="2">
        <f t="shared" si="32"/>
        <v>280</v>
      </c>
      <c r="P164" s="2">
        <f t="shared" si="33"/>
        <v>273</v>
      </c>
      <c r="Q164" s="2">
        <f t="shared" si="34"/>
        <v>179</v>
      </c>
      <c r="R164" s="2">
        <f t="shared" si="35"/>
        <v>0.95714285714285718</v>
      </c>
      <c r="S164" s="2">
        <f t="shared" si="36"/>
        <v>0.8351648351648352</v>
      </c>
      <c r="T164" s="2">
        <f t="shared" si="37"/>
        <v>1</v>
      </c>
      <c r="V164" s="2">
        <v>179</v>
      </c>
      <c r="Z164" s="2">
        <f t="shared" si="38"/>
        <v>179</v>
      </c>
    </row>
    <row r="165" spans="1:26" ht="15.75" customHeight="1" x14ac:dyDescent="0.2">
      <c r="A165" s="2" t="s">
        <v>23</v>
      </c>
      <c r="B165" s="2">
        <v>24</v>
      </c>
      <c r="C165" s="2">
        <v>7.7</v>
      </c>
      <c r="D165" s="2">
        <v>0.18</v>
      </c>
      <c r="E165" s="2">
        <v>303</v>
      </c>
      <c r="F165" s="2">
        <v>75.75</v>
      </c>
      <c r="G165" s="2">
        <v>237</v>
      </c>
      <c r="H165" s="2">
        <v>241</v>
      </c>
      <c r="I165" s="2">
        <v>345</v>
      </c>
      <c r="J165" s="2">
        <v>246</v>
      </c>
      <c r="K165" s="2">
        <v>248</v>
      </c>
      <c r="L165" s="2">
        <v>273</v>
      </c>
      <c r="N165" s="2">
        <f t="shared" si="31"/>
        <v>1590</v>
      </c>
      <c r="O165" s="2">
        <f t="shared" si="32"/>
        <v>241</v>
      </c>
      <c r="P165" s="2">
        <f t="shared" si="33"/>
        <v>345</v>
      </c>
      <c r="Q165" s="2">
        <f t="shared" si="34"/>
        <v>273</v>
      </c>
      <c r="R165" s="2">
        <f t="shared" si="35"/>
        <v>0.98340248962655596</v>
      </c>
      <c r="S165" s="2">
        <f t="shared" si="36"/>
        <v>0.71304347826086956</v>
      </c>
      <c r="T165" s="2">
        <f t="shared" si="37"/>
        <v>0.90842490842490842</v>
      </c>
      <c r="V165" s="2">
        <v>273</v>
      </c>
      <c r="Z165" s="2">
        <f t="shared" si="38"/>
        <v>273</v>
      </c>
    </row>
    <row r="166" spans="1:26" ht="15.75" customHeight="1" x14ac:dyDescent="0.2">
      <c r="A166" s="2" t="s">
        <v>23</v>
      </c>
      <c r="B166" s="2">
        <v>24</v>
      </c>
      <c r="C166" s="2">
        <v>7.7</v>
      </c>
      <c r="D166" s="2">
        <v>0.18</v>
      </c>
      <c r="E166" s="2">
        <v>346</v>
      </c>
      <c r="F166" s="2">
        <v>86.5</v>
      </c>
      <c r="G166" s="2">
        <v>232</v>
      </c>
      <c r="H166" s="2">
        <v>243</v>
      </c>
      <c r="I166" s="2">
        <v>304</v>
      </c>
      <c r="J166" s="2">
        <v>318</v>
      </c>
      <c r="K166" s="2">
        <v>245</v>
      </c>
      <c r="L166" s="2">
        <v>221</v>
      </c>
      <c r="N166" s="2">
        <f t="shared" si="31"/>
        <v>1563</v>
      </c>
      <c r="O166" s="2">
        <f t="shared" si="32"/>
        <v>243</v>
      </c>
      <c r="P166" s="2">
        <f t="shared" si="33"/>
        <v>318</v>
      </c>
      <c r="Q166" s="2">
        <f t="shared" si="34"/>
        <v>245</v>
      </c>
      <c r="R166" s="2">
        <f t="shared" si="35"/>
        <v>0.95473251028806583</v>
      </c>
      <c r="S166" s="2">
        <f t="shared" si="36"/>
        <v>0.95597484276729561</v>
      </c>
      <c r="T166" s="2">
        <f t="shared" si="37"/>
        <v>0.90204081632653066</v>
      </c>
      <c r="V166" s="2">
        <v>245</v>
      </c>
      <c r="Z166" s="2">
        <f t="shared" si="38"/>
        <v>245</v>
      </c>
    </row>
    <row r="167" spans="1:26" ht="15.75" customHeight="1" x14ac:dyDescent="0.2">
      <c r="A167" s="2" t="s">
        <v>23</v>
      </c>
      <c r="B167" s="2">
        <v>24</v>
      </c>
      <c r="C167" s="2">
        <v>7.7</v>
      </c>
      <c r="D167" s="2">
        <v>0.18</v>
      </c>
      <c r="E167" s="2">
        <v>370</v>
      </c>
      <c r="F167" s="2">
        <v>92.5</v>
      </c>
      <c r="G167" s="2">
        <v>269</v>
      </c>
      <c r="H167" s="2">
        <v>264</v>
      </c>
      <c r="I167" s="2">
        <v>309</v>
      </c>
      <c r="J167" s="2">
        <v>274</v>
      </c>
      <c r="K167" s="2">
        <v>205</v>
      </c>
      <c r="L167" s="2">
        <v>118</v>
      </c>
      <c r="N167" s="2">
        <f t="shared" si="31"/>
        <v>1439</v>
      </c>
      <c r="O167" s="2">
        <f t="shared" si="32"/>
        <v>269</v>
      </c>
      <c r="P167" s="2">
        <f t="shared" si="33"/>
        <v>309</v>
      </c>
      <c r="Q167" s="2">
        <f t="shared" si="34"/>
        <v>205</v>
      </c>
      <c r="R167" s="2">
        <f t="shared" si="35"/>
        <v>0.98141263940520451</v>
      </c>
      <c r="S167" s="2">
        <f t="shared" si="36"/>
        <v>0.88673139158576053</v>
      </c>
      <c r="T167" s="2">
        <f t="shared" si="37"/>
        <v>0.57560975609756093</v>
      </c>
      <c r="V167" s="2">
        <v>205</v>
      </c>
      <c r="Z167" s="2">
        <f t="shared" si="38"/>
        <v>205</v>
      </c>
    </row>
    <row r="168" spans="1:26" ht="15.75" customHeight="1" x14ac:dyDescent="0.2">
      <c r="A168" s="2" t="s">
        <v>23</v>
      </c>
      <c r="B168" s="2">
        <v>24</v>
      </c>
      <c r="C168" s="2">
        <v>7.7</v>
      </c>
      <c r="D168" s="2">
        <v>0.18</v>
      </c>
      <c r="E168" s="2">
        <v>397</v>
      </c>
      <c r="F168" s="2">
        <v>99.25</v>
      </c>
      <c r="G168" s="2">
        <v>269</v>
      </c>
      <c r="H168" s="2">
        <v>266</v>
      </c>
      <c r="I168" s="2">
        <v>315</v>
      </c>
      <c r="J168" s="2">
        <v>311</v>
      </c>
      <c r="K168" s="2">
        <v>253</v>
      </c>
      <c r="L168" s="2">
        <v>273</v>
      </c>
      <c r="N168" s="2">
        <f t="shared" si="31"/>
        <v>1687</v>
      </c>
      <c r="O168" s="2">
        <f t="shared" si="32"/>
        <v>269</v>
      </c>
      <c r="P168" s="2">
        <f t="shared" si="33"/>
        <v>315</v>
      </c>
      <c r="Q168" s="2">
        <f t="shared" si="34"/>
        <v>273</v>
      </c>
      <c r="R168" s="2">
        <f t="shared" si="35"/>
        <v>0.98884758364312264</v>
      </c>
      <c r="S168" s="2">
        <f t="shared" si="36"/>
        <v>0.98730158730158735</v>
      </c>
      <c r="T168" s="2">
        <f t="shared" si="37"/>
        <v>0.92673992673992678</v>
      </c>
      <c r="V168" s="2">
        <v>273</v>
      </c>
      <c r="Z168" s="2">
        <f t="shared" si="38"/>
        <v>273</v>
      </c>
    </row>
    <row r="169" spans="1:26" ht="15.75" customHeight="1" x14ac:dyDescent="0.2">
      <c r="A169" s="2" t="s">
        <v>23</v>
      </c>
      <c r="B169" s="2">
        <v>24</v>
      </c>
      <c r="C169" s="2">
        <v>7.7</v>
      </c>
      <c r="D169" s="2">
        <v>0.18</v>
      </c>
      <c r="E169" s="2">
        <v>374</v>
      </c>
      <c r="F169" s="2">
        <v>93.5</v>
      </c>
      <c r="G169" s="2">
        <v>257</v>
      </c>
      <c r="H169" s="2">
        <v>276</v>
      </c>
      <c r="I169" s="2">
        <v>131</v>
      </c>
      <c r="J169" s="2">
        <v>144</v>
      </c>
      <c r="K169" s="2">
        <v>146</v>
      </c>
      <c r="L169" s="2">
        <v>116</v>
      </c>
      <c r="N169" s="2">
        <f t="shared" si="31"/>
        <v>1070</v>
      </c>
      <c r="O169" s="2">
        <f t="shared" si="32"/>
        <v>276</v>
      </c>
      <c r="P169" s="2">
        <f t="shared" si="33"/>
        <v>144</v>
      </c>
      <c r="Q169" s="2">
        <f t="shared" si="34"/>
        <v>146</v>
      </c>
      <c r="R169" s="2">
        <f t="shared" si="35"/>
        <v>0.9311594202898551</v>
      </c>
      <c r="S169" s="2">
        <f t="shared" si="36"/>
        <v>0.90972222222222221</v>
      </c>
      <c r="T169" s="2">
        <f t="shared" si="37"/>
        <v>0.79452054794520544</v>
      </c>
      <c r="V169" s="2">
        <v>146</v>
      </c>
      <c r="Z169" s="2">
        <f t="shared" si="38"/>
        <v>146</v>
      </c>
    </row>
    <row r="170" spans="1:26" ht="15.75" customHeight="1" x14ac:dyDescent="0.2">
      <c r="A170" s="2" t="s">
        <v>23</v>
      </c>
      <c r="B170" s="2">
        <v>24</v>
      </c>
      <c r="C170" s="2">
        <v>7.7</v>
      </c>
      <c r="D170" s="2">
        <v>0.18</v>
      </c>
      <c r="E170" s="2">
        <v>336</v>
      </c>
      <c r="F170" s="2">
        <v>84</v>
      </c>
      <c r="G170" s="2">
        <v>278</v>
      </c>
      <c r="H170" s="2">
        <v>263</v>
      </c>
      <c r="I170" s="2">
        <v>168</v>
      </c>
      <c r="J170" s="2">
        <v>117</v>
      </c>
      <c r="K170" s="2">
        <v>146</v>
      </c>
      <c r="L170" s="2">
        <v>137</v>
      </c>
      <c r="N170" s="2">
        <f t="shared" si="31"/>
        <v>1109</v>
      </c>
      <c r="O170" s="2">
        <f t="shared" si="32"/>
        <v>278</v>
      </c>
      <c r="P170" s="2">
        <f t="shared" si="33"/>
        <v>168</v>
      </c>
      <c r="Q170" s="2">
        <f t="shared" si="34"/>
        <v>146</v>
      </c>
      <c r="R170" s="2">
        <f t="shared" si="35"/>
        <v>0.9460431654676259</v>
      </c>
      <c r="S170" s="2">
        <f t="shared" si="36"/>
        <v>0.6964285714285714</v>
      </c>
      <c r="T170" s="2">
        <f t="shared" si="37"/>
        <v>0.93835616438356162</v>
      </c>
      <c r="V170" s="2">
        <v>146</v>
      </c>
      <c r="Z170" s="2">
        <f t="shared" si="38"/>
        <v>146</v>
      </c>
    </row>
    <row r="171" spans="1:26" ht="15.75" customHeight="1" x14ac:dyDescent="0.2">
      <c r="A171" s="2" t="s">
        <v>23</v>
      </c>
      <c r="B171" s="2">
        <v>24</v>
      </c>
      <c r="C171" s="2">
        <v>7.7</v>
      </c>
      <c r="D171" s="2">
        <v>0.18</v>
      </c>
      <c r="E171" s="2">
        <v>338</v>
      </c>
      <c r="F171" s="2">
        <v>84.5</v>
      </c>
      <c r="G171" s="2">
        <v>260</v>
      </c>
      <c r="H171" s="2">
        <v>253</v>
      </c>
      <c r="I171" s="2">
        <v>175</v>
      </c>
      <c r="J171" s="2">
        <v>124</v>
      </c>
      <c r="K171" s="2">
        <v>194</v>
      </c>
      <c r="L171" s="2">
        <v>93</v>
      </c>
      <c r="N171" s="2">
        <f t="shared" si="31"/>
        <v>1099</v>
      </c>
      <c r="O171" s="2">
        <f t="shared" si="32"/>
        <v>260</v>
      </c>
      <c r="P171" s="2">
        <f t="shared" si="33"/>
        <v>175</v>
      </c>
      <c r="Q171" s="2">
        <f t="shared" si="34"/>
        <v>194</v>
      </c>
      <c r="R171" s="2">
        <f t="shared" si="35"/>
        <v>0.97307692307692306</v>
      </c>
      <c r="S171" s="2">
        <f t="shared" si="36"/>
        <v>0.70857142857142852</v>
      </c>
      <c r="T171" s="2">
        <f t="shared" si="37"/>
        <v>0.47938144329896909</v>
      </c>
      <c r="V171" s="2">
        <v>194</v>
      </c>
      <c r="Z171" s="2">
        <f t="shared" si="38"/>
        <v>194</v>
      </c>
    </row>
    <row r="172" spans="1:26" ht="15.75" customHeight="1" x14ac:dyDescent="0.2">
      <c r="A172" s="2" t="s">
        <v>23</v>
      </c>
      <c r="B172" s="2">
        <v>24</v>
      </c>
      <c r="C172" s="2">
        <v>7.7</v>
      </c>
      <c r="D172" s="2">
        <v>0.18</v>
      </c>
      <c r="E172" s="2">
        <v>367</v>
      </c>
      <c r="F172" s="2">
        <v>91.75</v>
      </c>
      <c r="G172" s="2">
        <v>308</v>
      </c>
      <c r="H172" s="2">
        <v>317</v>
      </c>
      <c r="I172" s="2">
        <v>319</v>
      </c>
      <c r="J172" s="2">
        <v>181</v>
      </c>
      <c r="K172" s="2">
        <v>133</v>
      </c>
      <c r="L172" s="2">
        <v>151</v>
      </c>
      <c r="N172" s="2">
        <f t="shared" si="31"/>
        <v>1409</v>
      </c>
      <c r="O172" s="2">
        <f t="shared" si="32"/>
        <v>317</v>
      </c>
      <c r="P172" s="2">
        <f t="shared" si="33"/>
        <v>319</v>
      </c>
      <c r="Q172" s="2">
        <f t="shared" si="34"/>
        <v>151</v>
      </c>
      <c r="R172" s="2">
        <f t="shared" si="35"/>
        <v>0.97160883280757093</v>
      </c>
      <c r="S172" s="2">
        <f t="shared" si="36"/>
        <v>0.56739811912225702</v>
      </c>
      <c r="T172" s="2">
        <f t="shared" si="37"/>
        <v>0.88079470198675491</v>
      </c>
      <c r="V172" s="2">
        <v>151</v>
      </c>
      <c r="Z172" s="2">
        <f t="shared" si="38"/>
        <v>151</v>
      </c>
    </row>
    <row r="173" spans="1:26" ht="15.75" customHeight="1" x14ac:dyDescent="0.2">
      <c r="A173" s="2" t="s">
        <v>23</v>
      </c>
      <c r="B173" s="2">
        <v>24</v>
      </c>
      <c r="C173" s="2">
        <v>7.7</v>
      </c>
      <c r="D173" s="2">
        <v>0.18</v>
      </c>
      <c r="E173" s="2">
        <v>322</v>
      </c>
      <c r="F173" s="2">
        <v>80.5</v>
      </c>
      <c r="G173" s="2">
        <v>268</v>
      </c>
      <c r="H173" s="2">
        <v>278</v>
      </c>
      <c r="I173" s="2">
        <v>107</v>
      </c>
      <c r="J173" s="2">
        <v>174</v>
      </c>
      <c r="K173" s="2">
        <v>114</v>
      </c>
      <c r="L173" s="2">
        <v>2</v>
      </c>
      <c r="N173" s="2">
        <f t="shared" si="31"/>
        <v>943</v>
      </c>
      <c r="O173" s="2">
        <f t="shared" si="32"/>
        <v>278</v>
      </c>
      <c r="P173" s="2">
        <f t="shared" si="33"/>
        <v>174</v>
      </c>
      <c r="Q173" s="2">
        <f t="shared" si="34"/>
        <v>114</v>
      </c>
      <c r="R173" s="2">
        <f t="shared" si="35"/>
        <v>0.96402877697841727</v>
      </c>
      <c r="S173" s="2">
        <f t="shared" si="36"/>
        <v>0.61494252873563215</v>
      </c>
      <c r="T173" s="2">
        <f t="shared" si="37"/>
        <v>1.7543859649122806E-2</v>
      </c>
      <c r="V173" s="2">
        <v>114</v>
      </c>
      <c r="Z173" s="2">
        <f t="shared" si="38"/>
        <v>114</v>
      </c>
    </row>
    <row r="174" spans="1:26" ht="15.75" customHeight="1" x14ac:dyDescent="0.2">
      <c r="A174" s="2" t="s">
        <v>23</v>
      </c>
      <c r="B174" s="2">
        <v>24</v>
      </c>
      <c r="C174" s="2">
        <v>7.7</v>
      </c>
      <c r="D174" s="2">
        <v>0.18</v>
      </c>
      <c r="E174" s="2">
        <v>329</v>
      </c>
      <c r="F174" s="2">
        <v>82.25</v>
      </c>
      <c r="G174" s="2">
        <v>255</v>
      </c>
      <c r="H174" s="2">
        <v>239</v>
      </c>
      <c r="I174" s="2">
        <v>246</v>
      </c>
      <c r="J174" s="2">
        <v>253</v>
      </c>
      <c r="K174" s="2">
        <v>169</v>
      </c>
      <c r="L174" s="2">
        <v>149</v>
      </c>
      <c r="N174" s="2">
        <f t="shared" si="31"/>
        <v>1311</v>
      </c>
      <c r="O174" s="2">
        <f t="shared" si="32"/>
        <v>255</v>
      </c>
      <c r="P174" s="2">
        <f t="shared" si="33"/>
        <v>253</v>
      </c>
      <c r="Q174" s="2">
        <f t="shared" si="34"/>
        <v>169</v>
      </c>
      <c r="R174" s="2">
        <f t="shared" si="35"/>
        <v>0.93725490196078431</v>
      </c>
      <c r="S174" s="2">
        <f t="shared" si="36"/>
        <v>0.97233201581027673</v>
      </c>
      <c r="T174" s="2">
        <f t="shared" si="37"/>
        <v>0.88165680473372776</v>
      </c>
      <c r="V174" s="2">
        <v>169</v>
      </c>
      <c r="Z174" s="2">
        <f t="shared" si="38"/>
        <v>169</v>
      </c>
    </row>
    <row r="175" spans="1:26" ht="15.75" customHeight="1" x14ac:dyDescent="0.2">
      <c r="A175" s="2" t="s">
        <v>23</v>
      </c>
      <c r="B175" s="2">
        <v>24</v>
      </c>
      <c r="C175" s="2">
        <v>7.7</v>
      </c>
      <c r="D175" s="2">
        <v>0.18</v>
      </c>
      <c r="E175" s="2">
        <v>325</v>
      </c>
      <c r="F175" s="2">
        <v>81.25</v>
      </c>
      <c r="G175" s="2">
        <v>285</v>
      </c>
      <c r="H175" s="2">
        <v>275</v>
      </c>
      <c r="I175" s="2">
        <v>93</v>
      </c>
      <c r="J175" s="2">
        <v>113</v>
      </c>
      <c r="K175" s="2">
        <v>132</v>
      </c>
      <c r="L175" s="2">
        <v>129</v>
      </c>
      <c r="N175" s="2">
        <f t="shared" si="31"/>
        <v>1027</v>
      </c>
      <c r="O175" s="2">
        <f t="shared" si="32"/>
        <v>285</v>
      </c>
      <c r="P175" s="2">
        <f t="shared" si="33"/>
        <v>113</v>
      </c>
      <c r="Q175" s="2">
        <f t="shared" si="34"/>
        <v>132</v>
      </c>
      <c r="R175" s="2">
        <f t="shared" si="35"/>
        <v>0.96491228070175439</v>
      </c>
      <c r="S175" s="2">
        <f t="shared" si="36"/>
        <v>0.82300884955752207</v>
      </c>
      <c r="T175" s="2">
        <f t="shared" si="37"/>
        <v>0.97727272727272729</v>
      </c>
      <c r="V175" s="2">
        <v>132</v>
      </c>
      <c r="Z175" s="2">
        <f t="shared" si="38"/>
        <v>132</v>
      </c>
    </row>
    <row r="176" spans="1:26" ht="15.75" customHeight="1" x14ac:dyDescent="0.2">
      <c r="A176" s="2" t="s">
        <v>23</v>
      </c>
      <c r="B176" s="2">
        <v>24</v>
      </c>
      <c r="C176" s="2">
        <v>7.7</v>
      </c>
      <c r="D176" s="2">
        <v>0.18</v>
      </c>
      <c r="E176" s="2">
        <v>330</v>
      </c>
      <c r="F176" s="2">
        <v>82.5</v>
      </c>
      <c r="G176" s="2">
        <v>235</v>
      </c>
      <c r="H176" s="2">
        <v>238</v>
      </c>
      <c r="I176" s="2">
        <v>163</v>
      </c>
      <c r="J176" s="2">
        <v>0</v>
      </c>
      <c r="K176" s="2">
        <v>49</v>
      </c>
      <c r="L176" s="2">
        <v>152</v>
      </c>
      <c r="N176" s="2">
        <f t="shared" si="31"/>
        <v>837</v>
      </c>
      <c r="O176" s="2">
        <f t="shared" si="32"/>
        <v>238</v>
      </c>
      <c r="P176" s="2">
        <f t="shared" si="33"/>
        <v>163</v>
      </c>
      <c r="Q176" s="2">
        <f t="shared" si="34"/>
        <v>152</v>
      </c>
      <c r="R176" s="2">
        <f t="shared" si="35"/>
        <v>0.98739495798319332</v>
      </c>
      <c r="S176" s="2">
        <f t="shared" si="36"/>
        <v>0</v>
      </c>
      <c r="T176" s="2">
        <f t="shared" si="37"/>
        <v>0.32236842105263158</v>
      </c>
      <c r="V176" s="2">
        <v>152</v>
      </c>
      <c r="Z176" s="2">
        <f t="shared" si="38"/>
        <v>152</v>
      </c>
    </row>
    <row r="177" spans="1:26" ht="15.75" customHeight="1" x14ac:dyDescent="0.2">
      <c r="A177" s="2" t="s">
        <v>23</v>
      </c>
      <c r="B177" s="2">
        <v>24</v>
      </c>
      <c r="C177" s="2">
        <v>7.7</v>
      </c>
      <c r="D177" s="2">
        <v>0.18</v>
      </c>
      <c r="E177" s="2">
        <v>349</v>
      </c>
      <c r="F177" s="2">
        <v>87.25</v>
      </c>
      <c r="G177" s="2">
        <v>229</v>
      </c>
      <c r="H177" s="2">
        <v>232</v>
      </c>
      <c r="I177" s="2">
        <v>250</v>
      </c>
      <c r="J177" s="2">
        <v>250</v>
      </c>
      <c r="K177" s="2">
        <v>221</v>
      </c>
      <c r="L177" s="2">
        <v>211</v>
      </c>
      <c r="N177" s="2">
        <f t="shared" si="31"/>
        <v>1393</v>
      </c>
      <c r="O177" s="2">
        <f t="shared" si="32"/>
        <v>232</v>
      </c>
      <c r="P177" s="2">
        <f t="shared" si="33"/>
        <v>250</v>
      </c>
      <c r="Q177" s="2">
        <f t="shared" si="34"/>
        <v>221</v>
      </c>
      <c r="R177" s="2">
        <f t="shared" si="35"/>
        <v>0.98706896551724133</v>
      </c>
      <c r="S177" s="2">
        <f t="shared" si="36"/>
        <v>1</v>
      </c>
      <c r="T177" s="2">
        <f t="shared" si="37"/>
        <v>0.95475113122171951</v>
      </c>
      <c r="V177" s="2">
        <v>221</v>
      </c>
      <c r="Z177" s="2">
        <f t="shared" si="38"/>
        <v>221</v>
      </c>
    </row>
    <row r="178" spans="1:26" ht="15.75" customHeight="1" x14ac:dyDescent="0.2">
      <c r="A178" s="2" t="s">
        <v>23</v>
      </c>
      <c r="B178" s="2">
        <v>24</v>
      </c>
      <c r="C178" s="2">
        <v>7.7</v>
      </c>
      <c r="D178" s="2">
        <v>0.18</v>
      </c>
      <c r="E178" s="2">
        <v>357</v>
      </c>
      <c r="F178" s="2">
        <v>89.25</v>
      </c>
      <c r="G178" s="2">
        <v>241</v>
      </c>
      <c r="H178" s="2">
        <v>250</v>
      </c>
      <c r="I178" s="2">
        <v>185</v>
      </c>
      <c r="J178" s="2">
        <v>232</v>
      </c>
      <c r="K178" s="2">
        <v>164</v>
      </c>
      <c r="L178" s="2">
        <v>136</v>
      </c>
      <c r="N178" s="2">
        <f t="shared" si="31"/>
        <v>1208</v>
      </c>
      <c r="O178" s="2">
        <f t="shared" si="32"/>
        <v>250</v>
      </c>
      <c r="P178" s="2">
        <f t="shared" si="33"/>
        <v>232</v>
      </c>
      <c r="Q178" s="2">
        <f t="shared" si="34"/>
        <v>164</v>
      </c>
      <c r="R178" s="2">
        <f t="shared" si="35"/>
        <v>0.96399999999999997</v>
      </c>
      <c r="S178" s="2">
        <f t="shared" si="36"/>
        <v>0.79741379310344829</v>
      </c>
      <c r="T178" s="2">
        <f t="shared" si="37"/>
        <v>0.82926829268292679</v>
      </c>
      <c r="V178" s="2">
        <v>164</v>
      </c>
      <c r="Z178" s="2">
        <f t="shared" si="38"/>
        <v>164</v>
      </c>
    </row>
    <row r="179" spans="1:26" ht="15.75" customHeight="1" x14ac:dyDescent="0.2">
      <c r="A179" s="2" t="s">
        <v>23</v>
      </c>
      <c r="B179" s="2">
        <v>24</v>
      </c>
      <c r="C179" s="2">
        <v>8.1</v>
      </c>
      <c r="D179" s="2">
        <v>7</v>
      </c>
      <c r="E179" s="2">
        <v>337</v>
      </c>
      <c r="F179" s="2">
        <v>84.25</v>
      </c>
      <c r="G179" s="2">
        <v>281</v>
      </c>
      <c r="H179" s="2">
        <v>277</v>
      </c>
      <c r="I179" s="2">
        <v>130</v>
      </c>
      <c r="J179" s="2">
        <v>75</v>
      </c>
      <c r="K179" s="2">
        <v>114</v>
      </c>
      <c r="L179" s="2">
        <v>110</v>
      </c>
      <c r="N179" s="2">
        <f t="shared" si="31"/>
        <v>987</v>
      </c>
      <c r="O179" s="2">
        <f t="shared" si="32"/>
        <v>281</v>
      </c>
      <c r="P179" s="2">
        <f t="shared" si="33"/>
        <v>130</v>
      </c>
      <c r="Q179" s="2">
        <f t="shared" si="34"/>
        <v>114</v>
      </c>
      <c r="R179" s="2">
        <f t="shared" si="35"/>
        <v>0.98576512455516019</v>
      </c>
      <c r="S179" s="2">
        <f t="shared" si="36"/>
        <v>0.57692307692307687</v>
      </c>
      <c r="T179" s="2">
        <f t="shared" si="37"/>
        <v>0.96491228070175439</v>
      </c>
      <c r="V179" s="2">
        <v>114</v>
      </c>
      <c r="Z179" s="2">
        <f t="shared" si="38"/>
        <v>114</v>
      </c>
    </row>
    <row r="180" spans="1:26" ht="15.75" customHeight="1" x14ac:dyDescent="0.2">
      <c r="A180" s="2" t="s">
        <v>23</v>
      </c>
      <c r="B180" s="2">
        <v>24</v>
      </c>
      <c r="C180" s="2">
        <v>8.1</v>
      </c>
      <c r="D180" s="2">
        <v>7</v>
      </c>
      <c r="E180" s="2">
        <v>345</v>
      </c>
      <c r="F180" s="2">
        <v>86.25</v>
      </c>
      <c r="G180" s="2">
        <v>268</v>
      </c>
      <c r="H180" s="2">
        <v>265</v>
      </c>
      <c r="I180" s="2">
        <v>193</v>
      </c>
      <c r="J180" s="2">
        <v>227</v>
      </c>
      <c r="K180" s="2">
        <v>123</v>
      </c>
      <c r="L180" s="2">
        <v>126</v>
      </c>
      <c r="N180" s="2">
        <f t="shared" si="31"/>
        <v>1202</v>
      </c>
      <c r="O180" s="2">
        <f t="shared" si="32"/>
        <v>268</v>
      </c>
      <c r="P180" s="2">
        <f t="shared" si="33"/>
        <v>227</v>
      </c>
      <c r="Q180" s="2">
        <f t="shared" si="34"/>
        <v>126</v>
      </c>
      <c r="R180" s="2">
        <f t="shared" si="35"/>
        <v>0.98880597014925375</v>
      </c>
      <c r="S180" s="2">
        <f t="shared" si="36"/>
        <v>0.85022026431718056</v>
      </c>
      <c r="T180" s="2">
        <f t="shared" si="37"/>
        <v>0.97619047619047616</v>
      </c>
      <c r="V180" s="2">
        <v>126</v>
      </c>
      <c r="Z180" s="2">
        <f t="shared" si="38"/>
        <v>126</v>
      </c>
    </row>
    <row r="181" spans="1:26" ht="15.75" customHeight="1" x14ac:dyDescent="0.2">
      <c r="A181" s="2" t="s">
        <v>23</v>
      </c>
      <c r="B181" s="2">
        <v>24</v>
      </c>
      <c r="C181" s="2">
        <v>8.1</v>
      </c>
      <c r="D181" s="2">
        <v>7</v>
      </c>
      <c r="E181" s="2">
        <v>336</v>
      </c>
      <c r="F181" s="2">
        <v>84</v>
      </c>
      <c r="G181" s="2">
        <v>275</v>
      </c>
      <c r="H181" s="2">
        <v>270</v>
      </c>
      <c r="I181" s="2">
        <v>217</v>
      </c>
      <c r="J181" s="2">
        <v>263</v>
      </c>
      <c r="K181" s="2">
        <v>175</v>
      </c>
      <c r="L181" s="2">
        <v>144</v>
      </c>
      <c r="N181" s="2">
        <f t="shared" si="31"/>
        <v>1344</v>
      </c>
      <c r="O181" s="2">
        <f t="shared" si="32"/>
        <v>275</v>
      </c>
      <c r="P181" s="2">
        <f t="shared" si="33"/>
        <v>263</v>
      </c>
      <c r="Q181" s="2">
        <f t="shared" si="34"/>
        <v>175</v>
      </c>
      <c r="R181" s="2">
        <f t="shared" si="35"/>
        <v>0.98181818181818181</v>
      </c>
      <c r="S181" s="2">
        <f t="shared" si="36"/>
        <v>0.82509505703422048</v>
      </c>
      <c r="T181" s="2">
        <f t="shared" si="37"/>
        <v>0.82285714285714284</v>
      </c>
      <c r="V181" s="2">
        <v>175</v>
      </c>
      <c r="Z181" s="2">
        <f t="shared" si="38"/>
        <v>175</v>
      </c>
    </row>
    <row r="182" spans="1:26" ht="15.75" customHeight="1" x14ac:dyDescent="0.2">
      <c r="A182" s="2" t="s">
        <v>23</v>
      </c>
      <c r="B182" s="2">
        <v>24</v>
      </c>
      <c r="C182" s="2">
        <v>8.1</v>
      </c>
      <c r="D182" s="2">
        <v>7</v>
      </c>
      <c r="E182" s="2">
        <v>322</v>
      </c>
      <c r="F182" s="2">
        <v>80.5</v>
      </c>
      <c r="G182" s="2">
        <v>262</v>
      </c>
      <c r="H182" s="2">
        <v>222</v>
      </c>
      <c r="I182" s="2">
        <v>169</v>
      </c>
      <c r="J182" s="2">
        <v>119</v>
      </c>
      <c r="K182" s="2">
        <v>103</v>
      </c>
      <c r="L182" s="2">
        <v>88</v>
      </c>
      <c r="N182" s="2">
        <f t="shared" si="31"/>
        <v>963</v>
      </c>
      <c r="O182" s="2">
        <f t="shared" si="32"/>
        <v>262</v>
      </c>
      <c r="P182" s="2">
        <f t="shared" si="33"/>
        <v>169</v>
      </c>
      <c r="Q182" s="2">
        <f t="shared" si="34"/>
        <v>103</v>
      </c>
      <c r="R182" s="2">
        <f t="shared" si="35"/>
        <v>0.84732824427480913</v>
      </c>
      <c r="S182" s="2">
        <f t="shared" si="36"/>
        <v>0.70414201183431957</v>
      </c>
      <c r="T182" s="2">
        <f t="shared" si="37"/>
        <v>0.85436893203883491</v>
      </c>
      <c r="V182" s="2">
        <v>103</v>
      </c>
      <c r="Z182" s="2">
        <f t="shared" si="38"/>
        <v>103</v>
      </c>
    </row>
    <row r="183" spans="1:26" ht="15.75" customHeight="1" x14ac:dyDescent="0.2">
      <c r="A183" s="2" t="s">
        <v>23</v>
      </c>
      <c r="B183" s="2">
        <v>24</v>
      </c>
      <c r="C183" s="2">
        <v>8.1</v>
      </c>
      <c r="D183" s="2">
        <v>7</v>
      </c>
      <c r="E183" s="2">
        <v>328</v>
      </c>
      <c r="F183" s="2">
        <v>82</v>
      </c>
      <c r="G183" s="2">
        <v>250</v>
      </c>
      <c r="H183" s="2">
        <v>260</v>
      </c>
      <c r="I183" s="2">
        <v>196</v>
      </c>
      <c r="J183" s="2">
        <v>179</v>
      </c>
      <c r="K183" s="2">
        <v>154</v>
      </c>
      <c r="L183" s="2">
        <v>119</v>
      </c>
      <c r="N183" s="2">
        <f t="shared" si="31"/>
        <v>1158</v>
      </c>
      <c r="O183" s="2">
        <f t="shared" si="32"/>
        <v>260</v>
      </c>
      <c r="P183" s="2">
        <f t="shared" si="33"/>
        <v>196</v>
      </c>
      <c r="Q183" s="2">
        <f t="shared" si="34"/>
        <v>154</v>
      </c>
      <c r="R183" s="2">
        <f t="shared" si="35"/>
        <v>0.96153846153846156</v>
      </c>
      <c r="S183" s="2">
        <f t="shared" si="36"/>
        <v>0.91326530612244894</v>
      </c>
      <c r="T183" s="2">
        <f t="shared" si="37"/>
        <v>0.77272727272727271</v>
      </c>
      <c r="V183" s="2">
        <v>154</v>
      </c>
      <c r="Z183" s="2">
        <f t="shared" si="38"/>
        <v>154</v>
      </c>
    </row>
    <row r="184" spans="1:26" ht="15.75" customHeight="1" x14ac:dyDescent="0.2">
      <c r="A184" s="2" t="s">
        <v>23</v>
      </c>
      <c r="B184" s="2">
        <v>24</v>
      </c>
      <c r="C184" s="2">
        <v>8.1</v>
      </c>
      <c r="D184" s="2">
        <v>7</v>
      </c>
      <c r="E184" s="2">
        <v>347</v>
      </c>
      <c r="F184" s="2">
        <v>86.75</v>
      </c>
      <c r="G184" s="2">
        <v>277</v>
      </c>
      <c r="H184" s="2">
        <v>257</v>
      </c>
      <c r="I184" s="2">
        <v>203</v>
      </c>
      <c r="J184" s="2">
        <v>177</v>
      </c>
      <c r="K184" s="2">
        <v>135</v>
      </c>
      <c r="L184" s="2">
        <v>98</v>
      </c>
      <c r="N184" s="2">
        <f t="shared" si="31"/>
        <v>1147</v>
      </c>
      <c r="O184" s="2">
        <f t="shared" si="32"/>
        <v>277</v>
      </c>
      <c r="P184" s="2">
        <f t="shared" si="33"/>
        <v>203</v>
      </c>
      <c r="Q184" s="2">
        <f t="shared" si="34"/>
        <v>135</v>
      </c>
      <c r="R184" s="2">
        <f t="shared" si="35"/>
        <v>0.92779783393501802</v>
      </c>
      <c r="S184" s="2">
        <f t="shared" si="36"/>
        <v>0.8719211822660099</v>
      </c>
      <c r="T184" s="2">
        <f t="shared" si="37"/>
        <v>0.72592592592592597</v>
      </c>
      <c r="V184" s="2">
        <v>135</v>
      </c>
      <c r="Z184" s="2">
        <f t="shared" si="38"/>
        <v>135</v>
      </c>
    </row>
    <row r="185" spans="1:26" ht="15.75" customHeight="1" x14ac:dyDescent="0.2">
      <c r="A185" s="2" t="s">
        <v>23</v>
      </c>
      <c r="B185" s="2">
        <v>24</v>
      </c>
      <c r="C185" s="2">
        <v>8.1</v>
      </c>
      <c r="D185" s="2">
        <v>7</v>
      </c>
      <c r="E185" s="2">
        <v>388</v>
      </c>
      <c r="F185" s="2">
        <v>97</v>
      </c>
      <c r="G185" s="2">
        <v>304</v>
      </c>
      <c r="H185" s="2">
        <v>271</v>
      </c>
      <c r="I185" s="2">
        <v>275</v>
      </c>
      <c r="J185" s="2">
        <v>286</v>
      </c>
      <c r="K185" s="2">
        <v>200</v>
      </c>
      <c r="L185" s="2">
        <v>202</v>
      </c>
      <c r="N185" s="2">
        <f t="shared" si="31"/>
        <v>1538</v>
      </c>
      <c r="O185" s="2">
        <f t="shared" si="32"/>
        <v>304</v>
      </c>
      <c r="P185" s="2">
        <f t="shared" si="33"/>
        <v>286</v>
      </c>
      <c r="Q185" s="2">
        <f t="shared" si="34"/>
        <v>202</v>
      </c>
      <c r="R185" s="2">
        <f t="shared" si="35"/>
        <v>0.89144736842105265</v>
      </c>
      <c r="S185" s="2">
        <f t="shared" si="36"/>
        <v>0.96153846153846156</v>
      </c>
      <c r="T185" s="2">
        <f t="shared" si="37"/>
        <v>0.99009900990099009</v>
      </c>
      <c r="V185" s="2">
        <v>202</v>
      </c>
      <c r="Z185" s="2">
        <f t="shared" si="38"/>
        <v>202</v>
      </c>
    </row>
    <row r="186" spans="1:26" ht="15.75" customHeight="1" x14ac:dyDescent="0.2">
      <c r="A186" s="2" t="s">
        <v>23</v>
      </c>
      <c r="B186" s="2">
        <v>24</v>
      </c>
      <c r="C186" s="2">
        <v>8.1</v>
      </c>
      <c r="D186" s="2">
        <v>7</v>
      </c>
      <c r="E186" s="2">
        <v>333</v>
      </c>
      <c r="F186" s="2">
        <v>83.25</v>
      </c>
      <c r="G186" s="2">
        <v>264</v>
      </c>
      <c r="H186" s="2">
        <v>274</v>
      </c>
      <c r="I186" s="2">
        <v>218</v>
      </c>
      <c r="J186" s="2">
        <v>254</v>
      </c>
      <c r="K186" s="2">
        <v>171</v>
      </c>
      <c r="L186" s="2">
        <v>152</v>
      </c>
      <c r="N186" s="2">
        <f t="shared" si="31"/>
        <v>1333</v>
      </c>
      <c r="O186" s="2">
        <f t="shared" si="32"/>
        <v>274</v>
      </c>
      <c r="P186" s="2">
        <f t="shared" si="33"/>
        <v>254</v>
      </c>
      <c r="Q186" s="2">
        <f t="shared" si="34"/>
        <v>171</v>
      </c>
      <c r="R186" s="2">
        <f t="shared" si="35"/>
        <v>0.96350364963503654</v>
      </c>
      <c r="S186" s="2">
        <f t="shared" si="36"/>
        <v>0.8582677165354331</v>
      </c>
      <c r="T186" s="2">
        <f t="shared" si="37"/>
        <v>0.88888888888888884</v>
      </c>
      <c r="V186" s="2">
        <v>171</v>
      </c>
      <c r="Z186" s="2">
        <f t="shared" si="38"/>
        <v>171</v>
      </c>
    </row>
    <row r="187" spans="1:26" ht="15.75" customHeight="1" x14ac:dyDescent="0.2">
      <c r="A187" s="2" t="s">
        <v>23</v>
      </c>
      <c r="B187" s="2">
        <v>24</v>
      </c>
      <c r="C187" s="2">
        <v>8.1</v>
      </c>
      <c r="D187" s="2">
        <v>7</v>
      </c>
      <c r="E187" s="2">
        <v>325</v>
      </c>
      <c r="F187" s="2">
        <v>81.25</v>
      </c>
      <c r="G187" s="2">
        <v>252</v>
      </c>
      <c r="H187" s="2">
        <v>250</v>
      </c>
      <c r="I187" s="2">
        <v>199</v>
      </c>
      <c r="J187" s="2">
        <v>177</v>
      </c>
      <c r="K187" s="2">
        <v>144</v>
      </c>
      <c r="L187" s="2">
        <v>127</v>
      </c>
      <c r="N187" s="2">
        <f t="shared" si="31"/>
        <v>1149</v>
      </c>
      <c r="O187" s="2">
        <f t="shared" si="32"/>
        <v>252</v>
      </c>
      <c r="P187" s="2">
        <f t="shared" si="33"/>
        <v>199</v>
      </c>
      <c r="Q187" s="2">
        <f t="shared" si="34"/>
        <v>144</v>
      </c>
      <c r="R187" s="2">
        <f t="shared" si="35"/>
        <v>0.99206349206349209</v>
      </c>
      <c r="S187" s="2">
        <f t="shared" si="36"/>
        <v>0.88944723618090449</v>
      </c>
      <c r="T187" s="2">
        <f t="shared" si="37"/>
        <v>0.88194444444444442</v>
      </c>
      <c r="V187" s="2">
        <v>144</v>
      </c>
      <c r="Z187" s="2">
        <f t="shared" si="38"/>
        <v>144</v>
      </c>
    </row>
    <row r="188" spans="1:26" ht="15.75" customHeight="1" x14ac:dyDescent="0.2">
      <c r="A188" s="2" t="s">
        <v>23</v>
      </c>
      <c r="B188" s="2">
        <v>24</v>
      </c>
      <c r="C188" s="2">
        <v>8.1</v>
      </c>
      <c r="D188" s="2">
        <v>7</v>
      </c>
      <c r="E188" s="2">
        <v>347</v>
      </c>
      <c r="F188" s="2">
        <v>86.75</v>
      </c>
      <c r="G188" s="2">
        <v>254</v>
      </c>
      <c r="H188" s="2">
        <v>269</v>
      </c>
      <c r="I188" s="2">
        <v>217</v>
      </c>
      <c r="J188" s="2">
        <v>238</v>
      </c>
      <c r="K188" s="2">
        <v>172</v>
      </c>
      <c r="L188" s="2">
        <v>157</v>
      </c>
      <c r="N188" s="2">
        <f t="shared" si="31"/>
        <v>1307</v>
      </c>
      <c r="O188" s="2">
        <f t="shared" si="32"/>
        <v>269</v>
      </c>
      <c r="P188" s="2">
        <f t="shared" si="33"/>
        <v>238</v>
      </c>
      <c r="Q188" s="2">
        <f t="shared" si="34"/>
        <v>172</v>
      </c>
      <c r="R188" s="2">
        <f t="shared" si="35"/>
        <v>0.94423791821561343</v>
      </c>
      <c r="S188" s="2">
        <f t="shared" si="36"/>
        <v>0.91176470588235292</v>
      </c>
      <c r="T188" s="2">
        <f t="shared" si="37"/>
        <v>0.91279069767441856</v>
      </c>
      <c r="V188" s="2">
        <v>172</v>
      </c>
      <c r="Z188" s="2">
        <f t="shared" si="38"/>
        <v>172</v>
      </c>
    </row>
    <row r="189" spans="1:26" ht="15.75" customHeight="1" x14ac:dyDescent="0.2">
      <c r="A189" s="2" t="s">
        <v>23</v>
      </c>
      <c r="B189" s="2">
        <v>24</v>
      </c>
      <c r="C189" s="2">
        <v>8.1</v>
      </c>
      <c r="D189" s="2">
        <v>7</v>
      </c>
      <c r="E189" s="2">
        <v>347</v>
      </c>
      <c r="F189" s="2">
        <v>86.75</v>
      </c>
      <c r="G189" s="2">
        <v>290</v>
      </c>
      <c r="H189" s="2">
        <v>301</v>
      </c>
      <c r="I189" s="2">
        <v>273</v>
      </c>
      <c r="J189" s="2">
        <v>201</v>
      </c>
      <c r="K189" s="2">
        <v>145</v>
      </c>
      <c r="L189" s="2">
        <v>120</v>
      </c>
      <c r="N189" s="2">
        <f t="shared" si="31"/>
        <v>1330</v>
      </c>
      <c r="O189" s="2">
        <f t="shared" si="32"/>
        <v>301</v>
      </c>
      <c r="P189" s="2">
        <f t="shared" si="33"/>
        <v>273</v>
      </c>
      <c r="Q189" s="2">
        <f t="shared" si="34"/>
        <v>145</v>
      </c>
      <c r="R189" s="2">
        <f t="shared" si="35"/>
        <v>0.96345514950166111</v>
      </c>
      <c r="S189" s="2">
        <f t="shared" si="36"/>
        <v>0.73626373626373631</v>
      </c>
      <c r="T189" s="2">
        <f t="shared" si="37"/>
        <v>0.82758620689655171</v>
      </c>
      <c r="V189" s="2">
        <v>145</v>
      </c>
      <c r="Z189" s="2">
        <f t="shared" si="38"/>
        <v>145</v>
      </c>
    </row>
    <row r="190" spans="1:26" ht="15.75" customHeight="1" x14ac:dyDescent="0.2">
      <c r="A190" s="2" t="s">
        <v>23</v>
      </c>
      <c r="B190" s="2">
        <v>24</v>
      </c>
      <c r="C190" s="2">
        <v>8.1</v>
      </c>
      <c r="D190" s="2">
        <v>7</v>
      </c>
      <c r="E190" s="2">
        <v>355</v>
      </c>
      <c r="F190" s="2">
        <v>88.75</v>
      </c>
      <c r="G190" s="2">
        <v>277</v>
      </c>
      <c r="H190" s="2">
        <v>262</v>
      </c>
      <c r="I190" s="2">
        <v>183</v>
      </c>
      <c r="J190" s="2">
        <v>141</v>
      </c>
      <c r="K190" s="2">
        <v>131</v>
      </c>
      <c r="L190" s="2">
        <v>120</v>
      </c>
      <c r="N190" s="2">
        <f t="shared" si="31"/>
        <v>1114</v>
      </c>
      <c r="O190" s="2">
        <f t="shared" si="32"/>
        <v>277</v>
      </c>
      <c r="P190" s="2">
        <f t="shared" si="33"/>
        <v>183</v>
      </c>
      <c r="Q190" s="2">
        <f t="shared" si="34"/>
        <v>131</v>
      </c>
      <c r="R190" s="2">
        <f t="shared" si="35"/>
        <v>0.94584837545126355</v>
      </c>
      <c r="S190" s="2">
        <f t="shared" si="36"/>
        <v>0.77049180327868849</v>
      </c>
      <c r="T190" s="2">
        <f t="shared" si="37"/>
        <v>0.91603053435114501</v>
      </c>
      <c r="V190" s="2">
        <v>131</v>
      </c>
      <c r="Z190" s="2">
        <f t="shared" si="38"/>
        <v>131</v>
      </c>
    </row>
    <row r="191" spans="1:26" ht="15.75" customHeight="1" x14ac:dyDescent="0.2">
      <c r="A191" s="2" t="s">
        <v>23</v>
      </c>
      <c r="B191" s="2">
        <v>24</v>
      </c>
      <c r="C191" s="2">
        <v>8.1</v>
      </c>
      <c r="D191" s="2">
        <v>7</v>
      </c>
      <c r="E191" s="2">
        <v>356</v>
      </c>
      <c r="F191" s="2">
        <v>89</v>
      </c>
      <c r="G191" s="2">
        <v>280</v>
      </c>
      <c r="H191" s="2">
        <v>294</v>
      </c>
      <c r="I191" s="2">
        <v>188</v>
      </c>
      <c r="J191" s="2">
        <v>284</v>
      </c>
      <c r="K191" s="2">
        <v>129</v>
      </c>
      <c r="L191" s="2">
        <v>134</v>
      </c>
      <c r="N191" s="2">
        <f t="shared" si="31"/>
        <v>1309</v>
      </c>
      <c r="O191" s="2">
        <f t="shared" si="32"/>
        <v>294</v>
      </c>
      <c r="P191" s="2">
        <f t="shared" si="33"/>
        <v>284</v>
      </c>
      <c r="Q191" s="2">
        <f t="shared" si="34"/>
        <v>134</v>
      </c>
      <c r="R191" s="2">
        <f t="shared" si="35"/>
        <v>0.95238095238095233</v>
      </c>
      <c r="S191" s="2">
        <f t="shared" si="36"/>
        <v>0.6619718309859155</v>
      </c>
      <c r="T191" s="2">
        <f t="shared" si="37"/>
        <v>0.96268656716417911</v>
      </c>
      <c r="V191" s="2">
        <v>134</v>
      </c>
      <c r="Z191" s="2">
        <f t="shared" si="38"/>
        <v>134</v>
      </c>
    </row>
    <row r="192" spans="1:26" ht="15.75" customHeight="1" x14ac:dyDescent="0.2">
      <c r="A192" s="2" t="s">
        <v>23</v>
      </c>
      <c r="B192" s="2">
        <v>24</v>
      </c>
      <c r="C192" s="2">
        <v>8.1</v>
      </c>
      <c r="D192" s="2">
        <v>7</v>
      </c>
      <c r="E192" s="2">
        <v>345</v>
      </c>
      <c r="F192" s="2">
        <v>86.25</v>
      </c>
      <c r="G192" s="2">
        <v>271</v>
      </c>
      <c r="H192" s="2">
        <v>237</v>
      </c>
      <c r="I192" s="2">
        <v>208</v>
      </c>
      <c r="J192" s="2">
        <v>168</v>
      </c>
      <c r="K192" s="2">
        <v>202</v>
      </c>
      <c r="L192" s="2">
        <v>165</v>
      </c>
      <c r="N192" s="2">
        <f t="shared" si="31"/>
        <v>1251</v>
      </c>
      <c r="O192" s="2">
        <f t="shared" si="32"/>
        <v>271</v>
      </c>
      <c r="P192" s="2">
        <f t="shared" si="33"/>
        <v>208</v>
      </c>
      <c r="Q192" s="2">
        <f t="shared" si="34"/>
        <v>202</v>
      </c>
      <c r="R192" s="2">
        <f t="shared" si="35"/>
        <v>0.87453874538745391</v>
      </c>
      <c r="S192" s="2">
        <f t="shared" si="36"/>
        <v>0.80769230769230771</v>
      </c>
      <c r="T192" s="2">
        <f t="shared" si="37"/>
        <v>0.81683168316831678</v>
      </c>
      <c r="V192" s="2">
        <v>202</v>
      </c>
      <c r="Z192" s="2">
        <f t="shared" si="38"/>
        <v>202</v>
      </c>
    </row>
    <row r="193" spans="1:26" ht="15.75" customHeight="1" x14ac:dyDescent="0.2">
      <c r="A193" s="2" t="s">
        <v>23</v>
      </c>
      <c r="B193" s="2">
        <v>24</v>
      </c>
      <c r="C193" s="2">
        <v>8.1</v>
      </c>
      <c r="D193" s="2">
        <v>7</v>
      </c>
      <c r="E193" s="2">
        <v>309</v>
      </c>
      <c r="F193" s="2">
        <v>77.25</v>
      </c>
      <c r="G193" s="2">
        <v>268</v>
      </c>
      <c r="H193" s="2">
        <v>272</v>
      </c>
      <c r="I193" s="2">
        <v>245</v>
      </c>
      <c r="J193" s="2">
        <v>250</v>
      </c>
      <c r="K193" s="2">
        <v>168</v>
      </c>
      <c r="L193" s="2">
        <v>169</v>
      </c>
      <c r="N193" s="2">
        <f t="shared" si="31"/>
        <v>1372</v>
      </c>
      <c r="O193" s="2">
        <f t="shared" si="32"/>
        <v>272</v>
      </c>
      <c r="P193" s="2">
        <f t="shared" si="33"/>
        <v>250</v>
      </c>
      <c r="Q193" s="2">
        <f t="shared" si="34"/>
        <v>169</v>
      </c>
      <c r="R193" s="2">
        <f t="shared" si="35"/>
        <v>0.98529411764705888</v>
      </c>
      <c r="S193" s="2">
        <f t="shared" si="36"/>
        <v>0.98</v>
      </c>
      <c r="T193" s="2">
        <f t="shared" si="37"/>
        <v>0.99408284023668636</v>
      </c>
      <c r="V193" s="2">
        <v>169</v>
      </c>
      <c r="Z193" s="2">
        <f t="shared" si="38"/>
        <v>169</v>
      </c>
    </row>
    <row r="194" spans="1:26" ht="15.75" customHeight="1" x14ac:dyDescent="0.2">
      <c r="A194" s="2" t="s">
        <v>23</v>
      </c>
      <c r="B194" s="2">
        <v>24</v>
      </c>
      <c r="C194" s="2">
        <v>8.1</v>
      </c>
      <c r="D194" s="2">
        <v>7</v>
      </c>
      <c r="E194" s="2">
        <v>333</v>
      </c>
      <c r="F194" s="2">
        <v>83.25</v>
      </c>
      <c r="G194" s="2">
        <v>265</v>
      </c>
      <c r="H194" s="2">
        <v>270</v>
      </c>
      <c r="I194" s="2">
        <v>184</v>
      </c>
      <c r="J194" s="2">
        <v>141</v>
      </c>
      <c r="K194" s="2">
        <v>122</v>
      </c>
      <c r="L194" s="2">
        <v>157</v>
      </c>
      <c r="N194" s="2">
        <f t="shared" si="31"/>
        <v>1139</v>
      </c>
      <c r="O194" s="2">
        <f t="shared" si="32"/>
        <v>270</v>
      </c>
      <c r="P194" s="2">
        <f t="shared" si="33"/>
        <v>184</v>
      </c>
      <c r="Q194" s="2">
        <f t="shared" si="34"/>
        <v>157</v>
      </c>
      <c r="R194" s="2">
        <f t="shared" si="35"/>
        <v>0.98148148148148151</v>
      </c>
      <c r="S194" s="2">
        <f t="shared" si="36"/>
        <v>0.76630434782608692</v>
      </c>
      <c r="T194" s="2">
        <f t="shared" si="37"/>
        <v>0.77707006369426757</v>
      </c>
      <c r="V194" s="2">
        <v>157</v>
      </c>
      <c r="Z194" s="2">
        <f t="shared" si="38"/>
        <v>157</v>
      </c>
    </row>
    <row r="195" spans="1:26" ht="15.75" customHeight="1" x14ac:dyDescent="0.2">
      <c r="A195" s="2" t="s">
        <v>23</v>
      </c>
      <c r="B195" s="2">
        <v>24</v>
      </c>
      <c r="C195" s="2">
        <v>8.1</v>
      </c>
      <c r="D195" s="2">
        <v>7</v>
      </c>
      <c r="E195" s="2">
        <v>362</v>
      </c>
      <c r="F195" s="2">
        <v>90.5</v>
      </c>
      <c r="G195" s="2">
        <v>271</v>
      </c>
      <c r="H195" s="2">
        <v>275</v>
      </c>
      <c r="I195" s="2">
        <v>289</v>
      </c>
      <c r="J195" s="2">
        <v>313</v>
      </c>
      <c r="K195" s="2">
        <v>254</v>
      </c>
      <c r="L195" s="2">
        <v>245</v>
      </c>
      <c r="N195" s="2">
        <f t="shared" si="31"/>
        <v>1647</v>
      </c>
      <c r="O195" s="2">
        <f t="shared" si="32"/>
        <v>275</v>
      </c>
      <c r="P195" s="2">
        <f t="shared" si="33"/>
        <v>313</v>
      </c>
      <c r="Q195" s="2">
        <f t="shared" si="34"/>
        <v>254</v>
      </c>
      <c r="R195" s="2">
        <f t="shared" si="35"/>
        <v>0.98545454545454547</v>
      </c>
      <c r="S195" s="2">
        <f t="shared" si="36"/>
        <v>0.92332268370607029</v>
      </c>
      <c r="T195" s="2">
        <f t="shared" si="37"/>
        <v>0.96456692913385822</v>
      </c>
      <c r="V195" s="2">
        <v>254</v>
      </c>
      <c r="Z195" s="2">
        <f t="shared" si="38"/>
        <v>254</v>
      </c>
    </row>
    <row r="196" spans="1:26" ht="15.75" customHeight="1" x14ac:dyDescent="0.2">
      <c r="A196" s="2" t="s">
        <v>23</v>
      </c>
      <c r="B196" s="2">
        <v>24</v>
      </c>
      <c r="C196" s="2">
        <v>8.1</v>
      </c>
      <c r="D196" s="2">
        <v>7</v>
      </c>
      <c r="E196" s="2">
        <v>333</v>
      </c>
      <c r="F196" s="2">
        <v>83.25</v>
      </c>
      <c r="G196" s="2">
        <v>266</v>
      </c>
      <c r="H196" s="2">
        <v>247</v>
      </c>
      <c r="I196" s="2">
        <v>235</v>
      </c>
      <c r="J196" s="2">
        <v>273</v>
      </c>
      <c r="K196" s="2">
        <v>259</v>
      </c>
      <c r="L196" s="2">
        <v>179</v>
      </c>
      <c r="N196" s="2">
        <f t="shared" si="31"/>
        <v>1459</v>
      </c>
      <c r="O196" s="2">
        <f t="shared" si="32"/>
        <v>266</v>
      </c>
      <c r="P196" s="2">
        <f t="shared" si="33"/>
        <v>273</v>
      </c>
      <c r="Q196" s="2">
        <f t="shared" si="34"/>
        <v>259</v>
      </c>
      <c r="R196" s="2">
        <f t="shared" si="35"/>
        <v>0.9285714285714286</v>
      </c>
      <c r="S196" s="2">
        <f t="shared" si="36"/>
        <v>0.86080586080586086</v>
      </c>
      <c r="T196" s="2">
        <f t="shared" si="37"/>
        <v>0.69111969111969107</v>
      </c>
      <c r="V196" s="2">
        <v>259</v>
      </c>
      <c r="Z196" s="2">
        <f t="shared" si="38"/>
        <v>259</v>
      </c>
    </row>
    <row r="197" spans="1:26" ht="15.75" customHeight="1" x14ac:dyDescent="0.2">
      <c r="A197" s="2" t="s">
        <v>23</v>
      </c>
      <c r="B197" s="2">
        <v>24</v>
      </c>
      <c r="C197" s="2">
        <v>8.1</v>
      </c>
      <c r="D197" s="2">
        <v>7</v>
      </c>
      <c r="E197" s="2">
        <v>286</v>
      </c>
      <c r="F197" s="2">
        <v>71.5</v>
      </c>
      <c r="G197" s="2">
        <v>225</v>
      </c>
      <c r="H197" s="2">
        <v>235</v>
      </c>
      <c r="I197" s="2">
        <v>141</v>
      </c>
      <c r="J197" s="2">
        <v>203</v>
      </c>
      <c r="K197" s="2">
        <v>193</v>
      </c>
      <c r="L197" s="2">
        <v>145</v>
      </c>
      <c r="N197" s="2">
        <f t="shared" si="31"/>
        <v>1142</v>
      </c>
      <c r="O197" s="2">
        <f t="shared" si="32"/>
        <v>235</v>
      </c>
      <c r="P197" s="2">
        <f t="shared" si="33"/>
        <v>203</v>
      </c>
      <c r="Q197" s="2">
        <f t="shared" si="34"/>
        <v>193</v>
      </c>
      <c r="R197" s="2">
        <f t="shared" si="35"/>
        <v>0.95744680851063835</v>
      </c>
      <c r="S197" s="2">
        <f t="shared" si="36"/>
        <v>0.69458128078817738</v>
      </c>
      <c r="T197" s="2">
        <f t="shared" si="37"/>
        <v>0.75129533678756477</v>
      </c>
      <c r="V197" s="2">
        <v>193</v>
      </c>
      <c r="Z197" s="2">
        <f t="shared" si="38"/>
        <v>193</v>
      </c>
    </row>
    <row r="198" spans="1:26" ht="15.75" customHeight="1" x14ac:dyDescent="0.2">
      <c r="A198" s="2" t="s">
        <v>23</v>
      </c>
      <c r="B198" s="2">
        <v>24</v>
      </c>
      <c r="C198" s="2">
        <v>8.1</v>
      </c>
      <c r="D198" s="2">
        <v>7</v>
      </c>
      <c r="E198" s="2">
        <v>298</v>
      </c>
      <c r="F198" s="2">
        <v>74.5</v>
      </c>
      <c r="G198" s="2">
        <v>285</v>
      </c>
      <c r="H198" s="2">
        <v>244</v>
      </c>
      <c r="I198" s="2">
        <v>241</v>
      </c>
      <c r="J198" s="2">
        <v>207</v>
      </c>
      <c r="K198" s="2">
        <v>186</v>
      </c>
      <c r="L198" s="2">
        <v>117</v>
      </c>
      <c r="N198" s="2">
        <f t="shared" si="31"/>
        <v>1280</v>
      </c>
      <c r="O198" s="2">
        <f t="shared" si="32"/>
        <v>285</v>
      </c>
      <c r="P198" s="2">
        <f t="shared" si="33"/>
        <v>241</v>
      </c>
      <c r="Q198" s="2">
        <f t="shared" si="34"/>
        <v>186</v>
      </c>
      <c r="R198" s="2">
        <f t="shared" si="35"/>
        <v>0.85614035087719298</v>
      </c>
      <c r="S198" s="2">
        <f t="shared" si="36"/>
        <v>0.85892116182572609</v>
      </c>
      <c r="T198" s="2">
        <f t="shared" si="37"/>
        <v>0.62903225806451613</v>
      </c>
      <c r="V198" s="2">
        <v>186</v>
      </c>
      <c r="Z198" s="2">
        <f t="shared" si="38"/>
        <v>186</v>
      </c>
    </row>
    <row r="199" spans="1:26" ht="15.75" customHeight="1" x14ac:dyDescent="0.2">
      <c r="A199" s="2" t="s">
        <v>23</v>
      </c>
      <c r="B199" s="2">
        <v>24</v>
      </c>
      <c r="C199" s="2">
        <v>7.7</v>
      </c>
      <c r="D199" s="2">
        <v>7</v>
      </c>
      <c r="E199" s="2">
        <v>344</v>
      </c>
      <c r="F199" s="2">
        <v>86</v>
      </c>
      <c r="G199" s="2">
        <v>179</v>
      </c>
      <c r="H199" s="2">
        <v>163</v>
      </c>
      <c r="I199" s="2">
        <v>271</v>
      </c>
      <c r="J199" s="2">
        <v>273</v>
      </c>
      <c r="K199" s="2">
        <v>162</v>
      </c>
      <c r="L199" s="2">
        <v>187</v>
      </c>
      <c r="N199" s="2">
        <f t="shared" si="31"/>
        <v>1235</v>
      </c>
      <c r="O199" s="2">
        <f t="shared" si="32"/>
        <v>179</v>
      </c>
      <c r="P199" s="2">
        <f t="shared" si="33"/>
        <v>273</v>
      </c>
      <c r="Q199" s="2">
        <f t="shared" si="34"/>
        <v>187</v>
      </c>
      <c r="R199" s="2">
        <f t="shared" si="35"/>
        <v>0.91061452513966479</v>
      </c>
      <c r="S199" s="2">
        <f t="shared" si="36"/>
        <v>0.9926739926739927</v>
      </c>
      <c r="T199" s="2">
        <f t="shared" si="37"/>
        <v>0.86631016042780751</v>
      </c>
      <c r="V199" s="2">
        <v>187</v>
      </c>
      <c r="Z199" s="2">
        <f t="shared" si="38"/>
        <v>187</v>
      </c>
    </row>
    <row r="200" spans="1:26" ht="15.75" customHeight="1" x14ac:dyDescent="0.2">
      <c r="A200" s="2" t="s">
        <v>23</v>
      </c>
      <c r="B200" s="2">
        <v>24</v>
      </c>
      <c r="C200" s="2">
        <v>7.7</v>
      </c>
      <c r="D200" s="2">
        <v>7</v>
      </c>
      <c r="E200" s="2">
        <v>319</v>
      </c>
      <c r="F200" s="2">
        <v>79.75</v>
      </c>
      <c r="G200" s="2">
        <v>103</v>
      </c>
      <c r="H200" s="2">
        <v>119</v>
      </c>
      <c r="I200" s="2">
        <v>231</v>
      </c>
      <c r="J200" s="2">
        <v>231</v>
      </c>
      <c r="K200" s="2">
        <v>113</v>
      </c>
      <c r="L200" s="2">
        <v>112</v>
      </c>
      <c r="N200" s="2">
        <f t="shared" si="31"/>
        <v>909</v>
      </c>
      <c r="O200" s="2">
        <f t="shared" si="32"/>
        <v>119</v>
      </c>
      <c r="P200" s="2">
        <f t="shared" si="33"/>
        <v>231</v>
      </c>
      <c r="Q200" s="2">
        <f t="shared" si="34"/>
        <v>113</v>
      </c>
      <c r="R200" s="2">
        <f t="shared" si="35"/>
        <v>0.86554621848739499</v>
      </c>
      <c r="S200" s="2">
        <f t="shared" si="36"/>
        <v>1</v>
      </c>
      <c r="T200" s="2">
        <f t="shared" si="37"/>
        <v>0.99115044247787609</v>
      </c>
      <c r="V200" s="2">
        <v>113</v>
      </c>
      <c r="Z200" s="2">
        <f t="shared" si="38"/>
        <v>113</v>
      </c>
    </row>
    <row r="201" spans="1:26" ht="15.75" customHeight="1" x14ac:dyDescent="0.2">
      <c r="A201" s="2" t="s">
        <v>23</v>
      </c>
      <c r="B201" s="2">
        <v>24</v>
      </c>
      <c r="C201" s="2">
        <v>7.7</v>
      </c>
      <c r="D201" s="2">
        <v>7</v>
      </c>
      <c r="E201" s="2">
        <v>357</v>
      </c>
      <c r="F201" s="2">
        <v>89.25</v>
      </c>
      <c r="G201" s="2">
        <v>128</v>
      </c>
      <c r="H201" s="2">
        <v>119</v>
      </c>
      <c r="I201" s="2">
        <v>294</v>
      </c>
      <c r="J201" s="2">
        <v>291</v>
      </c>
      <c r="K201" s="2">
        <v>131</v>
      </c>
      <c r="L201" s="2">
        <v>123</v>
      </c>
      <c r="N201" s="2">
        <f t="shared" si="31"/>
        <v>1086</v>
      </c>
      <c r="O201" s="2">
        <f t="shared" si="32"/>
        <v>128</v>
      </c>
      <c r="P201" s="2">
        <f t="shared" si="33"/>
        <v>294</v>
      </c>
      <c r="Q201" s="2">
        <f t="shared" si="34"/>
        <v>131</v>
      </c>
      <c r="R201" s="2">
        <f t="shared" si="35"/>
        <v>0.9296875</v>
      </c>
      <c r="S201" s="2">
        <f t="shared" si="36"/>
        <v>0.98979591836734693</v>
      </c>
      <c r="T201" s="2">
        <f t="shared" si="37"/>
        <v>0.93893129770992367</v>
      </c>
      <c r="V201" s="2">
        <v>131</v>
      </c>
      <c r="Z201" s="2">
        <f t="shared" si="38"/>
        <v>131</v>
      </c>
    </row>
    <row r="202" spans="1:26" ht="15.75" customHeight="1" x14ac:dyDescent="0.2">
      <c r="A202" s="2" t="s">
        <v>23</v>
      </c>
      <c r="B202" s="2">
        <v>24</v>
      </c>
      <c r="C202" s="2">
        <v>7.7</v>
      </c>
      <c r="D202" s="2">
        <v>7</v>
      </c>
      <c r="E202" s="2">
        <v>338</v>
      </c>
      <c r="F202" s="2">
        <v>84.5</v>
      </c>
      <c r="G202" s="2">
        <v>115</v>
      </c>
      <c r="H202" s="2">
        <v>98</v>
      </c>
      <c r="I202" s="2">
        <v>302</v>
      </c>
      <c r="J202" s="2">
        <v>305</v>
      </c>
      <c r="K202" s="2">
        <v>133</v>
      </c>
      <c r="L202" s="2">
        <v>212</v>
      </c>
      <c r="N202" s="2">
        <f t="shared" si="31"/>
        <v>1165</v>
      </c>
      <c r="O202" s="2">
        <f t="shared" si="32"/>
        <v>115</v>
      </c>
      <c r="P202" s="2">
        <f t="shared" si="33"/>
        <v>305</v>
      </c>
      <c r="Q202" s="2">
        <f t="shared" si="34"/>
        <v>212</v>
      </c>
      <c r="R202" s="2">
        <f t="shared" si="35"/>
        <v>0.85217391304347823</v>
      </c>
      <c r="S202" s="2">
        <f t="shared" si="36"/>
        <v>0.99016393442622952</v>
      </c>
      <c r="T202" s="2">
        <f t="shared" si="37"/>
        <v>0.62735849056603776</v>
      </c>
      <c r="V202" s="2">
        <v>212</v>
      </c>
      <c r="Z202" s="2">
        <f t="shared" si="38"/>
        <v>212</v>
      </c>
    </row>
    <row r="203" spans="1:26" ht="15.75" customHeight="1" x14ac:dyDescent="0.2">
      <c r="A203" s="2" t="s">
        <v>23</v>
      </c>
      <c r="B203" s="2">
        <v>24</v>
      </c>
      <c r="C203" s="2">
        <v>7.7</v>
      </c>
      <c r="D203" s="2">
        <v>7</v>
      </c>
      <c r="E203" s="2">
        <v>339</v>
      </c>
      <c r="F203" s="2">
        <v>84.75</v>
      </c>
      <c r="G203" s="2">
        <v>171</v>
      </c>
      <c r="H203" s="2">
        <v>138</v>
      </c>
      <c r="I203" s="2">
        <v>257</v>
      </c>
      <c r="J203" s="2">
        <v>257</v>
      </c>
      <c r="K203" s="2">
        <v>120</v>
      </c>
      <c r="L203" s="2">
        <v>120</v>
      </c>
      <c r="N203" s="2">
        <f t="shared" si="31"/>
        <v>1063</v>
      </c>
      <c r="O203" s="2">
        <f t="shared" si="32"/>
        <v>171</v>
      </c>
      <c r="P203" s="2">
        <f t="shared" si="33"/>
        <v>257</v>
      </c>
      <c r="Q203" s="2">
        <f t="shared" si="34"/>
        <v>120</v>
      </c>
      <c r="R203" s="2">
        <f t="shared" si="35"/>
        <v>0.80701754385964908</v>
      </c>
      <c r="S203" s="2">
        <f t="shared" si="36"/>
        <v>1</v>
      </c>
      <c r="T203" s="2">
        <f t="shared" si="37"/>
        <v>1</v>
      </c>
      <c r="V203" s="2">
        <v>120</v>
      </c>
      <c r="Z203" s="2">
        <f t="shared" si="38"/>
        <v>120</v>
      </c>
    </row>
    <row r="204" spans="1:26" ht="15.75" customHeight="1" x14ac:dyDescent="0.2">
      <c r="A204" s="2" t="s">
        <v>23</v>
      </c>
      <c r="B204" s="2">
        <v>24</v>
      </c>
      <c r="C204" s="2">
        <v>7.7</v>
      </c>
      <c r="D204" s="2">
        <v>7</v>
      </c>
      <c r="E204" s="2">
        <v>331</v>
      </c>
      <c r="F204" s="2">
        <v>82.75</v>
      </c>
      <c r="G204" s="2">
        <v>148</v>
      </c>
      <c r="H204" s="2">
        <v>225</v>
      </c>
      <c r="I204" s="2">
        <v>234</v>
      </c>
      <c r="J204" s="2">
        <v>233</v>
      </c>
      <c r="K204" s="2">
        <v>130</v>
      </c>
      <c r="L204" s="2">
        <v>154</v>
      </c>
      <c r="N204" s="2">
        <f t="shared" ref="N204:N267" si="39">SUM(G204:L204)</f>
        <v>1124</v>
      </c>
      <c r="O204" s="2">
        <f t="shared" ref="O204:O267" si="40">MAX(G204:H204)</f>
        <v>225</v>
      </c>
      <c r="P204" s="2">
        <f t="shared" ref="P204:P267" si="41">MAX(I204:J204)</f>
        <v>234</v>
      </c>
      <c r="Q204" s="2">
        <f t="shared" ref="Q204:Q267" si="42">MAX(K204:L204)</f>
        <v>154</v>
      </c>
      <c r="R204" s="2">
        <f t="shared" ref="R204:R267" si="43">MIN(G204:H204)/MAX(G204:H204)</f>
        <v>0.65777777777777779</v>
      </c>
      <c r="S204" s="2">
        <f t="shared" ref="S204:S267" si="44">MIN(I204:J204)/MAX(I204:J204)</f>
        <v>0.99572649572649574</v>
      </c>
      <c r="T204" s="2">
        <f t="shared" ref="T204:T267" si="45">MIN(K204:L204)/MAX(K204:L204)</f>
        <v>0.8441558441558441</v>
      </c>
      <c r="V204" s="2">
        <v>154</v>
      </c>
      <c r="Z204" s="2">
        <f t="shared" ref="Z204:Z267" si="46">V204</f>
        <v>154</v>
      </c>
    </row>
    <row r="205" spans="1:26" ht="15.75" customHeight="1" x14ac:dyDescent="0.2">
      <c r="A205" s="2" t="s">
        <v>23</v>
      </c>
      <c r="B205" s="2">
        <v>24</v>
      </c>
      <c r="C205" s="2">
        <v>7.7</v>
      </c>
      <c r="D205" s="2">
        <v>7</v>
      </c>
      <c r="E205" s="2">
        <v>336</v>
      </c>
      <c r="F205" s="2">
        <v>84</v>
      </c>
      <c r="G205" s="2">
        <v>135</v>
      </c>
      <c r="H205" s="2">
        <v>97</v>
      </c>
      <c r="I205" s="2">
        <v>257</v>
      </c>
      <c r="J205" s="2">
        <v>257</v>
      </c>
      <c r="K205" s="2">
        <v>89</v>
      </c>
      <c r="L205" s="2">
        <v>108</v>
      </c>
      <c r="N205" s="2">
        <f t="shared" si="39"/>
        <v>943</v>
      </c>
      <c r="O205" s="2">
        <f t="shared" si="40"/>
        <v>135</v>
      </c>
      <c r="P205" s="2">
        <f t="shared" si="41"/>
        <v>257</v>
      </c>
      <c r="Q205" s="2">
        <f t="shared" si="42"/>
        <v>108</v>
      </c>
      <c r="R205" s="2">
        <f t="shared" si="43"/>
        <v>0.71851851851851856</v>
      </c>
      <c r="S205" s="2">
        <f t="shared" si="44"/>
        <v>1</v>
      </c>
      <c r="T205" s="2">
        <f t="shared" si="45"/>
        <v>0.82407407407407407</v>
      </c>
      <c r="V205" s="2">
        <v>108</v>
      </c>
      <c r="Z205" s="2">
        <f t="shared" si="46"/>
        <v>108</v>
      </c>
    </row>
    <row r="206" spans="1:26" ht="15.75" customHeight="1" x14ac:dyDescent="0.2">
      <c r="A206" s="2" t="s">
        <v>23</v>
      </c>
      <c r="B206" s="2">
        <v>24</v>
      </c>
      <c r="C206" s="2">
        <v>7.7</v>
      </c>
      <c r="D206" s="2">
        <v>7</v>
      </c>
      <c r="E206" s="2">
        <v>341</v>
      </c>
      <c r="F206" s="2">
        <v>85.25</v>
      </c>
      <c r="G206" s="2">
        <v>155</v>
      </c>
      <c r="H206" s="2">
        <v>135</v>
      </c>
      <c r="I206" s="2">
        <v>257</v>
      </c>
      <c r="J206" s="2">
        <v>259</v>
      </c>
      <c r="K206" s="2">
        <v>112</v>
      </c>
      <c r="L206" s="2">
        <v>106</v>
      </c>
      <c r="N206" s="2">
        <f t="shared" si="39"/>
        <v>1024</v>
      </c>
      <c r="O206" s="2">
        <f t="shared" si="40"/>
        <v>155</v>
      </c>
      <c r="P206" s="2">
        <f t="shared" si="41"/>
        <v>259</v>
      </c>
      <c r="Q206" s="2">
        <f t="shared" si="42"/>
        <v>112</v>
      </c>
      <c r="R206" s="2">
        <f t="shared" si="43"/>
        <v>0.87096774193548387</v>
      </c>
      <c r="S206" s="2">
        <f t="shared" si="44"/>
        <v>0.99227799227799229</v>
      </c>
      <c r="T206" s="2">
        <f t="shared" si="45"/>
        <v>0.9464285714285714</v>
      </c>
      <c r="V206" s="2">
        <v>112</v>
      </c>
      <c r="Z206" s="2">
        <f t="shared" si="46"/>
        <v>112</v>
      </c>
    </row>
    <row r="207" spans="1:26" ht="15.75" customHeight="1" x14ac:dyDescent="0.2">
      <c r="A207" s="2" t="s">
        <v>23</v>
      </c>
      <c r="B207" s="2">
        <v>24</v>
      </c>
      <c r="C207" s="2">
        <v>7.7</v>
      </c>
      <c r="D207" s="2">
        <v>7</v>
      </c>
      <c r="E207" s="2">
        <v>327</v>
      </c>
      <c r="F207" s="2">
        <v>81.75</v>
      </c>
      <c r="G207" s="2">
        <v>151</v>
      </c>
      <c r="H207" s="2">
        <v>220</v>
      </c>
      <c r="I207" s="2">
        <v>244</v>
      </c>
      <c r="J207" s="2">
        <v>235</v>
      </c>
      <c r="K207" s="2">
        <v>132</v>
      </c>
      <c r="L207" s="2">
        <v>156</v>
      </c>
      <c r="N207" s="2">
        <f t="shared" si="39"/>
        <v>1138</v>
      </c>
      <c r="O207" s="2">
        <f t="shared" si="40"/>
        <v>220</v>
      </c>
      <c r="P207" s="2">
        <f t="shared" si="41"/>
        <v>244</v>
      </c>
      <c r="Q207" s="2">
        <f t="shared" si="42"/>
        <v>156</v>
      </c>
      <c r="R207" s="2">
        <f t="shared" si="43"/>
        <v>0.6863636363636364</v>
      </c>
      <c r="S207" s="2">
        <f t="shared" si="44"/>
        <v>0.96311475409836067</v>
      </c>
      <c r="T207" s="2">
        <f t="shared" si="45"/>
        <v>0.84615384615384615</v>
      </c>
      <c r="V207" s="2">
        <v>156</v>
      </c>
      <c r="Z207" s="2">
        <f t="shared" si="46"/>
        <v>156</v>
      </c>
    </row>
    <row r="208" spans="1:26" ht="15.75" customHeight="1" x14ac:dyDescent="0.2">
      <c r="A208" s="2" t="s">
        <v>23</v>
      </c>
      <c r="B208" s="2">
        <v>24</v>
      </c>
      <c r="C208" s="2">
        <v>7.7</v>
      </c>
      <c r="D208" s="2">
        <v>7</v>
      </c>
      <c r="E208" s="2">
        <v>397</v>
      </c>
      <c r="F208" s="2">
        <v>99.25</v>
      </c>
      <c r="G208" s="2">
        <v>112</v>
      </c>
      <c r="H208" s="2">
        <v>102</v>
      </c>
      <c r="I208" s="2">
        <v>300</v>
      </c>
      <c r="J208" s="2">
        <v>305</v>
      </c>
      <c r="K208" s="2">
        <v>137</v>
      </c>
      <c r="L208" s="2">
        <v>210</v>
      </c>
      <c r="N208" s="2">
        <f t="shared" si="39"/>
        <v>1166</v>
      </c>
      <c r="O208" s="2">
        <f t="shared" si="40"/>
        <v>112</v>
      </c>
      <c r="P208" s="2">
        <f t="shared" si="41"/>
        <v>305</v>
      </c>
      <c r="Q208" s="2">
        <f t="shared" si="42"/>
        <v>210</v>
      </c>
      <c r="R208" s="2">
        <f t="shared" si="43"/>
        <v>0.9107142857142857</v>
      </c>
      <c r="S208" s="2">
        <f t="shared" si="44"/>
        <v>0.98360655737704916</v>
      </c>
      <c r="T208" s="2">
        <f t="shared" si="45"/>
        <v>0.65238095238095239</v>
      </c>
      <c r="V208" s="2">
        <v>210</v>
      </c>
      <c r="Z208" s="2">
        <f t="shared" si="46"/>
        <v>210</v>
      </c>
    </row>
    <row r="209" spans="1:26" ht="15.75" customHeight="1" x14ac:dyDescent="0.2">
      <c r="A209" s="2" t="s">
        <v>23</v>
      </c>
      <c r="B209" s="2">
        <v>24</v>
      </c>
      <c r="C209" s="2">
        <v>7.7</v>
      </c>
      <c r="D209" s="2">
        <v>7</v>
      </c>
      <c r="E209" s="2">
        <v>303</v>
      </c>
      <c r="F209" s="2">
        <v>75.75</v>
      </c>
      <c r="G209" s="2">
        <v>152</v>
      </c>
      <c r="H209" s="2">
        <v>156</v>
      </c>
      <c r="I209" s="2">
        <v>267</v>
      </c>
      <c r="J209" s="2">
        <v>263</v>
      </c>
      <c r="K209" s="2">
        <v>106</v>
      </c>
      <c r="L209" s="2">
        <v>109</v>
      </c>
      <c r="N209" s="2">
        <f t="shared" si="39"/>
        <v>1053</v>
      </c>
      <c r="O209" s="2">
        <f t="shared" si="40"/>
        <v>156</v>
      </c>
      <c r="P209" s="2">
        <f t="shared" si="41"/>
        <v>267</v>
      </c>
      <c r="Q209" s="2">
        <f t="shared" si="42"/>
        <v>109</v>
      </c>
      <c r="R209" s="2">
        <f t="shared" si="43"/>
        <v>0.97435897435897434</v>
      </c>
      <c r="S209" s="2">
        <f t="shared" si="44"/>
        <v>0.98501872659176026</v>
      </c>
      <c r="T209" s="2">
        <f t="shared" si="45"/>
        <v>0.97247706422018354</v>
      </c>
      <c r="V209" s="2">
        <v>109</v>
      </c>
      <c r="Z209" s="2">
        <f t="shared" si="46"/>
        <v>109</v>
      </c>
    </row>
    <row r="210" spans="1:26" ht="15.75" customHeight="1" x14ac:dyDescent="0.2">
      <c r="A210" s="2" t="s">
        <v>23</v>
      </c>
      <c r="B210" s="2">
        <v>24</v>
      </c>
      <c r="C210" s="2">
        <v>7.7</v>
      </c>
      <c r="D210" s="2">
        <v>7</v>
      </c>
      <c r="E210" s="2">
        <v>291</v>
      </c>
      <c r="F210" s="2">
        <v>72.75</v>
      </c>
      <c r="G210" s="2">
        <v>112</v>
      </c>
      <c r="H210" s="2">
        <v>95</v>
      </c>
      <c r="I210" s="2">
        <v>246</v>
      </c>
      <c r="J210" s="2">
        <v>229</v>
      </c>
      <c r="K210" s="2">
        <v>119</v>
      </c>
      <c r="L210" s="2">
        <v>108</v>
      </c>
      <c r="N210" s="2">
        <f t="shared" si="39"/>
        <v>909</v>
      </c>
      <c r="O210" s="2">
        <f t="shared" si="40"/>
        <v>112</v>
      </c>
      <c r="P210" s="2">
        <f t="shared" si="41"/>
        <v>246</v>
      </c>
      <c r="Q210" s="2">
        <f t="shared" si="42"/>
        <v>119</v>
      </c>
      <c r="R210" s="2">
        <f t="shared" si="43"/>
        <v>0.8482142857142857</v>
      </c>
      <c r="S210" s="2">
        <f t="shared" si="44"/>
        <v>0.93089430894308944</v>
      </c>
      <c r="T210" s="2">
        <f t="shared" si="45"/>
        <v>0.90756302521008403</v>
      </c>
      <c r="V210" s="2">
        <v>119</v>
      </c>
      <c r="Z210" s="2">
        <f t="shared" si="46"/>
        <v>119</v>
      </c>
    </row>
    <row r="211" spans="1:26" ht="15.75" customHeight="1" x14ac:dyDescent="0.2">
      <c r="A211" s="2" t="s">
        <v>23</v>
      </c>
      <c r="B211" s="2">
        <v>24</v>
      </c>
      <c r="C211" s="2">
        <v>7.7</v>
      </c>
      <c r="D211" s="2">
        <v>7</v>
      </c>
      <c r="E211" s="2">
        <v>295</v>
      </c>
      <c r="F211" s="2">
        <v>73.75</v>
      </c>
      <c r="G211" s="2">
        <v>112</v>
      </c>
      <c r="H211" s="2">
        <v>83</v>
      </c>
      <c r="I211" s="2">
        <v>259</v>
      </c>
      <c r="J211" s="2">
        <v>265</v>
      </c>
      <c r="K211" s="2">
        <v>73</v>
      </c>
      <c r="L211" s="2">
        <v>63</v>
      </c>
      <c r="N211" s="2">
        <f t="shared" si="39"/>
        <v>855</v>
      </c>
      <c r="O211" s="2">
        <f t="shared" si="40"/>
        <v>112</v>
      </c>
      <c r="P211" s="2">
        <f t="shared" si="41"/>
        <v>265</v>
      </c>
      <c r="Q211" s="2">
        <f t="shared" si="42"/>
        <v>73</v>
      </c>
      <c r="R211" s="2">
        <f t="shared" si="43"/>
        <v>0.7410714285714286</v>
      </c>
      <c r="S211" s="2">
        <f t="shared" si="44"/>
        <v>0.97735849056603774</v>
      </c>
      <c r="T211" s="2">
        <f t="shared" si="45"/>
        <v>0.86301369863013699</v>
      </c>
      <c r="V211" s="2">
        <v>73</v>
      </c>
      <c r="Z211" s="2">
        <f t="shared" si="46"/>
        <v>73</v>
      </c>
    </row>
    <row r="212" spans="1:26" ht="15.75" customHeight="1" x14ac:dyDescent="0.2">
      <c r="A212" s="2" t="s">
        <v>23</v>
      </c>
      <c r="B212" s="2">
        <v>24</v>
      </c>
      <c r="C212" s="2">
        <v>7.7</v>
      </c>
      <c r="D212" s="2">
        <v>7</v>
      </c>
      <c r="E212" s="2">
        <v>392</v>
      </c>
      <c r="F212" s="2">
        <v>98</v>
      </c>
      <c r="G212" s="2">
        <v>152</v>
      </c>
      <c r="H212" s="2">
        <v>150</v>
      </c>
      <c r="I212" s="2">
        <v>277</v>
      </c>
      <c r="J212" s="2">
        <v>279</v>
      </c>
      <c r="K212" s="2">
        <v>165</v>
      </c>
      <c r="L212" s="2">
        <v>168</v>
      </c>
      <c r="N212" s="2">
        <f t="shared" si="39"/>
        <v>1191</v>
      </c>
      <c r="O212" s="2">
        <f t="shared" si="40"/>
        <v>152</v>
      </c>
      <c r="P212" s="2">
        <f t="shared" si="41"/>
        <v>279</v>
      </c>
      <c r="Q212" s="2">
        <f t="shared" si="42"/>
        <v>168</v>
      </c>
      <c r="R212" s="2">
        <f t="shared" si="43"/>
        <v>0.98684210526315785</v>
      </c>
      <c r="S212" s="2">
        <f t="shared" si="44"/>
        <v>0.99283154121863804</v>
      </c>
      <c r="T212" s="2">
        <f t="shared" si="45"/>
        <v>0.9821428571428571</v>
      </c>
      <c r="V212" s="2">
        <v>168</v>
      </c>
      <c r="Z212" s="2">
        <f t="shared" si="46"/>
        <v>168</v>
      </c>
    </row>
    <row r="213" spans="1:26" ht="15.75" customHeight="1" x14ac:dyDescent="0.2">
      <c r="A213" s="2" t="s">
        <v>23</v>
      </c>
      <c r="B213" s="2">
        <v>24</v>
      </c>
      <c r="C213" s="2">
        <v>7.7</v>
      </c>
      <c r="D213" s="2">
        <v>7</v>
      </c>
      <c r="E213" s="2">
        <v>340</v>
      </c>
      <c r="F213" s="2">
        <v>85</v>
      </c>
      <c r="G213" s="2">
        <v>98</v>
      </c>
      <c r="H213" s="2">
        <v>90</v>
      </c>
      <c r="I213" s="2">
        <v>226</v>
      </c>
      <c r="J213" s="2">
        <v>217</v>
      </c>
      <c r="K213" s="2">
        <v>139</v>
      </c>
      <c r="L213" s="2">
        <v>123</v>
      </c>
      <c r="N213" s="2">
        <f t="shared" si="39"/>
        <v>893</v>
      </c>
      <c r="O213" s="2">
        <f t="shared" si="40"/>
        <v>98</v>
      </c>
      <c r="P213" s="2">
        <f t="shared" si="41"/>
        <v>226</v>
      </c>
      <c r="Q213" s="2">
        <f t="shared" si="42"/>
        <v>139</v>
      </c>
      <c r="R213" s="2">
        <f t="shared" si="43"/>
        <v>0.91836734693877553</v>
      </c>
      <c r="S213" s="2">
        <f t="shared" si="44"/>
        <v>0.96017699115044253</v>
      </c>
      <c r="T213" s="2">
        <f t="shared" si="45"/>
        <v>0.8848920863309353</v>
      </c>
      <c r="V213" s="2">
        <v>139</v>
      </c>
      <c r="Z213" s="2">
        <f t="shared" si="46"/>
        <v>139</v>
      </c>
    </row>
    <row r="214" spans="1:26" ht="15.75" customHeight="1" x14ac:dyDescent="0.2">
      <c r="A214" s="2" t="s">
        <v>23</v>
      </c>
      <c r="B214" s="2">
        <v>24</v>
      </c>
      <c r="C214" s="2">
        <v>7.7</v>
      </c>
      <c r="D214" s="2">
        <v>7</v>
      </c>
      <c r="E214" s="2">
        <v>332</v>
      </c>
      <c r="F214" s="2">
        <v>83</v>
      </c>
      <c r="G214" s="2">
        <v>107</v>
      </c>
      <c r="H214" s="2">
        <v>119</v>
      </c>
      <c r="I214" s="2">
        <v>240</v>
      </c>
      <c r="J214" s="2">
        <v>239</v>
      </c>
      <c r="K214" s="2">
        <v>123</v>
      </c>
      <c r="L214" s="2">
        <v>145</v>
      </c>
      <c r="N214" s="2">
        <f t="shared" si="39"/>
        <v>973</v>
      </c>
      <c r="O214" s="2">
        <f t="shared" si="40"/>
        <v>119</v>
      </c>
      <c r="P214" s="2">
        <f t="shared" si="41"/>
        <v>240</v>
      </c>
      <c r="Q214" s="2">
        <f t="shared" si="42"/>
        <v>145</v>
      </c>
      <c r="R214" s="2">
        <f t="shared" si="43"/>
        <v>0.89915966386554624</v>
      </c>
      <c r="S214" s="2">
        <f t="shared" si="44"/>
        <v>0.99583333333333335</v>
      </c>
      <c r="T214" s="2">
        <f t="shared" si="45"/>
        <v>0.84827586206896555</v>
      </c>
      <c r="V214" s="2">
        <v>145</v>
      </c>
      <c r="Z214" s="2">
        <f t="shared" si="46"/>
        <v>145</v>
      </c>
    </row>
    <row r="215" spans="1:26" ht="15.75" customHeight="1" x14ac:dyDescent="0.2">
      <c r="A215" s="2" t="s">
        <v>23</v>
      </c>
      <c r="B215" s="2">
        <v>24</v>
      </c>
      <c r="C215" s="2">
        <v>7.7</v>
      </c>
      <c r="D215" s="2">
        <v>7</v>
      </c>
      <c r="E215" s="2">
        <v>267</v>
      </c>
      <c r="F215" s="2">
        <v>66.75</v>
      </c>
      <c r="G215" s="2">
        <v>160</v>
      </c>
      <c r="H215" s="2">
        <v>136</v>
      </c>
      <c r="I215" s="2">
        <v>213</v>
      </c>
      <c r="J215" s="2">
        <v>218</v>
      </c>
      <c r="K215" s="2">
        <v>159</v>
      </c>
      <c r="L215" s="2">
        <v>159</v>
      </c>
      <c r="N215" s="2">
        <f t="shared" si="39"/>
        <v>1045</v>
      </c>
      <c r="O215" s="2">
        <f t="shared" si="40"/>
        <v>160</v>
      </c>
      <c r="P215" s="2">
        <f t="shared" si="41"/>
        <v>218</v>
      </c>
      <c r="Q215" s="2">
        <f t="shared" si="42"/>
        <v>159</v>
      </c>
      <c r="R215" s="2">
        <f t="shared" si="43"/>
        <v>0.85</v>
      </c>
      <c r="S215" s="2">
        <f t="shared" si="44"/>
        <v>0.97706422018348627</v>
      </c>
      <c r="T215" s="2">
        <f t="shared" si="45"/>
        <v>1</v>
      </c>
      <c r="V215" s="2">
        <v>159</v>
      </c>
      <c r="Z215" s="2">
        <f t="shared" si="46"/>
        <v>159</v>
      </c>
    </row>
    <row r="216" spans="1:26" ht="15.75" customHeight="1" x14ac:dyDescent="0.2">
      <c r="A216" s="2" t="s">
        <v>23</v>
      </c>
      <c r="B216" s="2">
        <v>24</v>
      </c>
      <c r="C216" s="2">
        <v>7.7</v>
      </c>
      <c r="D216" s="2">
        <v>7</v>
      </c>
      <c r="E216" s="2">
        <v>310</v>
      </c>
      <c r="F216" s="2">
        <v>77.5</v>
      </c>
      <c r="G216" s="2">
        <v>156</v>
      </c>
      <c r="H216" s="2">
        <v>169</v>
      </c>
      <c r="I216" s="2">
        <v>254</v>
      </c>
      <c r="J216" s="2">
        <v>254</v>
      </c>
      <c r="K216" s="2">
        <v>101</v>
      </c>
      <c r="L216" s="2">
        <v>103</v>
      </c>
      <c r="N216" s="2">
        <f t="shared" si="39"/>
        <v>1037</v>
      </c>
      <c r="O216" s="2">
        <f t="shared" si="40"/>
        <v>169</v>
      </c>
      <c r="P216" s="2">
        <f t="shared" si="41"/>
        <v>254</v>
      </c>
      <c r="Q216" s="2">
        <f t="shared" si="42"/>
        <v>103</v>
      </c>
      <c r="R216" s="2">
        <f t="shared" si="43"/>
        <v>0.92307692307692313</v>
      </c>
      <c r="S216" s="2">
        <f t="shared" si="44"/>
        <v>1</v>
      </c>
      <c r="T216" s="2">
        <f t="shared" si="45"/>
        <v>0.98058252427184467</v>
      </c>
      <c r="V216" s="2">
        <v>103</v>
      </c>
      <c r="Z216" s="2">
        <f t="shared" si="46"/>
        <v>103</v>
      </c>
    </row>
    <row r="217" spans="1:26" ht="15.75" customHeight="1" x14ac:dyDescent="0.2">
      <c r="A217" s="2" t="s">
        <v>23</v>
      </c>
      <c r="B217" s="2">
        <v>24</v>
      </c>
      <c r="C217" s="2">
        <v>7.7</v>
      </c>
      <c r="D217" s="2">
        <v>7</v>
      </c>
      <c r="E217" s="2">
        <v>336</v>
      </c>
      <c r="F217" s="2">
        <v>84</v>
      </c>
      <c r="G217" s="2">
        <v>122</v>
      </c>
      <c r="H217" s="2">
        <v>129</v>
      </c>
      <c r="I217" s="2">
        <v>293</v>
      </c>
      <c r="J217" s="2">
        <v>288</v>
      </c>
      <c r="K217" s="2">
        <v>87</v>
      </c>
      <c r="L217" s="2">
        <v>86</v>
      </c>
      <c r="N217" s="2">
        <f t="shared" si="39"/>
        <v>1005</v>
      </c>
      <c r="O217" s="2">
        <f t="shared" si="40"/>
        <v>129</v>
      </c>
      <c r="P217" s="2">
        <f t="shared" si="41"/>
        <v>293</v>
      </c>
      <c r="Q217" s="2">
        <f t="shared" si="42"/>
        <v>87</v>
      </c>
      <c r="R217" s="2">
        <f t="shared" si="43"/>
        <v>0.94573643410852715</v>
      </c>
      <c r="S217" s="2">
        <f t="shared" si="44"/>
        <v>0.98293515358361772</v>
      </c>
      <c r="T217" s="2">
        <f t="shared" si="45"/>
        <v>0.9885057471264368</v>
      </c>
      <c r="V217" s="2">
        <v>87</v>
      </c>
      <c r="Z217" s="2">
        <f t="shared" si="46"/>
        <v>87</v>
      </c>
    </row>
    <row r="218" spans="1:26" ht="15.75" customHeight="1" x14ac:dyDescent="0.2">
      <c r="A218" s="2" t="s">
        <v>23</v>
      </c>
      <c r="B218" s="2">
        <v>24</v>
      </c>
      <c r="C218" s="2">
        <v>7.7</v>
      </c>
      <c r="D218" s="2">
        <v>7</v>
      </c>
      <c r="E218" s="2">
        <v>316</v>
      </c>
      <c r="F218" s="2">
        <v>79</v>
      </c>
      <c r="G218" s="2">
        <v>98</v>
      </c>
      <c r="H218" s="2">
        <v>87</v>
      </c>
      <c r="I218" s="2">
        <v>234</v>
      </c>
      <c r="J218" s="2">
        <v>238</v>
      </c>
      <c r="K218" s="2">
        <v>129</v>
      </c>
      <c r="L218" s="2">
        <v>120</v>
      </c>
      <c r="N218" s="2">
        <f t="shared" si="39"/>
        <v>906</v>
      </c>
      <c r="O218" s="2">
        <f t="shared" si="40"/>
        <v>98</v>
      </c>
      <c r="P218" s="2">
        <f t="shared" si="41"/>
        <v>238</v>
      </c>
      <c r="Q218" s="2">
        <f t="shared" si="42"/>
        <v>129</v>
      </c>
      <c r="R218" s="2">
        <f t="shared" si="43"/>
        <v>0.88775510204081631</v>
      </c>
      <c r="S218" s="2">
        <f t="shared" si="44"/>
        <v>0.98319327731092432</v>
      </c>
      <c r="T218" s="2">
        <f t="shared" si="45"/>
        <v>0.93023255813953487</v>
      </c>
      <c r="V218" s="2">
        <v>129</v>
      </c>
      <c r="Z218" s="2">
        <f t="shared" si="46"/>
        <v>129</v>
      </c>
    </row>
    <row r="219" spans="1:26" ht="15.75" customHeight="1" x14ac:dyDescent="0.2">
      <c r="A219" s="2" t="s">
        <v>23</v>
      </c>
      <c r="B219" s="2">
        <v>20</v>
      </c>
      <c r="C219" s="2">
        <v>8.1</v>
      </c>
      <c r="D219" s="2">
        <v>0.18</v>
      </c>
      <c r="E219" s="2">
        <v>303</v>
      </c>
      <c r="F219" s="2">
        <v>75.75</v>
      </c>
      <c r="G219" s="2">
        <v>234</v>
      </c>
      <c r="H219" s="2">
        <v>236</v>
      </c>
      <c r="I219" s="2">
        <v>153</v>
      </c>
      <c r="J219" s="2">
        <v>141</v>
      </c>
      <c r="K219" s="2">
        <v>103</v>
      </c>
      <c r="L219" s="2">
        <v>108</v>
      </c>
      <c r="N219" s="2">
        <f t="shared" si="39"/>
        <v>975</v>
      </c>
      <c r="O219" s="2">
        <f t="shared" si="40"/>
        <v>236</v>
      </c>
      <c r="P219" s="2">
        <f t="shared" si="41"/>
        <v>153</v>
      </c>
      <c r="Q219" s="2">
        <f t="shared" si="42"/>
        <v>108</v>
      </c>
      <c r="R219" s="2">
        <f t="shared" si="43"/>
        <v>0.99152542372881358</v>
      </c>
      <c r="S219" s="2">
        <f t="shared" si="44"/>
        <v>0.92156862745098034</v>
      </c>
      <c r="T219" s="2">
        <f t="shared" si="45"/>
        <v>0.95370370370370372</v>
      </c>
      <c r="V219" s="2">
        <v>108</v>
      </c>
      <c r="Z219" s="2">
        <f t="shared" si="46"/>
        <v>108</v>
      </c>
    </row>
    <row r="220" spans="1:26" ht="15.75" customHeight="1" x14ac:dyDescent="0.2">
      <c r="A220" s="2" t="s">
        <v>23</v>
      </c>
      <c r="B220" s="2">
        <v>20</v>
      </c>
      <c r="C220" s="2">
        <v>8.1</v>
      </c>
      <c r="D220" s="2">
        <v>0.18</v>
      </c>
      <c r="E220" s="2">
        <v>315</v>
      </c>
      <c r="F220" s="2">
        <v>78.75</v>
      </c>
      <c r="G220" s="2">
        <v>247</v>
      </c>
      <c r="H220" s="2">
        <v>246</v>
      </c>
      <c r="I220" s="2">
        <v>155</v>
      </c>
      <c r="J220" s="2">
        <v>111</v>
      </c>
      <c r="K220" s="2">
        <v>100</v>
      </c>
      <c r="L220" s="2">
        <v>113</v>
      </c>
      <c r="N220" s="2">
        <f t="shared" si="39"/>
        <v>972</v>
      </c>
      <c r="O220" s="2">
        <f t="shared" si="40"/>
        <v>247</v>
      </c>
      <c r="P220" s="2">
        <f t="shared" si="41"/>
        <v>155</v>
      </c>
      <c r="Q220" s="2">
        <f t="shared" si="42"/>
        <v>113</v>
      </c>
      <c r="R220" s="2">
        <f t="shared" si="43"/>
        <v>0.99595141700404854</v>
      </c>
      <c r="S220" s="2">
        <f t="shared" si="44"/>
        <v>0.71612903225806457</v>
      </c>
      <c r="T220" s="2">
        <f t="shared" si="45"/>
        <v>0.88495575221238942</v>
      </c>
      <c r="V220" s="2">
        <v>113</v>
      </c>
      <c r="Z220" s="2">
        <f t="shared" si="46"/>
        <v>113</v>
      </c>
    </row>
    <row r="221" spans="1:26" ht="15.75" customHeight="1" x14ac:dyDescent="0.2">
      <c r="A221" s="2" t="s">
        <v>23</v>
      </c>
      <c r="B221" s="2">
        <v>20</v>
      </c>
      <c r="C221" s="2">
        <v>8.1</v>
      </c>
      <c r="D221" s="2">
        <v>0.18</v>
      </c>
      <c r="E221" s="2">
        <v>299</v>
      </c>
      <c r="F221" s="2">
        <v>74.75</v>
      </c>
      <c r="G221" s="2">
        <v>255</v>
      </c>
      <c r="H221" s="2">
        <v>256</v>
      </c>
      <c r="I221" s="2">
        <v>236</v>
      </c>
      <c r="J221" s="2">
        <v>232</v>
      </c>
      <c r="K221" s="2">
        <v>85</v>
      </c>
      <c r="L221" s="2">
        <v>88</v>
      </c>
      <c r="N221" s="2">
        <f t="shared" si="39"/>
        <v>1152</v>
      </c>
      <c r="O221" s="2">
        <f t="shared" si="40"/>
        <v>256</v>
      </c>
      <c r="P221" s="2">
        <f t="shared" si="41"/>
        <v>236</v>
      </c>
      <c r="Q221" s="2">
        <f t="shared" si="42"/>
        <v>88</v>
      </c>
      <c r="R221" s="2">
        <f t="shared" si="43"/>
        <v>0.99609375</v>
      </c>
      <c r="S221" s="2">
        <f t="shared" si="44"/>
        <v>0.98305084745762716</v>
      </c>
      <c r="T221" s="2">
        <f t="shared" si="45"/>
        <v>0.96590909090909094</v>
      </c>
      <c r="V221" s="2">
        <v>88</v>
      </c>
      <c r="Z221" s="2">
        <f t="shared" si="46"/>
        <v>88</v>
      </c>
    </row>
    <row r="222" spans="1:26" ht="15.75" customHeight="1" x14ac:dyDescent="0.2">
      <c r="A222" s="2" t="s">
        <v>23</v>
      </c>
      <c r="B222" s="2">
        <v>20</v>
      </c>
      <c r="C222" s="2">
        <v>8.1</v>
      </c>
      <c r="D222" s="2">
        <v>0.18</v>
      </c>
      <c r="E222" s="2">
        <v>293</v>
      </c>
      <c r="F222" s="2">
        <v>73.25</v>
      </c>
      <c r="G222" s="2">
        <v>245</v>
      </c>
      <c r="H222" s="2">
        <v>254</v>
      </c>
      <c r="I222" s="2">
        <v>188</v>
      </c>
      <c r="J222" s="2">
        <v>119</v>
      </c>
      <c r="K222" s="2">
        <v>101</v>
      </c>
      <c r="L222" s="2">
        <v>110</v>
      </c>
      <c r="N222" s="2">
        <f t="shared" si="39"/>
        <v>1017</v>
      </c>
      <c r="O222" s="2">
        <f t="shared" si="40"/>
        <v>254</v>
      </c>
      <c r="P222" s="2">
        <f t="shared" si="41"/>
        <v>188</v>
      </c>
      <c r="Q222" s="2">
        <f t="shared" si="42"/>
        <v>110</v>
      </c>
      <c r="R222" s="2">
        <f t="shared" si="43"/>
        <v>0.96456692913385822</v>
      </c>
      <c r="S222" s="2">
        <f t="shared" si="44"/>
        <v>0.63297872340425532</v>
      </c>
      <c r="T222" s="2">
        <f t="shared" si="45"/>
        <v>0.91818181818181821</v>
      </c>
      <c r="V222" s="2">
        <v>110</v>
      </c>
      <c r="Z222" s="2">
        <f t="shared" si="46"/>
        <v>110</v>
      </c>
    </row>
    <row r="223" spans="1:26" ht="15.75" customHeight="1" x14ac:dyDescent="0.2">
      <c r="A223" s="2" t="s">
        <v>23</v>
      </c>
      <c r="B223" s="2">
        <v>20</v>
      </c>
      <c r="C223" s="2">
        <v>8.1</v>
      </c>
      <c r="D223" s="2">
        <v>0.18</v>
      </c>
      <c r="E223" s="2">
        <v>240</v>
      </c>
      <c r="F223" s="2">
        <v>60</v>
      </c>
      <c r="G223" s="2">
        <v>244</v>
      </c>
      <c r="H223" s="2">
        <v>266</v>
      </c>
      <c r="I223" s="2">
        <v>136</v>
      </c>
      <c r="J223" s="2">
        <v>172</v>
      </c>
      <c r="K223" s="2">
        <v>84</v>
      </c>
      <c r="L223" s="2">
        <v>87</v>
      </c>
      <c r="N223" s="2">
        <f t="shared" si="39"/>
        <v>989</v>
      </c>
      <c r="O223" s="2">
        <f t="shared" si="40"/>
        <v>266</v>
      </c>
      <c r="P223" s="2">
        <f t="shared" si="41"/>
        <v>172</v>
      </c>
      <c r="Q223" s="2">
        <f t="shared" si="42"/>
        <v>87</v>
      </c>
      <c r="R223" s="2">
        <f t="shared" si="43"/>
        <v>0.91729323308270672</v>
      </c>
      <c r="S223" s="2">
        <f t="shared" si="44"/>
        <v>0.79069767441860461</v>
      </c>
      <c r="T223" s="2">
        <f t="shared" si="45"/>
        <v>0.96551724137931039</v>
      </c>
      <c r="V223" s="2">
        <v>87</v>
      </c>
      <c r="Z223" s="2">
        <f t="shared" si="46"/>
        <v>87</v>
      </c>
    </row>
    <row r="224" spans="1:26" ht="15.75" customHeight="1" x14ac:dyDescent="0.2">
      <c r="A224" s="2" t="s">
        <v>23</v>
      </c>
      <c r="B224" s="2">
        <v>20</v>
      </c>
      <c r="C224" s="2">
        <v>8.1</v>
      </c>
      <c r="D224" s="2">
        <v>0.18</v>
      </c>
      <c r="E224" s="2">
        <v>326</v>
      </c>
      <c r="F224" s="2">
        <v>81.5</v>
      </c>
      <c r="G224" s="2">
        <v>268</v>
      </c>
      <c r="H224" s="2">
        <v>277</v>
      </c>
      <c r="I224" s="2">
        <v>317</v>
      </c>
      <c r="J224" s="2">
        <v>281</v>
      </c>
      <c r="K224" s="2">
        <v>209</v>
      </c>
      <c r="L224" s="2">
        <v>224</v>
      </c>
      <c r="N224" s="2">
        <f t="shared" si="39"/>
        <v>1576</v>
      </c>
      <c r="O224" s="2">
        <f t="shared" si="40"/>
        <v>277</v>
      </c>
      <c r="P224" s="2">
        <f t="shared" si="41"/>
        <v>317</v>
      </c>
      <c r="Q224" s="2">
        <f t="shared" si="42"/>
        <v>224</v>
      </c>
      <c r="R224" s="2">
        <f t="shared" si="43"/>
        <v>0.96750902527075811</v>
      </c>
      <c r="S224" s="2">
        <f t="shared" si="44"/>
        <v>0.88643533123028395</v>
      </c>
      <c r="T224" s="2">
        <f t="shared" si="45"/>
        <v>0.9330357142857143</v>
      </c>
      <c r="V224" s="2">
        <v>224</v>
      </c>
      <c r="Z224" s="2">
        <f t="shared" si="46"/>
        <v>224</v>
      </c>
    </row>
    <row r="225" spans="1:26" ht="15.75" customHeight="1" x14ac:dyDescent="0.2">
      <c r="A225" s="2" t="s">
        <v>23</v>
      </c>
      <c r="B225" s="2">
        <v>20</v>
      </c>
      <c r="C225" s="2">
        <v>8.1</v>
      </c>
      <c r="D225" s="2">
        <v>0.18</v>
      </c>
      <c r="E225" s="2">
        <v>381</v>
      </c>
      <c r="F225" s="2">
        <v>95.25</v>
      </c>
      <c r="G225" s="2">
        <v>282</v>
      </c>
      <c r="H225" s="2">
        <v>281</v>
      </c>
      <c r="I225" s="2">
        <v>347</v>
      </c>
      <c r="J225" s="2">
        <v>307</v>
      </c>
      <c r="K225" s="2">
        <v>203</v>
      </c>
      <c r="L225" s="2">
        <v>235</v>
      </c>
      <c r="N225" s="2">
        <f t="shared" si="39"/>
        <v>1655</v>
      </c>
      <c r="O225" s="2">
        <f t="shared" si="40"/>
        <v>282</v>
      </c>
      <c r="P225" s="2">
        <f t="shared" si="41"/>
        <v>347</v>
      </c>
      <c r="Q225" s="2">
        <f t="shared" si="42"/>
        <v>235</v>
      </c>
      <c r="R225" s="2">
        <f t="shared" si="43"/>
        <v>0.99645390070921991</v>
      </c>
      <c r="S225" s="2">
        <f t="shared" si="44"/>
        <v>0.88472622478386165</v>
      </c>
      <c r="T225" s="2">
        <f t="shared" si="45"/>
        <v>0.86382978723404258</v>
      </c>
      <c r="V225" s="2">
        <v>235</v>
      </c>
      <c r="Z225" s="2">
        <f t="shared" si="46"/>
        <v>235</v>
      </c>
    </row>
    <row r="226" spans="1:26" ht="15.75" customHeight="1" x14ac:dyDescent="0.2">
      <c r="A226" s="2" t="s">
        <v>23</v>
      </c>
      <c r="B226" s="2">
        <v>20</v>
      </c>
      <c r="C226" s="2">
        <v>8.1</v>
      </c>
      <c r="D226" s="2">
        <v>0.18</v>
      </c>
      <c r="E226" s="2">
        <v>364</v>
      </c>
      <c r="F226" s="2">
        <v>91</v>
      </c>
      <c r="G226" s="2">
        <v>306</v>
      </c>
      <c r="H226" s="2">
        <v>302</v>
      </c>
      <c r="I226" s="2">
        <v>175</v>
      </c>
      <c r="J226" s="2">
        <v>195</v>
      </c>
      <c r="K226" s="2">
        <v>154</v>
      </c>
      <c r="L226" s="2">
        <v>166</v>
      </c>
      <c r="N226" s="2">
        <f t="shared" si="39"/>
        <v>1298</v>
      </c>
      <c r="O226" s="2">
        <f t="shared" si="40"/>
        <v>306</v>
      </c>
      <c r="P226" s="2">
        <f t="shared" si="41"/>
        <v>195</v>
      </c>
      <c r="Q226" s="2">
        <f t="shared" si="42"/>
        <v>166</v>
      </c>
      <c r="R226" s="2">
        <f t="shared" si="43"/>
        <v>0.98692810457516345</v>
      </c>
      <c r="S226" s="2">
        <f t="shared" si="44"/>
        <v>0.89743589743589747</v>
      </c>
      <c r="T226" s="2">
        <f t="shared" si="45"/>
        <v>0.92771084337349397</v>
      </c>
      <c r="V226" s="2">
        <v>166</v>
      </c>
      <c r="Z226" s="2">
        <f t="shared" si="46"/>
        <v>166</v>
      </c>
    </row>
    <row r="227" spans="1:26" ht="15.75" customHeight="1" x14ac:dyDescent="0.2">
      <c r="A227" s="2" t="s">
        <v>23</v>
      </c>
      <c r="B227" s="2">
        <v>20</v>
      </c>
      <c r="C227" s="2">
        <v>8.1</v>
      </c>
      <c r="D227" s="2">
        <v>0.18</v>
      </c>
      <c r="E227" s="2">
        <v>313</v>
      </c>
      <c r="F227" s="2">
        <v>78.25</v>
      </c>
      <c r="G227" s="2">
        <v>255</v>
      </c>
      <c r="H227" s="2">
        <v>250</v>
      </c>
      <c r="I227" s="2">
        <v>312</v>
      </c>
      <c r="J227" s="2">
        <v>319</v>
      </c>
      <c r="K227" s="2">
        <v>210</v>
      </c>
      <c r="L227" s="2">
        <v>205</v>
      </c>
      <c r="N227" s="2">
        <f t="shared" si="39"/>
        <v>1551</v>
      </c>
      <c r="O227" s="2">
        <f t="shared" si="40"/>
        <v>255</v>
      </c>
      <c r="P227" s="2">
        <f t="shared" si="41"/>
        <v>319</v>
      </c>
      <c r="Q227" s="2">
        <f t="shared" si="42"/>
        <v>210</v>
      </c>
      <c r="R227" s="2">
        <f t="shared" si="43"/>
        <v>0.98039215686274506</v>
      </c>
      <c r="S227" s="2">
        <f t="shared" si="44"/>
        <v>0.9780564263322884</v>
      </c>
      <c r="T227" s="2">
        <f t="shared" si="45"/>
        <v>0.97619047619047616</v>
      </c>
      <c r="V227" s="2">
        <v>210</v>
      </c>
      <c r="Z227" s="2">
        <f t="shared" si="46"/>
        <v>210</v>
      </c>
    </row>
    <row r="228" spans="1:26" ht="15.75" customHeight="1" x14ac:dyDescent="0.2">
      <c r="A228" s="2" t="s">
        <v>23</v>
      </c>
      <c r="B228" s="2">
        <v>20</v>
      </c>
      <c r="C228" s="2">
        <v>8.1</v>
      </c>
      <c r="D228" s="2">
        <v>0.18</v>
      </c>
      <c r="E228" s="2">
        <v>336</v>
      </c>
      <c r="F228" s="2">
        <v>84</v>
      </c>
      <c r="G228" s="2">
        <v>278</v>
      </c>
      <c r="H228" s="2">
        <v>276</v>
      </c>
      <c r="I228" s="2">
        <v>328</v>
      </c>
      <c r="J228" s="2">
        <v>319</v>
      </c>
      <c r="K228" s="2">
        <v>202</v>
      </c>
      <c r="L228" s="2">
        <v>205</v>
      </c>
      <c r="N228" s="2">
        <f t="shared" si="39"/>
        <v>1608</v>
      </c>
      <c r="O228" s="2">
        <f t="shared" si="40"/>
        <v>278</v>
      </c>
      <c r="P228" s="2">
        <f t="shared" si="41"/>
        <v>328</v>
      </c>
      <c r="Q228" s="2">
        <f t="shared" si="42"/>
        <v>205</v>
      </c>
      <c r="R228" s="2">
        <f t="shared" si="43"/>
        <v>0.9928057553956835</v>
      </c>
      <c r="S228" s="2">
        <f t="shared" si="44"/>
        <v>0.97256097560975607</v>
      </c>
      <c r="T228" s="2">
        <f t="shared" si="45"/>
        <v>0.98536585365853657</v>
      </c>
      <c r="V228" s="2">
        <v>205</v>
      </c>
      <c r="Z228" s="2">
        <f t="shared" si="46"/>
        <v>205</v>
      </c>
    </row>
    <row r="229" spans="1:26" ht="15.75" customHeight="1" x14ac:dyDescent="0.2">
      <c r="A229" s="2" t="s">
        <v>23</v>
      </c>
      <c r="B229" s="2">
        <v>20</v>
      </c>
      <c r="C229" s="2">
        <v>8.1</v>
      </c>
      <c r="D229" s="2">
        <v>0.18</v>
      </c>
      <c r="E229" s="2">
        <v>325</v>
      </c>
      <c r="F229" s="2">
        <v>81.25</v>
      </c>
      <c r="G229" s="2">
        <v>275</v>
      </c>
      <c r="H229" s="2">
        <v>266</v>
      </c>
      <c r="I229" s="2">
        <v>284</v>
      </c>
      <c r="J229" s="2">
        <v>317</v>
      </c>
      <c r="K229" s="2">
        <v>215</v>
      </c>
      <c r="L229" s="2">
        <v>202</v>
      </c>
      <c r="N229" s="2">
        <f t="shared" si="39"/>
        <v>1559</v>
      </c>
      <c r="O229" s="2">
        <f t="shared" si="40"/>
        <v>275</v>
      </c>
      <c r="P229" s="2">
        <f t="shared" si="41"/>
        <v>317</v>
      </c>
      <c r="Q229" s="2">
        <f t="shared" si="42"/>
        <v>215</v>
      </c>
      <c r="R229" s="2">
        <f t="shared" si="43"/>
        <v>0.96727272727272728</v>
      </c>
      <c r="S229" s="2">
        <f t="shared" si="44"/>
        <v>0.89589905362776023</v>
      </c>
      <c r="T229" s="2">
        <f t="shared" si="45"/>
        <v>0.93953488372093019</v>
      </c>
      <c r="V229" s="2">
        <v>215</v>
      </c>
      <c r="Z229" s="2">
        <f t="shared" si="46"/>
        <v>215</v>
      </c>
    </row>
    <row r="230" spans="1:26" ht="15.75" customHeight="1" x14ac:dyDescent="0.2">
      <c r="A230" s="2" t="s">
        <v>23</v>
      </c>
      <c r="B230" s="2">
        <v>20</v>
      </c>
      <c r="C230" s="2">
        <v>7.7</v>
      </c>
      <c r="D230" s="2">
        <v>0.18</v>
      </c>
      <c r="E230" s="2">
        <v>375</v>
      </c>
      <c r="F230" s="2">
        <v>93.75</v>
      </c>
      <c r="G230" s="2">
        <v>258</v>
      </c>
      <c r="H230" s="2">
        <v>265</v>
      </c>
      <c r="I230" s="2">
        <v>277</v>
      </c>
      <c r="J230" s="2">
        <v>295</v>
      </c>
      <c r="K230" s="2">
        <v>207</v>
      </c>
      <c r="L230" s="2">
        <v>142</v>
      </c>
      <c r="N230" s="2">
        <f t="shared" si="39"/>
        <v>1444</v>
      </c>
      <c r="O230" s="2">
        <f t="shared" si="40"/>
        <v>265</v>
      </c>
      <c r="P230" s="2">
        <f t="shared" si="41"/>
        <v>295</v>
      </c>
      <c r="Q230" s="2">
        <f t="shared" si="42"/>
        <v>207</v>
      </c>
      <c r="R230" s="2">
        <f t="shared" si="43"/>
        <v>0.97358490566037736</v>
      </c>
      <c r="S230" s="2">
        <f t="shared" si="44"/>
        <v>0.93898305084745759</v>
      </c>
      <c r="T230" s="2">
        <f t="shared" si="45"/>
        <v>0.68599033816425126</v>
      </c>
      <c r="V230" s="2">
        <v>207</v>
      </c>
      <c r="Z230" s="2">
        <f t="shared" si="46"/>
        <v>207</v>
      </c>
    </row>
    <row r="231" spans="1:26" ht="15.75" customHeight="1" x14ac:dyDescent="0.2">
      <c r="A231" s="2" t="s">
        <v>23</v>
      </c>
      <c r="B231" s="2">
        <v>20</v>
      </c>
      <c r="C231" s="2">
        <v>7.7</v>
      </c>
      <c r="D231" s="2">
        <v>0.18</v>
      </c>
      <c r="E231" s="2">
        <v>334</v>
      </c>
      <c r="F231" s="2">
        <v>83.5</v>
      </c>
      <c r="G231" s="2">
        <v>257</v>
      </c>
      <c r="H231" s="2">
        <v>254</v>
      </c>
      <c r="I231" s="2">
        <v>263</v>
      </c>
      <c r="J231" s="2">
        <v>275</v>
      </c>
      <c r="K231" s="2">
        <v>178</v>
      </c>
      <c r="L231" s="2">
        <v>179</v>
      </c>
      <c r="N231" s="2">
        <f t="shared" si="39"/>
        <v>1406</v>
      </c>
      <c r="O231" s="2">
        <f t="shared" si="40"/>
        <v>257</v>
      </c>
      <c r="P231" s="2">
        <f t="shared" si="41"/>
        <v>275</v>
      </c>
      <c r="Q231" s="2">
        <f t="shared" si="42"/>
        <v>179</v>
      </c>
      <c r="R231" s="2">
        <f t="shared" si="43"/>
        <v>0.98832684824902728</v>
      </c>
      <c r="S231" s="2">
        <f t="shared" si="44"/>
        <v>0.95636363636363642</v>
      </c>
      <c r="T231" s="2">
        <f t="shared" si="45"/>
        <v>0.994413407821229</v>
      </c>
      <c r="V231" s="2">
        <v>179</v>
      </c>
      <c r="Z231" s="2">
        <f t="shared" si="46"/>
        <v>179</v>
      </c>
    </row>
    <row r="232" spans="1:26" ht="15.75" customHeight="1" x14ac:dyDescent="0.2">
      <c r="A232" s="2" t="s">
        <v>23</v>
      </c>
      <c r="B232" s="2">
        <v>20</v>
      </c>
      <c r="C232" s="2">
        <v>7.7</v>
      </c>
      <c r="D232" s="2">
        <v>0.18</v>
      </c>
      <c r="E232" s="2">
        <v>304</v>
      </c>
      <c r="F232" s="2">
        <v>76</v>
      </c>
      <c r="G232" s="2">
        <v>142</v>
      </c>
      <c r="H232" s="2">
        <v>114</v>
      </c>
      <c r="I232" s="2">
        <v>280</v>
      </c>
      <c r="J232" s="2">
        <v>272</v>
      </c>
      <c r="K232" s="2">
        <v>103</v>
      </c>
      <c r="L232" s="2">
        <v>69</v>
      </c>
      <c r="N232" s="2">
        <f t="shared" si="39"/>
        <v>980</v>
      </c>
      <c r="O232" s="2">
        <f t="shared" si="40"/>
        <v>142</v>
      </c>
      <c r="P232" s="2">
        <f t="shared" si="41"/>
        <v>280</v>
      </c>
      <c r="Q232" s="2">
        <f t="shared" si="42"/>
        <v>103</v>
      </c>
      <c r="R232" s="2">
        <f t="shared" si="43"/>
        <v>0.80281690140845074</v>
      </c>
      <c r="S232" s="2">
        <f t="shared" si="44"/>
        <v>0.97142857142857142</v>
      </c>
      <c r="T232" s="2">
        <f t="shared" si="45"/>
        <v>0.66990291262135926</v>
      </c>
      <c r="V232" s="2">
        <v>103</v>
      </c>
      <c r="Z232" s="2">
        <f t="shared" si="46"/>
        <v>103</v>
      </c>
    </row>
    <row r="233" spans="1:26" ht="15.75" customHeight="1" x14ac:dyDescent="0.2">
      <c r="A233" s="2" t="s">
        <v>23</v>
      </c>
      <c r="B233" s="2">
        <v>20</v>
      </c>
      <c r="C233" s="2">
        <v>7.7</v>
      </c>
      <c r="D233" s="2">
        <v>0.18</v>
      </c>
      <c r="E233" s="2">
        <v>285</v>
      </c>
      <c r="F233" s="2">
        <v>71.25</v>
      </c>
      <c r="G233" s="2">
        <v>101</v>
      </c>
      <c r="H233" s="2">
        <v>890</v>
      </c>
      <c r="I233" s="2">
        <v>230</v>
      </c>
      <c r="J233" s="2">
        <v>238</v>
      </c>
      <c r="K233" s="2">
        <v>91</v>
      </c>
      <c r="L233" s="2">
        <v>108</v>
      </c>
      <c r="N233" s="2">
        <f t="shared" si="39"/>
        <v>1658</v>
      </c>
      <c r="O233" s="2">
        <f t="shared" si="40"/>
        <v>890</v>
      </c>
      <c r="P233" s="2">
        <f t="shared" si="41"/>
        <v>238</v>
      </c>
      <c r="Q233" s="2">
        <f t="shared" si="42"/>
        <v>108</v>
      </c>
      <c r="R233" s="2">
        <f t="shared" si="43"/>
        <v>0.11348314606741573</v>
      </c>
      <c r="S233" s="2">
        <f t="shared" si="44"/>
        <v>0.96638655462184875</v>
      </c>
      <c r="T233" s="2">
        <f t="shared" si="45"/>
        <v>0.84259259259259256</v>
      </c>
      <c r="V233" s="2">
        <v>108</v>
      </c>
      <c r="Z233" s="2">
        <f t="shared" si="46"/>
        <v>108</v>
      </c>
    </row>
    <row r="234" spans="1:26" ht="15.75" customHeight="1" x14ac:dyDescent="0.2">
      <c r="A234" s="2" t="s">
        <v>23</v>
      </c>
      <c r="B234" s="2">
        <v>20</v>
      </c>
      <c r="C234" s="2">
        <v>7.7</v>
      </c>
      <c r="D234" s="2">
        <v>0.18</v>
      </c>
      <c r="E234" s="2">
        <v>241</v>
      </c>
      <c r="F234" s="2">
        <v>60.25</v>
      </c>
      <c r="G234" s="2">
        <v>98</v>
      </c>
      <c r="H234" s="2">
        <v>76</v>
      </c>
      <c r="I234" s="2">
        <v>226</v>
      </c>
      <c r="J234" s="2">
        <v>207</v>
      </c>
      <c r="K234" s="2">
        <v>83</v>
      </c>
      <c r="L234" s="2">
        <v>91</v>
      </c>
      <c r="N234" s="2">
        <f t="shared" si="39"/>
        <v>781</v>
      </c>
      <c r="O234" s="2">
        <f t="shared" si="40"/>
        <v>98</v>
      </c>
      <c r="P234" s="2">
        <f t="shared" si="41"/>
        <v>226</v>
      </c>
      <c r="Q234" s="2">
        <f t="shared" si="42"/>
        <v>91</v>
      </c>
      <c r="R234" s="2">
        <f t="shared" si="43"/>
        <v>0.77551020408163263</v>
      </c>
      <c r="S234" s="2">
        <f t="shared" si="44"/>
        <v>0.91592920353982299</v>
      </c>
      <c r="T234" s="2">
        <f t="shared" si="45"/>
        <v>0.91208791208791207</v>
      </c>
      <c r="V234" s="2">
        <v>91</v>
      </c>
      <c r="Z234" s="2">
        <f t="shared" si="46"/>
        <v>91</v>
      </c>
    </row>
    <row r="235" spans="1:26" ht="15.75" customHeight="1" x14ac:dyDescent="0.2">
      <c r="A235" s="2" t="s">
        <v>23</v>
      </c>
      <c r="B235" s="2">
        <v>20</v>
      </c>
      <c r="C235" s="2">
        <v>7.7</v>
      </c>
      <c r="D235" s="2">
        <v>0.18</v>
      </c>
      <c r="E235" s="2">
        <v>320</v>
      </c>
      <c r="F235" s="2">
        <v>80</v>
      </c>
      <c r="G235" s="2">
        <v>213</v>
      </c>
      <c r="H235" s="2">
        <v>198</v>
      </c>
      <c r="I235" s="2">
        <v>237</v>
      </c>
      <c r="J235" s="2">
        <v>228</v>
      </c>
      <c r="K235" s="2">
        <v>171</v>
      </c>
      <c r="L235" s="2">
        <v>198</v>
      </c>
      <c r="N235" s="2">
        <f t="shared" si="39"/>
        <v>1245</v>
      </c>
      <c r="O235" s="2">
        <f t="shared" si="40"/>
        <v>213</v>
      </c>
      <c r="P235" s="2">
        <f t="shared" si="41"/>
        <v>237</v>
      </c>
      <c r="Q235" s="2">
        <f t="shared" si="42"/>
        <v>198</v>
      </c>
      <c r="R235" s="2">
        <f t="shared" si="43"/>
        <v>0.92957746478873238</v>
      </c>
      <c r="S235" s="2">
        <f t="shared" si="44"/>
        <v>0.96202531645569622</v>
      </c>
      <c r="T235" s="2">
        <f t="shared" si="45"/>
        <v>0.86363636363636365</v>
      </c>
      <c r="V235" s="2">
        <v>198</v>
      </c>
      <c r="Z235" s="2">
        <f t="shared" si="46"/>
        <v>198</v>
      </c>
    </row>
    <row r="236" spans="1:26" ht="15.75" customHeight="1" x14ac:dyDescent="0.2">
      <c r="A236" s="2" t="s">
        <v>23</v>
      </c>
      <c r="B236" s="2">
        <v>20</v>
      </c>
      <c r="C236" s="2">
        <v>7.7</v>
      </c>
      <c r="D236" s="2">
        <v>0.18</v>
      </c>
      <c r="E236" s="2">
        <v>297</v>
      </c>
      <c r="F236" s="2">
        <v>74.25</v>
      </c>
      <c r="G236" s="2">
        <v>176</v>
      </c>
      <c r="H236" s="2">
        <v>171</v>
      </c>
      <c r="I236" s="2">
        <v>246</v>
      </c>
      <c r="J236" s="2">
        <v>258</v>
      </c>
      <c r="K236" s="2">
        <v>110</v>
      </c>
      <c r="L236" s="2">
        <v>102</v>
      </c>
      <c r="N236" s="2">
        <f t="shared" si="39"/>
        <v>1063</v>
      </c>
      <c r="O236" s="2">
        <f t="shared" si="40"/>
        <v>176</v>
      </c>
      <c r="P236" s="2">
        <f t="shared" si="41"/>
        <v>258</v>
      </c>
      <c r="Q236" s="2">
        <f t="shared" si="42"/>
        <v>110</v>
      </c>
      <c r="R236" s="2">
        <f t="shared" si="43"/>
        <v>0.97159090909090906</v>
      </c>
      <c r="S236" s="2">
        <f t="shared" si="44"/>
        <v>0.95348837209302328</v>
      </c>
      <c r="T236" s="2">
        <f t="shared" si="45"/>
        <v>0.92727272727272725</v>
      </c>
      <c r="V236" s="2">
        <v>110</v>
      </c>
      <c r="Z236" s="2">
        <f t="shared" si="46"/>
        <v>110</v>
      </c>
    </row>
    <row r="237" spans="1:26" ht="15.75" customHeight="1" x14ac:dyDescent="0.2">
      <c r="A237" s="2" t="s">
        <v>23</v>
      </c>
      <c r="B237" s="2">
        <v>20</v>
      </c>
      <c r="C237" s="2">
        <v>7.7</v>
      </c>
      <c r="D237" s="2">
        <v>0.18</v>
      </c>
      <c r="E237" s="2">
        <v>347</v>
      </c>
      <c r="F237" s="2">
        <v>86.75</v>
      </c>
      <c r="G237" s="2">
        <v>247</v>
      </c>
      <c r="H237" s="2">
        <v>286</v>
      </c>
      <c r="I237" s="2">
        <v>248</v>
      </c>
      <c r="J237" s="2">
        <v>262</v>
      </c>
      <c r="K237" s="2">
        <v>188</v>
      </c>
      <c r="L237" s="2">
        <v>194</v>
      </c>
      <c r="N237" s="2">
        <f t="shared" si="39"/>
        <v>1425</v>
      </c>
      <c r="O237" s="2">
        <f t="shared" si="40"/>
        <v>286</v>
      </c>
      <c r="P237" s="2">
        <f t="shared" si="41"/>
        <v>262</v>
      </c>
      <c r="Q237" s="2">
        <f t="shared" si="42"/>
        <v>194</v>
      </c>
      <c r="R237" s="2">
        <f t="shared" si="43"/>
        <v>0.86363636363636365</v>
      </c>
      <c r="S237" s="2">
        <f t="shared" si="44"/>
        <v>0.94656488549618323</v>
      </c>
      <c r="T237" s="2">
        <f t="shared" si="45"/>
        <v>0.96907216494845361</v>
      </c>
      <c r="V237" s="2">
        <v>194</v>
      </c>
      <c r="Z237" s="2">
        <f t="shared" si="46"/>
        <v>194</v>
      </c>
    </row>
    <row r="238" spans="1:26" ht="15.75" customHeight="1" x14ac:dyDescent="0.2">
      <c r="A238" s="2" t="s">
        <v>23</v>
      </c>
      <c r="B238" s="2">
        <v>20</v>
      </c>
      <c r="C238" s="2">
        <v>7.7</v>
      </c>
      <c r="D238" s="2">
        <v>0.18</v>
      </c>
      <c r="E238" s="2">
        <v>311</v>
      </c>
      <c r="F238" s="2">
        <v>77.75</v>
      </c>
      <c r="G238" s="2">
        <v>215</v>
      </c>
      <c r="H238" s="2">
        <v>225</v>
      </c>
      <c r="I238" s="2">
        <v>235</v>
      </c>
      <c r="J238" s="2">
        <v>237</v>
      </c>
      <c r="K238" s="2">
        <v>187</v>
      </c>
      <c r="L238" s="2">
        <v>200</v>
      </c>
      <c r="N238" s="2">
        <f t="shared" si="39"/>
        <v>1299</v>
      </c>
      <c r="O238" s="2">
        <f t="shared" si="40"/>
        <v>225</v>
      </c>
      <c r="P238" s="2">
        <f t="shared" si="41"/>
        <v>237</v>
      </c>
      <c r="Q238" s="2">
        <f t="shared" si="42"/>
        <v>200</v>
      </c>
      <c r="R238" s="2">
        <f t="shared" si="43"/>
        <v>0.9555555555555556</v>
      </c>
      <c r="S238" s="2">
        <f t="shared" si="44"/>
        <v>0.99156118143459915</v>
      </c>
      <c r="T238" s="2">
        <f t="shared" si="45"/>
        <v>0.93500000000000005</v>
      </c>
      <c r="V238" s="2">
        <v>200</v>
      </c>
      <c r="Z238" s="2">
        <f t="shared" si="46"/>
        <v>200</v>
      </c>
    </row>
    <row r="239" spans="1:26" ht="15.75" customHeight="1" x14ac:dyDescent="0.2">
      <c r="A239" s="2" t="s">
        <v>23</v>
      </c>
      <c r="B239" s="2">
        <v>20</v>
      </c>
      <c r="C239" s="2">
        <v>7.7</v>
      </c>
      <c r="D239" s="2">
        <v>0.18</v>
      </c>
      <c r="E239" s="2">
        <v>341</v>
      </c>
      <c r="F239" s="2">
        <v>85.25</v>
      </c>
      <c r="G239" s="2">
        <v>147</v>
      </c>
      <c r="H239" s="2">
        <v>117</v>
      </c>
      <c r="I239" s="2">
        <v>287</v>
      </c>
      <c r="J239" s="2">
        <v>277</v>
      </c>
      <c r="K239" s="2">
        <v>101</v>
      </c>
      <c r="L239" s="2">
        <v>68</v>
      </c>
      <c r="N239" s="2">
        <f t="shared" si="39"/>
        <v>997</v>
      </c>
      <c r="O239" s="2">
        <f t="shared" si="40"/>
        <v>147</v>
      </c>
      <c r="P239" s="2">
        <f t="shared" si="41"/>
        <v>287</v>
      </c>
      <c r="Q239" s="2">
        <f t="shared" si="42"/>
        <v>101</v>
      </c>
      <c r="R239" s="2">
        <f t="shared" si="43"/>
        <v>0.79591836734693877</v>
      </c>
      <c r="S239" s="2">
        <f t="shared" si="44"/>
        <v>0.96515679442508706</v>
      </c>
      <c r="T239" s="2">
        <f t="shared" si="45"/>
        <v>0.67326732673267331</v>
      </c>
      <c r="V239" s="2">
        <v>101</v>
      </c>
      <c r="Z239" s="2">
        <f t="shared" si="46"/>
        <v>101</v>
      </c>
    </row>
    <row r="240" spans="1:26" ht="15.75" customHeight="1" x14ac:dyDescent="0.2">
      <c r="A240" s="2" t="s">
        <v>23</v>
      </c>
      <c r="B240" s="2">
        <v>20</v>
      </c>
      <c r="C240" s="2">
        <v>7.7</v>
      </c>
      <c r="D240" s="2">
        <v>0.18</v>
      </c>
      <c r="E240" s="2">
        <v>175</v>
      </c>
      <c r="F240" s="2">
        <v>43.75</v>
      </c>
      <c r="G240" s="2">
        <v>122</v>
      </c>
      <c r="H240" s="2">
        <v>110</v>
      </c>
      <c r="I240" s="2">
        <v>136</v>
      </c>
      <c r="J240" s="2">
        <v>134</v>
      </c>
      <c r="K240" s="2">
        <v>97</v>
      </c>
      <c r="L240" s="2">
        <v>96</v>
      </c>
      <c r="N240" s="2">
        <f t="shared" si="39"/>
        <v>695</v>
      </c>
      <c r="O240" s="2">
        <f t="shared" si="40"/>
        <v>122</v>
      </c>
      <c r="P240" s="2">
        <f t="shared" si="41"/>
        <v>136</v>
      </c>
      <c r="Q240" s="2">
        <f t="shared" si="42"/>
        <v>97</v>
      </c>
      <c r="R240" s="2">
        <f t="shared" si="43"/>
        <v>0.90163934426229508</v>
      </c>
      <c r="S240" s="2">
        <f t="shared" si="44"/>
        <v>0.98529411764705888</v>
      </c>
      <c r="T240" s="2">
        <f t="shared" si="45"/>
        <v>0.98969072164948457</v>
      </c>
      <c r="V240" s="2">
        <v>97</v>
      </c>
      <c r="Z240" s="2">
        <f t="shared" si="46"/>
        <v>97</v>
      </c>
    </row>
    <row r="241" spans="1:26" ht="15.75" customHeight="1" x14ac:dyDescent="0.2">
      <c r="A241" s="2" t="s">
        <v>23</v>
      </c>
      <c r="B241" s="2">
        <v>20</v>
      </c>
      <c r="C241" s="2">
        <v>7.7</v>
      </c>
      <c r="D241" s="2">
        <v>0.18</v>
      </c>
      <c r="E241" s="2">
        <v>327</v>
      </c>
      <c r="F241" s="2">
        <v>81.75</v>
      </c>
      <c r="G241" s="2">
        <v>100</v>
      </c>
      <c r="H241" s="2">
        <v>94</v>
      </c>
      <c r="I241" s="2">
        <v>244</v>
      </c>
      <c r="J241" s="2">
        <v>240</v>
      </c>
      <c r="K241" s="2">
        <v>94</v>
      </c>
      <c r="L241" s="2">
        <v>95</v>
      </c>
      <c r="N241" s="2">
        <f t="shared" si="39"/>
        <v>867</v>
      </c>
      <c r="O241" s="2">
        <f t="shared" si="40"/>
        <v>100</v>
      </c>
      <c r="P241" s="2">
        <f t="shared" si="41"/>
        <v>244</v>
      </c>
      <c r="Q241" s="2">
        <f t="shared" si="42"/>
        <v>95</v>
      </c>
      <c r="R241" s="2">
        <f t="shared" si="43"/>
        <v>0.94</v>
      </c>
      <c r="S241" s="2">
        <f t="shared" si="44"/>
        <v>0.98360655737704916</v>
      </c>
      <c r="T241" s="2">
        <f t="shared" si="45"/>
        <v>0.98947368421052628</v>
      </c>
      <c r="V241" s="2">
        <v>95</v>
      </c>
      <c r="Z241" s="2">
        <f t="shared" si="46"/>
        <v>95</v>
      </c>
    </row>
    <row r="242" spans="1:26" ht="15.75" customHeight="1" x14ac:dyDescent="0.2">
      <c r="A242" s="2" t="s">
        <v>23</v>
      </c>
      <c r="B242" s="2">
        <v>20</v>
      </c>
      <c r="C242" s="2">
        <v>7.7</v>
      </c>
      <c r="D242" s="2">
        <v>0.18</v>
      </c>
      <c r="E242" s="2">
        <v>307</v>
      </c>
      <c r="F242" s="2">
        <v>76.75</v>
      </c>
      <c r="G242" s="2">
        <v>164</v>
      </c>
      <c r="H242" s="2">
        <v>146</v>
      </c>
      <c r="I242" s="2">
        <v>259</v>
      </c>
      <c r="J242" s="2">
        <v>270</v>
      </c>
      <c r="K242" s="2">
        <v>57</v>
      </c>
      <c r="L242" s="2">
        <v>71</v>
      </c>
      <c r="N242" s="2">
        <f t="shared" si="39"/>
        <v>967</v>
      </c>
      <c r="O242" s="2">
        <f t="shared" si="40"/>
        <v>164</v>
      </c>
      <c r="P242" s="2">
        <f t="shared" si="41"/>
        <v>270</v>
      </c>
      <c r="Q242" s="2">
        <f t="shared" si="42"/>
        <v>71</v>
      </c>
      <c r="R242" s="2">
        <f t="shared" si="43"/>
        <v>0.8902439024390244</v>
      </c>
      <c r="S242" s="2">
        <f t="shared" si="44"/>
        <v>0.95925925925925926</v>
      </c>
      <c r="T242" s="2">
        <f t="shared" si="45"/>
        <v>0.80281690140845074</v>
      </c>
      <c r="V242" s="2">
        <v>71</v>
      </c>
      <c r="Z242" s="2">
        <f t="shared" si="46"/>
        <v>71</v>
      </c>
    </row>
    <row r="243" spans="1:26" ht="15.75" customHeight="1" x14ac:dyDescent="0.2">
      <c r="A243" s="2" t="s">
        <v>23</v>
      </c>
      <c r="B243" s="2">
        <v>20</v>
      </c>
      <c r="C243" s="2">
        <v>8.1</v>
      </c>
      <c r="D243" s="2">
        <v>7</v>
      </c>
      <c r="E243" s="2">
        <v>355</v>
      </c>
      <c r="F243" s="2">
        <v>88.75</v>
      </c>
      <c r="G243" s="2">
        <v>254</v>
      </c>
      <c r="H243" s="2">
        <v>254</v>
      </c>
      <c r="I243" s="2">
        <v>261</v>
      </c>
      <c r="J243" s="2">
        <v>247</v>
      </c>
      <c r="K243" s="2">
        <v>173</v>
      </c>
      <c r="L243" s="2">
        <v>161</v>
      </c>
      <c r="N243" s="2">
        <f t="shared" si="39"/>
        <v>1350</v>
      </c>
      <c r="O243" s="2">
        <f t="shared" si="40"/>
        <v>254</v>
      </c>
      <c r="P243" s="2">
        <f t="shared" si="41"/>
        <v>261</v>
      </c>
      <c r="Q243" s="2">
        <f t="shared" si="42"/>
        <v>173</v>
      </c>
      <c r="R243" s="2">
        <f t="shared" si="43"/>
        <v>1</v>
      </c>
      <c r="S243" s="2">
        <f t="shared" si="44"/>
        <v>0.94636015325670497</v>
      </c>
      <c r="T243" s="2">
        <f t="shared" si="45"/>
        <v>0.93063583815028905</v>
      </c>
      <c r="V243" s="2">
        <v>173</v>
      </c>
      <c r="Z243" s="2">
        <f t="shared" si="46"/>
        <v>173</v>
      </c>
    </row>
    <row r="244" spans="1:26" ht="15.75" customHeight="1" x14ac:dyDescent="0.2">
      <c r="A244" s="2" t="s">
        <v>23</v>
      </c>
      <c r="B244" s="2">
        <v>20</v>
      </c>
      <c r="C244" s="2">
        <v>8.1</v>
      </c>
      <c r="D244" s="2">
        <v>7</v>
      </c>
      <c r="E244" s="2">
        <v>370</v>
      </c>
      <c r="F244" s="2">
        <v>92.5</v>
      </c>
      <c r="G244" s="2">
        <v>261</v>
      </c>
      <c r="H244" s="2">
        <v>231</v>
      </c>
      <c r="I244" s="2">
        <v>255</v>
      </c>
      <c r="J244" s="2">
        <v>258</v>
      </c>
      <c r="K244" s="2">
        <v>214</v>
      </c>
      <c r="L244" s="2">
        <v>187</v>
      </c>
      <c r="N244" s="2">
        <f t="shared" si="39"/>
        <v>1406</v>
      </c>
      <c r="O244" s="2">
        <f t="shared" si="40"/>
        <v>261</v>
      </c>
      <c r="P244" s="2">
        <f t="shared" si="41"/>
        <v>258</v>
      </c>
      <c r="Q244" s="2">
        <f t="shared" si="42"/>
        <v>214</v>
      </c>
      <c r="R244" s="2">
        <f t="shared" si="43"/>
        <v>0.88505747126436785</v>
      </c>
      <c r="S244" s="2">
        <f t="shared" si="44"/>
        <v>0.98837209302325579</v>
      </c>
      <c r="T244" s="2">
        <f t="shared" si="45"/>
        <v>0.87383177570093462</v>
      </c>
      <c r="V244" s="2">
        <v>214</v>
      </c>
      <c r="Z244" s="2">
        <f t="shared" si="46"/>
        <v>214</v>
      </c>
    </row>
    <row r="245" spans="1:26" ht="15.75" customHeight="1" x14ac:dyDescent="0.2">
      <c r="A245" s="2" t="s">
        <v>23</v>
      </c>
      <c r="B245" s="2">
        <v>20</v>
      </c>
      <c r="C245" s="2">
        <v>8.1</v>
      </c>
      <c r="D245" s="2">
        <v>7</v>
      </c>
      <c r="E245" s="2">
        <v>375</v>
      </c>
      <c r="F245" s="2">
        <v>93.75</v>
      </c>
      <c r="G245" s="2">
        <v>294</v>
      </c>
      <c r="H245" s="2">
        <v>274</v>
      </c>
      <c r="I245" s="2">
        <v>282</v>
      </c>
      <c r="J245" s="2">
        <v>282</v>
      </c>
      <c r="K245" s="2">
        <v>150</v>
      </c>
      <c r="L245" s="2">
        <v>146</v>
      </c>
      <c r="N245" s="2">
        <f t="shared" si="39"/>
        <v>1428</v>
      </c>
      <c r="O245" s="2">
        <f t="shared" si="40"/>
        <v>294</v>
      </c>
      <c r="P245" s="2">
        <f t="shared" si="41"/>
        <v>282</v>
      </c>
      <c r="Q245" s="2">
        <f t="shared" si="42"/>
        <v>150</v>
      </c>
      <c r="R245" s="2">
        <f t="shared" si="43"/>
        <v>0.93197278911564629</v>
      </c>
      <c r="S245" s="2">
        <f t="shared" si="44"/>
        <v>1</v>
      </c>
      <c r="T245" s="2">
        <f t="shared" si="45"/>
        <v>0.97333333333333338</v>
      </c>
      <c r="V245" s="2">
        <v>150</v>
      </c>
      <c r="Z245" s="2">
        <f t="shared" si="46"/>
        <v>150</v>
      </c>
    </row>
    <row r="246" spans="1:26" ht="15.75" customHeight="1" x14ac:dyDescent="0.2">
      <c r="A246" s="2" t="s">
        <v>23</v>
      </c>
      <c r="B246" s="2">
        <v>20</v>
      </c>
      <c r="C246" s="2">
        <v>8.1</v>
      </c>
      <c r="D246" s="2">
        <v>7</v>
      </c>
      <c r="E246" s="2">
        <v>323</v>
      </c>
      <c r="F246" s="2">
        <v>80.75</v>
      </c>
      <c r="G246" s="2">
        <v>187</v>
      </c>
      <c r="H246" s="2">
        <v>215</v>
      </c>
      <c r="I246" s="2">
        <v>267</v>
      </c>
      <c r="J246" s="2">
        <v>266</v>
      </c>
      <c r="K246" s="2">
        <v>90</v>
      </c>
      <c r="L246" s="2">
        <v>120</v>
      </c>
      <c r="N246" s="2">
        <f t="shared" si="39"/>
        <v>1145</v>
      </c>
      <c r="O246" s="2">
        <f t="shared" si="40"/>
        <v>215</v>
      </c>
      <c r="P246" s="2">
        <f t="shared" si="41"/>
        <v>267</v>
      </c>
      <c r="Q246" s="2">
        <f t="shared" si="42"/>
        <v>120</v>
      </c>
      <c r="R246" s="2">
        <f t="shared" si="43"/>
        <v>0.86976744186046506</v>
      </c>
      <c r="S246" s="2">
        <f t="shared" si="44"/>
        <v>0.99625468164794007</v>
      </c>
      <c r="T246" s="2">
        <f t="shared" si="45"/>
        <v>0.75</v>
      </c>
      <c r="V246" s="2">
        <v>120</v>
      </c>
      <c r="Z246" s="2">
        <f t="shared" si="46"/>
        <v>120</v>
      </c>
    </row>
    <row r="247" spans="1:26" ht="15.75" customHeight="1" x14ac:dyDescent="0.2">
      <c r="A247" s="2" t="s">
        <v>23</v>
      </c>
      <c r="B247" s="2">
        <v>20</v>
      </c>
      <c r="C247" s="2">
        <v>8.1</v>
      </c>
      <c r="D247" s="2">
        <v>7</v>
      </c>
      <c r="E247" s="2">
        <v>277</v>
      </c>
      <c r="F247" s="2">
        <v>69.25</v>
      </c>
      <c r="G247" s="2">
        <v>257</v>
      </c>
      <c r="H247" s="2">
        <v>257</v>
      </c>
      <c r="I247" s="2">
        <v>236</v>
      </c>
      <c r="J247" s="2">
        <v>236</v>
      </c>
      <c r="K247" s="2">
        <v>162</v>
      </c>
      <c r="L247" s="2">
        <v>162</v>
      </c>
      <c r="N247" s="2">
        <f t="shared" si="39"/>
        <v>1310</v>
      </c>
      <c r="O247" s="2">
        <f t="shared" si="40"/>
        <v>257</v>
      </c>
      <c r="P247" s="2">
        <f t="shared" si="41"/>
        <v>236</v>
      </c>
      <c r="Q247" s="2">
        <f t="shared" si="42"/>
        <v>162</v>
      </c>
      <c r="R247" s="2">
        <f t="shared" si="43"/>
        <v>1</v>
      </c>
      <c r="S247" s="2">
        <f t="shared" si="44"/>
        <v>1</v>
      </c>
      <c r="T247" s="2">
        <f t="shared" si="45"/>
        <v>1</v>
      </c>
      <c r="V247" s="2">
        <v>162</v>
      </c>
      <c r="Z247" s="2">
        <f t="shared" si="46"/>
        <v>162</v>
      </c>
    </row>
    <row r="248" spans="1:26" ht="15.75" customHeight="1" x14ac:dyDescent="0.2">
      <c r="A248" s="2" t="s">
        <v>23</v>
      </c>
      <c r="B248" s="2">
        <v>20</v>
      </c>
      <c r="C248" s="2">
        <v>8.1</v>
      </c>
      <c r="D248" s="2">
        <v>7</v>
      </c>
      <c r="E248" s="2">
        <v>352</v>
      </c>
      <c r="F248" s="2">
        <v>88</v>
      </c>
      <c r="G248" s="2">
        <v>339</v>
      </c>
      <c r="H248" s="2">
        <v>363</v>
      </c>
      <c r="I248" s="2">
        <v>274</v>
      </c>
      <c r="J248" s="2">
        <v>278</v>
      </c>
      <c r="K248" s="2">
        <v>200</v>
      </c>
      <c r="L248" s="2">
        <v>205</v>
      </c>
      <c r="N248" s="2">
        <f t="shared" si="39"/>
        <v>1659</v>
      </c>
      <c r="O248" s="2">
        <f t="shared" si="40"/>
        <v>363</v>
      </c>
      <c r="P248" s="2">
        <f t="shared" si="41"/>
        <v>278</v>
      </c>
      <c r="Q248" s="2">
        <f t="shared" si="42"/>
        <v>205</v>
      </c>
      <c r="R248" s="2">
        <f t="shared" si="43"/>
        <v>0.93388429752066116</v>
      </c>
      <c r="S248" s="2">
        <f t="shared" si="44"/>
        <v>0.98561151079136688</v>
      </c>
      <c r="T248" s="2">
        <f t="shared" si="45"/>
        <v>0.97560975609756095</v>
      </c>
      <c r="V248" s="2">
        <v>205</v>
      </c>
      <c r="Z248" s="2">
        <f t="shared" si="46"/>
        <v>205</v>
      </c>
    </row>
    <row r="249" spans="1:26" ht="15.75" customHeight="1" x14ac:dyDescent="0.2">
      <c r="A249" s="2" t="s">
        <v>23</v>
      </c>
      <c r="B249" s="2">
        <v>20</v>
      </c>
      <c r="C249" s="2">
        <v>8.1</v>
      </c>
      <c r="D249" s="2">
        <v>7</v>
      </c>
      <c r="E249" s="2">
        <v>358</v>
      </c>
      <c r="F249" s="2">
        <v>89.5</v>
      </c>
      <c r="G249" s="2">
        <v>145</v>
      </c>
      <c r="H249" s="2">
        <v>167</v>
      </c>
      <c r="I249" s="2">
        <v>270</v>
      </c>
      <c r="J249" s="2">
        <v>266</v>
      </c>
      <c r="K249" s="2">
        <v>141</v>
      </c>
      <c r="L249" s="2">
        <v>147</v>
      </c>
      <c r="N249" s="2">
        <f t="shared" si="39"/>
        <v>1136</v>
      </c>
      <c r="O249" s="2">
        <f t="shared" si="40"/>
        <v>167</v>
      </c>
      <c r="P249" s="2">
        <f t="shared" si="41"/>
        <v>270</v>
      </c>
      <c r="Q249" s="2">
        <f t="shared" si="42"/>
        <v>147</v>
      </c>
      <c r="R249" s="2">
        <f t="shared" si="43"/>
        <v>0.86826347305389218</v>
      </c>
      <c r="S249" s="2">
        <f t="shared" si="44"/>
        <v>0.98518518518518516</v>
      </c>
      <c r="T249" s="2">
        <f t="shared" si="45"/>
        <v>0.95918367346938771</v>
      </c>
      <c r="V249" s="2">
        <v>147</v>
      </c>
      <c r="Z249" s="2">
        <f t="shared" si="46"/>
        <v>147</v>
      </c>
    </row>
    <row r="250" spans="1:26" ht="15.75" customHeight="1" x14ac:dyDescent="0.2">
      <c r="A250" s="2" t="s">
        <v>23</v>
      </c>
      <c r="B250" s="2">
        <v>20</v>
      </c>
      <c r="C250" s="2">
        <v>8.1</v>
      </c>
      <c r="D250" s="2">
        <v>7</v>
      </c>
      <c r="E250" s="2">
        <v>333</v>
      </c>
      <c r="F250" s="2">
        <v>83.25</v>
      </c>
      <c r="G250" s="2">
        <v>161</v>
      </c>
      <c r="H250" s="2">
        <v>192</v>
      </c>
      <c r="I250" s="2">
        <v>281</v>
      </c>
      <c r="J250" s="2">
        <v>270</v>
      </c>
      <c r="K250" s="2">
        <v>98</v>
      </c>
      <c r="L250" s="2">
        <v>102</v>
      </c>
      <c r="N250" s="2">
        <f t="shared" si="39"/>
        <v>1104</v>
      </c>
      <c r="O250" s="2">
        <f t="shared" si="40"/>
        <v>192</v>
      </c>
      <c r="P250" s="2">
        <f t="shared" si="41"/>
        <v>281</v>
      </c>
      <c r="Q250" s="2">
        <f t="shared" si="42"/>
        <v>102</v>
      </c>
      <c r="R250" s="2">
        <f t="shared" si="43"/>
        <v>0.83854166666666663</v>
      </c>
      <c r="S250" s="2">
        <f t="shared" si="44"/>
        <v>0.96085409252669041</v>
      </c>
      <c r="T250" s="2">
        <f t="shared" si="45"/>
        <v>0.96078431372549022</v>
      </c>
      <c r="V250" s="2">
        <v>102</v>
      </c>
      <c r="Z250" s="2">
        <f t="shared" si="46"/>
        <v>102</v>
      </c>
    </row>
    <row r="251" spans="1:26" ht="15.75" customHeight="1" x14ac:dyDescent="0.2">
      <c r="A251" s="2" t="s">
        <v>23</v>
      </c>
      <c r="B251" s="2">
        <v>20</v>
      </c>
      <c r="C251" s="2">
        <v>8.1</v>
      </c>
      <c r="D251" s="2">
        <v>7</v>
      </c>
      <c r="E251" s="2">
        <v>296</v>
      </c>
      <c r="F251" s="2">
        <v>74</v>
      </c>
      <c r="G251" s="2">
        <v>182</v>
      </c>
      <c r="H251" s="2">
        <v>212</v>
      </c>
      <c r="I251" s="2">
        <v>242</v>
      </c>
      <c r="J251" s="2">
        <v>253</v>
      </c>
      <c r="K251" s="2">
        <v>109</v>
      </c>
      <c r="L251" s="2">
        <v>115</v>
      </c>
      <c r="N251" s="2">
        <f t="shared" si="39"/>
        <v>1113</v>
      </c>
      <c r="O251" s="2">
        <f t="shared" si="40"/>
        <v>212</v>
      </c>
      <c r="P251" s="2">
        <f t="shared" si="41"/>
        <v>253</v>
      </c>
      <c r="Q251" s="2">
        <f t="shared" si="42"/>
        <v>115</v>
      </c>
      <c r="R251" s="2">
        <f t="shared" si="43"/>
        <v>0.85849056603773588</v>
      </c>
      <c r="S251" s="2">
        <f t="shared" si="44"/>
        <v>0.95652173913043481</v>
      </c>
      <c r="T251" s="2">
        <f t="shared" si="45"/>
        <v>0.94782608695652171</v>
      </c>
      <c r="V251" s="2">
        <v>115</v>
      </c>
      <c r="Z251" s="2">
        <f t="shared" si="46"/>
        <v>115</v>
      </c>
    </row>
    <row r="252" spans="1:26" ht="15.75" customHeight="1" x14ac:dyDescent="0.2">
      <c r="A252" s="2" t="s">
        <v>23</v>
      </c>
      <c r="B252" s="2">
        <v>20</v>
      </c>
      <c r="C252" s="2">
        <v>8.1</v>
      </c>
      <c r="D252" s="2">
        <v>7</v>
      </c>
      <c r="E252" s="2">
        <v>303</v>
      </c>
      <c r="F252" s="2">
        <v>75.75</v>
      </c>
      <c r="G252" s="2">
        <v>269</v>
      </c>
      <c r="H252" s="2">
        <v>238</v>
      </c>
      <c r="I252" s="2">
        <v>289</v>
      </c>
      <c r="J252" s="2">
        <v>285</v>
      </c>
      <c r="K252" s="2">
        <v>167</v>
      </c>
      <c r="L252" s="2">
        <v>166</v>
      </c>
      <c r="N252" s="2">
        <f t="shared" si="39"/>
        <v>1414</v>
      </c>
      <c r="O252" s="2">
        <f t="shared" si="40"/>
        <v>269</v>
      </c>
      <c r="P252" s="2">
        <f t="shared" si="41"/>
        <v>289</v>
      </c>
      <c r="Q252" s="2">
        <f t="shared" si="42"/>
        <v>167</v>
      </c>
      <c r="R252" s="2">
        <f t="shared" si="43"/>
        <v>0.88475836431226762</v>
      </c>
      <c r="S252" s="2">
        <f t="shared" si="44"/>
        <v>0.98615916955017302</v>
      </c>
      <c r="T252" s="2">
        <f t="shared" si="45"/>
        <v>0.99401197604790414</v>
      </c>
      <c r="V252" s="2">
        <v>167</v>
      </c>
      <c r="Z252" s="2">
        <f t="shared" si="46"/>
        <v>167</v>
      </c>
    </row>
    <row r="253" spans="1:26" ht="15.75" customHeight="1" x14ac:dyDescent="0.2">
      <c r="A253" s="2" t="s">
        <v>23</v>
      </c>
      <c r="B253" s="2">
        <v>20</v>
      </c>
      <c r="C253" s="2">
        <v>8.1</v>
      </c>
      <c r="D253" s="2">
        <v>7</v>
      </c>
      <c r="E253" s="2">
        <v>323</v>
      </c>
      <c r="F253" s="2">
        <v>80.75</v>
      </c>
      <c r="G253" s="2">
        <v>182</v>
      </c>
      <c r="H253" s="2">
        <v>213</v>
      </c>
      <c r="I253" s="2">
        <v>271</v>
      </c>
      <c r="J253" s="2">
        <v>291</v>
      </c>
      <c r="K253" s="2">
        <v>119</v>
      </c>
      <c r="L253" s="2">
        <v>135</v>
      </c>
      <c r="N253" s="2">
        <f t="shared" si="39"/>
        <v>1211</v>
      </c>
      <c r="O253" s="2">
        <f t="shared" si="40"/>
        <v>213</v>
      </c>
      <c r="P253" s="2">
        <f t="shared" si="41"/>
        <v>291</v>
      </c>
      <c r="Q253" s="2">
        <f t="shared" si="42"/>
        <v>135</v>
      </c>
      <c r="R253" s="2">
        <f t="shared" si="43"/>
        <v>0.85446009389671362</v>
      </c>
      <c r="S253" s="2">
        <f t="shared" si="44"/>
        <v>0.93127147766323026</v>
      </c>
      <c r="T253" s="2">
        <f t="shared" si="45"/>
        <v>0.88148148148148153</v>
      </c>
      <c r="V253" s="2">
        <v>135</v>
      </c>
      <c r="Z253" s="2">
        <f t="shared" si="46"/>
        <v>135</v>
      </c>
    </row>
    <row r="254" spans="1:26" ht="15.75" customHeight="1" x14ac:dyDescent="0.2">
      <c r="A254" s="2" t="s">
        <v>23</v>
      </c>
      <c r="B254" s="2">
        <v>20</v>
      </c>
      <c r="C254" s="2">
        <v>8.1</v>
      </c>
      <c r="D254" s="2">
        <v>7</v>
      </c>
      <c r="E254" s="2">
        <v>321</v>
      </c>
      <c r="F254" s="2">
        <v>80.25</v>
      </c>
      <c r="G254" s="2">
        <v>186</v>
      </c>
      <c r="H254" s="2">
        <v>168</v>
      </c>
      <c r="I254" s="2">
        <v>267</v>
      </c>
      <c r="J254" s="2">
        <v>271</v>
      </c>
      <c r="K254" s="2">
        <v>122</v>
      </c>
      <c r="L254" s="2">
        <v>101</v>
      </c>
      <c r="N254" s="2">
        <f t="shared" si="39"/>
        <v>1115</v>
      </c>
      <c r="O254" s="2">
        <f t="shared" si="40"/>
        <v>186</v>
      </c>
      <c r="P254" s="2">
        <f t="shared" si="41"/>
        <v>271</v>
      </c>
      <c r="Q254" s="2">
        <f t="shared" si="42"/>
        <v>122</v>
      </c>
      <c r="R254" s="2">
        <f t="shared" si="43"/>
        <v>0.90322580645161288</v>
      </c>
      <c r="S254" s="2">
        <f t="shared" si="44"/>
        <v>0.98523985239852396</v>
      </c>
      <c r="T254" s="2">
        <f t="shared" si="45"/>
        <v>0.82786885245901642</v>
      </c>
      <c r="V254" s="2">
        <v>122</v>
      </c>
      <c r="Z254" s="2">
        <f t="shared" si="46"/>
        <v>122</v>
      </c>
    </row>
    <row r="255" spans="1:26" ht="15.75" customHeight="1" x14ac:dyDescent="0.2">
      <c r="A255" s="2" t="s">
        <v>23</v>
      </c>
      <c r="B255" s="2">
        <v>20</v>
      </c>
      <c r="C255" s="2">
        <v>8.1</v>
      </c>
      <c r="D255" s="2">
        <v>7</v>
      </c>
      <c r="E255" s="2">
        <v>376</v>
      </c>
      <c r="F255" s="2">
        <v>94</v>
      </c>
      <c r="G255" s="2">
        <v>292</v>
      </c>
      <c r="H255" s="2">
        <v>241</v>
      </c>
      <c r="I255" s="2">
        <v>269</v>
      </c>
      <c r="J255" s="2">
        <v>261</v>
      </c>
      <c r="K255" s="2">
        <v>236</v>
      </c>
      <c r="L255" s="2">
        <v>200</v>
      </c>
      <c r="N255" s="2">
        <f t="shared" si="39"/>
        <v>1499</v>
      </c>
      <c r="O255" s="2">
        <f t="shared" si="40"/>
        <v>292</v>
      </c>
      <c r="P255" s="2">
        <f t="shared" si="41"/>
        <v>269</v>
      </c>
      <c r="Q255" s="2">
        <f t="shared" si="42"/>
        <v>236</v>
      </c>
      <c r="R255" s="2">
        <f t="shared" si="43"/>
        <v>0.82534246575342463</v>
      </c>
      <c r="S255" s="2">
        <f t="shared" si="44"/>
        <v>0.97026022304832715</v>
      </c>
      <c r="T255" s="2">
        <f t="shared" si="45"/>
        <v>0.84745762711864403</v>
      </c>
      <c r="V255" s="2">
        <v>236</v>
      </c>
      <c r="Z255" s="2">
        <f t="shared" si="46"/>
        <v>236</v>
      </c>
    </row>
    <row r="256" spans="1:26" ht="15.75" customHeight="1" x14ac:dyDescent="0.2">
      <c r="A256" s="2" t="s">
        <v>23</v>
      </c>
      <c r="B256" s="2">
        <v>20</v>
      </c>
      <c r="C256" s="2">
        <v>8.1</v>
      </c>
      <c r="D256" s="2">
        <v>7</v>
      </c>
      <c r="E256" s="2">
        <v>346</v>
      </c>
      <c r="F256" s="2">
        <v>86.5</v>
      </c>
      <c r="G256" s="2">
        <v>207</v>
      </c>
      <c r="H256" s="2">
        <v>195</v>
      </c>
      <c r="I256" s="2">
        <v>249</v>
      </c>
      <c r="J256" s="2">
        <v>246</v>
      </c>
      <c r="K256" s="2">
        <v>142</v>
      </c>
      <c r="L256" s="2">
        <v>152</v>
      </c>
      <c r="N256" s="2">
        <f t="shared" si="39"/>
        <v>1191</v>
      </c>
      <c r="O256" s="2">
        <f t="shared" si="40"/>
        <v>207</v>
      </c>
      <c r="P256" s="2">
        <f t="shared" si="41"/>
        <v>249</v>
      </c>
      <c r="Q256" s="2">
        <f t="shared" si="42"/>
        <v>152</v>
      </c>
      <c r="R256" s="2">
        <f t="shared" si="43"/>
        <v>0.94202898550724634</v>
      </c>
      <c r="S256" s="2">
        <f t="shared" si="44"/>
        <v>0.98795180722891562</v>
      </c>
      <c r="T256" s="2">
        <f t="shared" si="45"/>
        <v>0.93421052631578949</v>
      </c>
      <c r="V256" s="2">
        <v>152</v>
      </c>
      <c r="Z256" s="2">
        <f t="shared" si="46"/>
        <v>152</v>
      </c>
    </row>
    <row r="257" spans="1:26" ht="15.75" customHeight="1" x14ac:dyDescent="0.2">
      <c r="A257" s="2" t="s">
        <v>23</v>
      </c>
      <c r="B257" s="2">
        <v>20</v>
      </c>
      <c r="C257" s="2">
        <v>7.7</v>
      </c>
      <c r="D257" s="2">
        <v>7</v>
      </c>
      <c r="E257" s="2">
        <v>289</v>
      </c>
      <c r="F257" s="2">
        <v>72.25</v>
      </c>
      <c r="G257" s="2">
        <v>243</v>
      </c>
      <c r="H257" s="2">
        <v>270</v>
      </c>
      <c r="I257" s="2">
        <v>186</v>
      </c>
      <c r="J257" s="2">
        <v>213</v>
      </c>
      <c r="K257" s="2">
        <v>140</v>
      </c>
      <c r="L257" s="2">
        <v>136</v>
      </c>
      <c r="N257" s="2">
        <f t="shared" si="39"/>
        <v>1188</v>
      </c>
      <c r="O257" s="2">
        <f t="shared" si="40"/>
        <v>270</v>
      </c>
      <c r="P257" s="2">
        <f t="shared" si="41"/>
        <v>213</v>
      </c>
      <c r="Q257" s="2">
        <f t="shared" si="42"/>
        <v>140</v>
      </c>
      <c r="R257" s="2">
        <f t="shared" si="43"/>
        <v>0.9</v>
      </c>
      <c r="S257" s="2">
        <f t="shared" si="44"/>
        <v>0.87323943661971826</v>
      </c>
      <c r="T257" s="2">
        <f t="shared" si="45"/>
        <v>0.97142857142857142</v>
      </c>
      <c r="V257" s="2">
        <v>140</v>
      </c>
      <c r="Z257" s="2">
        <f t="shared" si="46"/>
        <v>140</v>
      </c>
    </row>
    <row r="258" spans="1:26" ht="15.75" customHeight="1" x14ac:dyDescent="0.2">
      <c r="A258" s="2" t="s">
        <v>23</v>
      </c>
      <c r="B258" s="2">
        <v>20</v>
      </c>
      <c r="C258" s="2">
        <v>7.7</v>
      </c>
      <c r="D258" s="2">
        <v>7</v>
      </c>
      <c r="E258" s="2">
        <v>331</v>
      </c>
      <c r="F258" s="2">
        <v>82.75</v>
      </c>
      <c r="G258" s="2">
        <v>259</v>
      </c>
      <c r="H258" s="2">
        <v>271</v>
      </c>
      <c r="I258" s="2">
        <v>282</v>
      </c>
      <c r="J258" s="2">
        <v>209</v>
      </c>
      <c r="K258" s="2">
        <v>151</v>
      </c>
      <c r="L258" s="2">
        <v>168</v>
      </c>
      <c r="N258" s="2">
        <f t="shared" si="39"/>
        <v>1340</v>
      </c>
      <c r="O258" s="2">
        <f t="shared" si="40"/>
        <v>271</v>
      </c>
      <c r="P258" s="2">
        <f t="shared" si="41"/>
        <v>282</v>
      </c>
      <c r="Q258" s="2">
        <f t="shared" si="42"/>
        <v>168</v>
      </c>
      <c r="R258" s="2">
        <f t="shared" si="43"/>
        <v>0.955719557195572</v>
      </c>
      <c r="S258" s="2">
        <f t="shared" si="44"/>
        <v>0.74113475177304966</v>
      </c>
      <c r="T258" s="2">
        <f t="shared" si="45"/>
        <v>0.89880952380952384</v>
      </c>
      <c r="V258" s="2">
        <v>168</v>
      </c>
      <c r="Z258" s="2">
        <f t="shared" si="46"/>
        <v>168</v>
      </c>
    </row>
    <row r="259" spans="1:26" ht="15.75" customHeight="1" x14ac:dyDescent="0.2">
      <c r="A259" s="2" t="s">
        <v>23</v>
      </c>
      <c r="B259" s="2">
        <v>20</v>
      </c>
      <c r="C259" s="2">
        <v>7.7</v>
      </c>
      <c r="D259" s="2">
        <v>7</v>
      </c>
      <c r="E259" s="2">
        <v>318</v>
      </c>
      <c r="F259" s="2">
        <v>79.5</v>
      </c>
      <c r="G259" s="2">
        <v>260</v>
      </c>
      <c r="H259" s="2">
        <v>262</v>
      </c>
      <c r="I259" s="2">
        <v>277</v>
      </c>
      <c r="J259" s="2">
        <v>297</v>
      </c>
      <c r="K259" s="2">
        <v>246</v>
      </c>
      <c r="L259" s="2">
        <v>222</v>
      </c>
      <c r="N259" s="2">
        <f t="shared" si="39"/>
        <v>1564</v>
      </c>
      <c r="O259" s="2">
        <f t="shared" si="40"/>
        <v>262</v>
      </c>
      <c r="P259" s="2">
        <f t="shared" si="41"/>
        <v>297</v>
      </c>
      <c r="Q259" s="2">
        <f t="shared" si="42"/>
        <v>246</v>
      </c>
      <c r="R259" s="2">
        <f t="shared" si="43"/>
        <v>0.99236641221374045</v>
      </c>
      <c r="S259" s="2">
        <f t="shared" si="44"/>
        <v>0.93265993265993263</v>
      </c>
      <c r="T259" s="2">
        <f t="shared" si="45"/>
        <v>0.90243902439024393</v>
      </c>
      <c r="V259" s="2">
        <v>246</v>
      </c>
      <c r="Z259" s="2">
        <f t="shared" si="46"/>
        <v>246</v>
      </c>
    </row>
    <row r="260" spans="1:26" ht="15.75" customHeight="1" x14ac:dyDescent="0.2">
      <c r="A260" s="2" t="s">
        <v>23</v>
      </c>
      <c r="B260" s="2">
        <v>20</v>
      </c>
      <c r="C260" s="2">
        <v>7.7</v>
      </c>
      <c r="D260" s="2">
        <v>7</v>
      </c>
      <c r="E260" s="2">
        <v>300</v>
      </c>
      <c r="F260" s="2">
        <v>75</v>
      </c>
      <c r="G260" s="2">
        <v>247</v>
      </c>
      <c r="H260" s="2">
        <v>237</v>
      </c>
      <c r="I260" s="2">
        <v>71</v>
      </c>
      <c r="J260" s="2">
        <v>96</v>
      </c>
      <c r="K260" s="2">
        <v>110</v>
      </c>
      <c r="L260" s="2">
        <v>81</v>
      </c>
      <c r="N260" s="2">
        <f t="shared" si="39"/>
        <v>842</v>
      </c>
      <c r="O260" s="2">
        <f t="shared" si="40"/>
        <v>247</v>
      </c>
      <c r="P260" s="2">
        <f t="shared" si="41"/>
        <v>96</v>
      </c>
      <c r="Q260" s="2">
        <f t="shared" si="42"/>
        <v>110</v>
      </c>
      <c r="R260" s="2">
        <f t="shared" si="43"/>
        <v>0.95951417004048578</v>
      </c>
      <c r="S260" s="2">
        <f t="shared" si="44"/>
        <v>0.73958333333333337</v>
      </c>
      <c r="T260" s="2">
        <f t="shared" si="45"/>
        <v>0.73636363636363633</v>
      </c>
      <c r="V260" s="2">
        <v>110</v>
      </c>
      <c r="Z260" s="2">
        <f t="shared" si="46"/>
        <v>110</v>
      </c>
    </row>
    <row r="261" spans="1:26" ht="15.75" customHeight="1" x14ac:dyDescent="0.2">
      <c r="A261" s="2" t="s">
        <v>23</v>
      </c>
      <c r="B261" s="2">
        <v>20</v>
      </c>
      <c r="C261" s="2">
        <v>7.7</v>
      </c>
      <c r="D261" s="2">
        <v>7</v>
      </c>
      <c r="E261" s="2">
        <v>358</v>
      </c>
      <c r="F261" s="2">
        <v>89.5</v>
      </c>
      <c r="G261" s="2">
        <v>291</v>
      </c>
      <c r="H261" s="2">
        <v>310</v>
      </c>
      <c r="I261" s="2">
        <v>108</v>
      </c>
      <c r="J261" s="2">
        <v>137</v>
      </c>
      <c r="K261" s="2">
        <v>97</v>
      </c>
      <c r="L261" s="2">
        <v>101</v>
      </c>
      <c r="N261" s="2">
        <f t="shared" si="39"/>
        <v>1044</v>
      </c>
      <c r="O261" s="2">
        <f t="shared" si="40"/>
        <v>310</v>
      </c>
      <c r="P261" s="2">
        <f t="shared" si="41"/>
        <v>137</v>
      </c>
      <c r="Q261" s="2">
        <f t="shared" si="42"/>
        <v>101</v>
      </c>
      <c r="R261" s="2">
        <f t="shared" si="43"/>
        <v>0.93870967741935485</v>
      </c>
      <c r="S261" s="2">
        <f t="shared" si="44"/>
        <v>0.78832116788321172</v>
      </c>
      <c r="T261" s="2">
        <f t="shared" si="45"/>
        <v>0.96039603960396036</v>
      </c>
      <c r="V261" s="2">
        <v>101</v>
      </c>
      <c r="Z261" s="2">
        <f t="shared" si="46"/>
        <v>101</v>
      </c>
    </row>
    <row r="262" spans="1:26" ht="15.75" customHeight="1" x14ac:dyDescent="0.2">
      <c r="A262" s="2" t="s">
        <v>23</v>
      </c>
      <c r="B262" s="2">
        <v>20</v>
      </c>
      <c r="C262" s="2">
        <v>7.7</v>
      </c>
      <c r="D262" s="2">
        <v>7</v>
      </c>
      <c r="E262" s="2">
        <v>297</v>
      </c>
      <c r="F262" s="2">
        <v>74.25</v>
      </c>
      <c r="G262" s="2">
        <v>251</v>
      </c>
      <c r="H262" s="2">
        <v>272</v>
      </c>
      <c r="I262" s="2">
        <v>200</v>
      </c>
      <c r="J262" s="2">
        <v>217</v>
      </c>
      <c r="K262" s="2">
        <v>136</v>
      </c>
      <c r="L262" s="2">
        <v>137</v>
      </c>
      <c r="N262" s="2">
        <f t="shared" si="39"/>
        <v>1213</v>
      </c>
      <c r="O262" s="2">
        <f t="shared" si="40"/>
        <v>272</v>
      </c>
      <c r="P262" s="2">
        <f t="shared" si="41"/>
        <v>217</v>
      </c>
      <c r="Q262" s="2">
        <f t="shared" si="42"/>
        <v>137</v>
      </c>
      <c r="R262" s="2">
        <f t="shared" si="43"/>
        <v>0.92279411764705888</v>
      </c>
      <c r="S262" s="2">
        <f t="shared" si="44"/>
        <v>0.92165898617511521</v>
      </c>
      <c r="T262" s="2">
        <f t="shared" si="45"/>
        <v>0.99270072992700731</v>
      </c>
      <c r="V262" s="2">
        <v>137</v>
      </c>
      <c r="Z262" s="2">
        <f t="shared" si="46"/>
        <v>137</v>
      </c>
    </row>
    <row r="263" spans="1:26" ht="15.75" customHeight="1" x14ac:dyDescent="0.2">
      <c r="A263" s="2" t="s">
        <v>23</v>
      </c>
      <c r="B263" s="2">
        <v>20</v>
      </c>
      <c r="C263" s="2">
        <v>7.7</v>
      </c>
      <c r="D263" s="2">
        <v>7</v>
      </c>
      <c r="E263" s="2">
        <v>299</v>
      </c>
      <c r="F263" s="2">
        <v>74.75</v>
      </c>
      <c r="G263" s="2">
        <v>248</v>
      </c>
      <c r="H263" s="2">
        <v>247</v>
      </c>
      <c r="I263" s="2">
        <v>285</v>
      </c>
      <c r="J263" s="2">
        <v>223</v>
      </c>
      <c r="K263" s="2">
        <v>224</v>
      </c>
      <c r="L263" s="2">
        <v>246</v>
      </c>
      <c r="N263" s="2">
        <f t="shared" si="39"/>
        <v>1473</v>
      </c>
      <c r="O263" s="2">
        <f t="shared" si="40"/>
        <v>248</v>
      </c>
      <c r="P263" s="2">
        <f t="shared" si="41"/>
        <v>285</v>
      </c>
      <c r="Q263" s="2">
        <f t="shared" si="42"/>
        <v>246</v>
      </c>
      <c r="R263" s="2">
        <f t="shared" si="43"/>
        <v>0.99596774193548387</v>
      </c>
      <c r="S263" s="2">
        <f t="shared" si="44"/>
        <v>0.78245614035087718</v>
      </c>
      <c r="T263" s="2">
        <f t="shared" si="45"/>
        <v>0.91056910569105687</v>
      </c>
      <c r="V263" s="2">
        <v>246</v>
      </c>
      <c r="Z263" s="2">
        <f t="shared" si="46"/>
        <v>246</v>
      </c>
    </row>
    <row r="264" spans="1:26" ht="15.75" customHeight="1" x14ac:dyDescent="0.2">
      <c r="A264" s="2" t="s">
        <v>23</v>
      </c>
      <c r="B264" s="2">
        <v>20</v>
      </c>
      <c r="C264" s="2">
        <v>7.7</v>
      </c>
      <c r="D264" s="2">
        <v>7</v>
      </c>
      <c r="E264" s="2">
        <v>270</v>
      </c>
      <c r="F264" s="2">
        <v>67.5</v>
      </c>
      <c r="G264" s="2">
        <v>244</v>
      </c>
      <c r="H264" s="2">
        <v>231</v>
      </c>
      <c r="I264" s="2">
        <v>260</v>
      </c>
      <c r="J264" s="2">
        <v>205</v>
      </c>
      <c r="K264" s="2">
        <v>210</v>
      </c>
      <c r="L264" s="2">
        <v>184</v>
      </c>
      <c r="N264" s="2">
        <f t="shared" si="39"/>
        <v>1334</v>
      </c>
      <c r="O264" s="2">
        <f t="shared" si="40"/>
        <v>244</v>
      </c>
      <c r="P264" s="2">
        <f t="shared" si="41"/>
        <v>260</v>
      </c>
      <c r="Q264" s="2">
        <f t="shared" si="42"/>
        <v>210</v>
      </c>
      <c r="R264" s="2">
        <f t="shared" si="43"/>
        <v>0.94672131147540983</v>
      </c>
      <c r="S264" s="2">
        <f t="shared" si="44"/>
        <v>0.78846153846153844</v>
      </c>
      <c r="T264" s="2">
        <f t="shared" si="45"/>
        <v>0.87619047619047619</v>
      </c>
      <c r="V264" s="2">
        <v>210</v>
      </c>
      <c r="Z264" s="2">
        <f t="shared" si="46"/>
        <v>210</v>
      </c>
    </row>
    <row r="265" spans="1:26" ht="15.75" customHeight="1" x14ac:dyDescent="0.2">
      <c r="A265" s="2" t="s">
        <v>23</v>
      </c>
      <c r="B265" s="2">
        <v>20</v>
      </c>
      <c r="C265" s="2">
        <v>7.7</v>
      </c>
      <c r="D265" s="2">
        <v>7</v>
      </c>
      <c r="E265" s="2">
        <v>320</v>
      </c>
      <c r="F265" s="2">
        <v>80</v>
      </c>
      <c r="G265" s="2">
        <v>245</v>
      </c>
      <c r="H265" s="2">
        <v>231</v>
      </c>
      <c r="I265" s="2">
        <v>218</v>
      </c>
      <c r="J265" s="2">
        <v>236</v>
      </c>
      <c r="K265" s="2">
        <v>167</v>
      </c>
      <c r="L265" s="2">
        <v>210</v>
      </c>
      <c r="N265" s="2">
        <f t="shared" si="39"/>
        <v>1307</v>
      </c>
      <c r="O265" s="2">
        <f t="shared" si="40"/>
        <v>245</v>
      </c>
      <c r="P265" s="2">
        <f t="shared" si="41"/>
        <v>236</v>
      </c>
      <c r="Q265" s="2">
        <f t="shared" si="42"/>
        <v>210</v>
      </c>
      <c r="R265" s="2">
        <f t="shared" si="43"/>
        <v>0.94285714285714284</v>
      </c>
      <c r="S265" s="2">
        <f t="shared" si="44"/>
        <v>0.92372881355932202</v>
      </c>
      <c r="T265" s="2">
        <f t="shared" si="45"/>
        <v>0.79523809523809519</v>
      </c>
      <c r="V265" s="2">
        <v>210</v>
      </c>
      <c r="Z265" s="2">
        <f t="shared" si="46"/>
        <v>210</v>
      </c>
    </row>
    <row r="266" spans="1:26" ht="15.75" customHeight="1" x14ac:dyDescent="0.2">
      <c r="A266" s="2" t="s">
        <v>23</v>
      </c>
      <c r="B266" s="2">
        <v>20</v>
      </c>
      <c r="C266" s="2">
        <v>7.7</v>
      </c>
      <c r="D266" s="2">
        <v>7</v>
      </c>
      <c r="E266" s="2">
        <v>376</v>
      </c>
      <c r="F266" s="2">
        <v>94</v>
      </c>
      <c r="G266" s="2">
        <v>222</v>
      </c>
      <c r="H266" s="2">
        <v>226</v>
      </c>
      <c r="I266" s="2">
        <v>291</v>
      </c>
      <c r="J266" s="2">
        <v>278</v>
      </c>
      <c r="K266" s="2">
        <v>208</v>
      </c>
      <c r="L266" s="2">
        <v>189</v>
      </c>
      <c r="N266" s="2">
        <f t="shared" si="39"/>
        <v>1414</v>
      </c>
      <c r="O266" s="2">
        <f t="shared" si="40"/>
        <v>226</v>
      </c>
      <c r="P266" s="2">
        <f t="shared" si="41"/>
        <v>291</v>
      </c>
      <c r="Q266" s="2">
        <f t="shared" si="42"/>
        <v>208</v>
      </c>
      <c r="R266" s="2">
        <f t="shared" si="43"/>
        <v>0.98230088495575218</v>
      </c>
      <c r="S266" s="2">
        <f t="shared" si="44"/>
        <v>0.9553264604810997</v>
      </c>
      <c r="T266" s="2">
        <f t="shared" si="45"/>
        <v>0.90865384615384615</v>
      </c>
      <c r="V266" s="2">
        <v>208</v>
      </c>
      <c r="Z266" s="2">
        <f t="shared" si="46"/>
        <v>208</v>
      </c>
    </row>
    <row r="267" spans="1:26" ht="15.75" customHeight="1" x14ac:dyDescent="0.2">
      <c r="A267" s="2" t="s">
        <v>23</v>
      </c>
      <c r="B267" s="2">
        <v>20</v>
      </c>
      <c r="C267" s="2">
        <v>7.7</v>
      </c>
      <c r="D267" s="2">
        <v>7</v>
      </c>
      <c r="E267" s="2">
        <v>377</v>
      </c>
      <c r="F267" s="2">
        <v>94.25</v>
      </c>
      <c r="G267" s="2">
        <v>294</v>
      </c>
      <c r="H267" s="2">
        <v>312</v>
      </c>
      <c r="I267" s="2">
        <v>286</v>
      </c>
      <c r="J267" s="2">
        <v>255</v>
      </c>
      <c r="K267" s="2">
        <v>169</v>
      </c>
      <c r="L267" s="2">
        <v>190</v>
      </c>
      <c r="N267" s="2">
        <f t="shared" si="39"/>
        <v>1506</v>
      </c>
      <c r="O267" s="2">
        <f t="shared" si="40"/>
        <v>312</v>
      </c>
      <c r="P267" s="2">
        <f t="shared" si="41"/>
        <v>286</v>
      </c>
      <c r="Q267" s="2">
        <f t="shared" si="42"/>
        <v>190</v>
      </c>
      <c r="R267" s="2">
        <f t="shared" si="43"/>
        <v>0.94230769230769229</v>
      </c>
      <c r="S267" s="2">
        <f t="shared" si="44"/>
        <v>0.89160839160839156</v>
      </c>
      <c r="T267" s="2">
        <f t="shared" si="45"/>
        <v>0.88947368421052631</v>
      </c>
      <c r="V267" s="2">
        <v>190</v>
      </c>
      <c r="Z267" s="2">
        <f t="shared" si="46"/>
        <v>190</v>
      </c>
    </row>
    <row r="268" spans="1:26" ht="15.75" customHeight="1" x14ac:dyDescent="0.2">
      <c r="A268" s="2" t="s">
        <v>23</v>
      </c>
      <c r="B268" s="2">
        <v>20</v>
      </c>
      <c r="C268" s="2">
        <v>7.7</v>
      </c>
      <c r="D268" s="2">
        <v>7</v>
      </c>
      <c r="E268" s="2">
        <v>336</v>
      </c>
      <c r="F268" s="2">
        <v>84</v>
      </c>
      <c r="G268" s="2">
        <v>255</v>
      </c>
      <c r="H268" s="2">
        <v>237</v>
      </c>
      <c r="I268" s="2">
        <v>296</v>
      </c>
      <c r="J268" s="2">
        <v>294</v>
      </c>
      <c r="K268" s="2">
        <v>195</v>
      </c>
      <c r="L268" s="2">
        <v>178</v>
      </c>
      <c r="N268" s="2">
        <f t="shared" ref="N268:N270" si="47">SUM(G268:L268)</f>
        <v>1455</v>
      </c>
      <c r="O268" s="2">
        <f t="shared" ref="O268:O270" si="48">MAX(G268:H268)</f>
        <v>255</v>
      </c>
      <c r="P268" s="2">
        <f t="shared" ref="P268:P270" si="49">MAX(I268:J268)</f>
        <v>296</v>
      </c>
      <c r="Q268" s="2">
        <f t="shared" ref="Q268:Q270" si="50">MAX(K268:L268)</f>
        <v>195</v>
      </c>
      <c r="R268" s="2">
        <f t="shared" ref="R268:R270" si="51">MIN(G268:H268)/MAX(G268:H268)</f>
        <v>0.92941176470588238</v>
      </c>
      <c r="S268" s="2">
        <f t="shared" ref="S268:S270" si="52">MIN(I268:J268)/MAX(I268:J268)</f>
        <v>0.9932432432432432</v>
      </c>
      <c r="T268" s="2">
        <f t="shared" ref="T268:T270" si="53">MIN(K268:L268)/MAX(K268:L268)</f>
        <v>0.9128205128205128</v>
      </c>
      <c r="V268" s="2">
        <v>195</v>
      </c>
      <c r="Z268" s="2">
        <f t="shared" ref="Z268:Z270" si="54">V268</f>
        <v>195</v>
      </c>
    </row>
    <row r="269" spans="1:26" ht="15.75" customHeight="1" x14ac:dyDescent="0.2">
      <c r="A269" s="2" t="s">
        <v>23</v>
      </c>
      <c r="B269" s="2">
        <v>20</v>
      </c>
      <c r="C269" s="2">
        <v>7.7</v>
      </c>
      <c r="D269" s="2">
        <v>7</v>
      </c>
      <c r="E269" s="2">
        <v>325</v>
      </c>
      <c r="F269" s="2">
        <v>81.25</v>
      </c>
      <c r="G269" s="2">
        <v>245</v>
      </c>
      <c r="H269" s="2">
        <v>235</v>
      </c>
      <c r="I269" s="2">
        <v>305</v>
      </c>
      <c r="J269" s="2">
        <v>296</v>
      </c>
      <c r="K269" s="2">
        <v>197</v>
      </c>
      <c r="L269" s="2">
        <v>217</v>
      </c>
      <c r="N269" s="2">
        <f t="shared" si="47"/>
        <v>1495</v>
      </c>
      <c r="O269" s="2">
        <f t="shared" si="48"/>
        <v>245</v>
      </c>
      <c r="P269" s="2">
        <f t="shared" si="49"/>
        <v>305</v>
      </c>
      <c r="Q269" s="2">
        <f t="shared" si="50"/>
        <v>217</v>
      </c>
      <c r="R269" s="2">
        <f t="shared" si="51"/>
        <v>0.95918367346938771</v>
      </c>
      <c r="S269" s="2">
        <f t="shared" si="52"/>
        <v>0.97049180327868856</v>
      </c>
      <c r="T269" s="2">
        <f t="shared" si="53"/>
        <v>0.90783410138248843</v>
      </c>
      <c r="V269" s="2">
        <v>217</v>
      </c>
      <c r="Z269" s="2">
        <f t="shared" si="54"/>
        <v>217</v>
      </c>
    </row>
    <row r="270" spans="1:26" ht="15.75" customHeight="1" x14ac:dyDescent="0.2">
      <c r="A270" s="2" t="s">
        <v>23</v>
      </c>
      <c r="B270" s="2">
        <v>20</v>
      </c>
      <c r="C270" s="2">
        <v>7.7</v>
      </c>
      <c r="D270" s="2">
        <v>7</v>
      </c>
      <c r="E270" s="2">
        <v>388</v>
      </c>
      <c r="F270" s="2">
        <v>97</v>
      </c>
      <c r="G270" s="2">
        <v>288</v>
      </c>
      <c r="H270" s="2">
        <v>274</v>
      </c>
      <c r="I270" s="2">
        <v>317</v>
      </c>
      <c r="J270" s="2">
        <v>142</v>
      </c>
      <c r="K270" s="2">
        <v>168</v>
      </c>
      <c r="L270" s="2">
        <v>202</v>
      </c>
      <c r="N270" s="2">
        <f t="shared" si="47"/>
        <v>1391</v>
      </c>
      <c r="O270" s="2">
        <f t="shared" si="48"/>
        <v>288</v>
      </c>
      <c r="P270" s="2">
        <f t="shared" si="49"/>
        <v>317</v>
      </c>
      <c r="Q270" s="2">
        <f t="shared" si="50"/>
        <v>202</v>
      </c>
      <c r="R270" s="2">
        <f t="shared" si="51"/>
        <v>0.95138888888888884</v>
      </c>
      <c r="S270" s="2">
        <f t="shared" si="52"/>
        <v>0.44794952681388012</v>
      </c>
      <c r="T270" s="2">
        <f t="shared" si="53"/>
        <v>0.83168316831683164</v>
      </c>
      <c r="V270" s="2">
        <v>202</v>
      </c>
      <c r="Z270" s="2">
        <f t="shared" si="54"/>
        <v>202</v>
      </c>
    </row>
  </sheetData>
  <autoFilter ref="A1:L138" xr:uid="{00000000-0001-0000-0100-000000000000}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0B77-012C-4BB2-86C6-4E0BE0416185}">
  <dimension ref="A1:AE48"/>
  <sheetViews>
    <sheetView topLeftCell="M1" zoomScale="136" zoomScaleNormal="130" workbookViewId="0">
      <selection activeCell="AE2" sqref="AE2"/>
    </sheetView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1" t="s">
        <v>4</v>
      </c>
      <c r="W1" s="1" t="s">
        <v>15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D1" t="s">
        <v>20</v>
      </c>
      <c r="AE1" t="s">
        <v>38</v>
      </c>
    </row>
    <row r="2" spans="1:31" s="2" customFormat="1" x14ac:dyDescent="0.2">
      <c r="A2" s="1" t="s">
        <v>20</v>
      </c>
      <c r="B2" s="3">
        <v>20</v>
      </c>
      <c r="C2" s="1">
        <v>8.1</v>
      </c>
      <c r="D2" s="3">
        <v>0.18</v>
      </c>
      <c r="E2" s="3">
        <v>391.83</v>
      </c>
      <c r="F2" s="3">
        <v>76.707499999999996</v>
      </c>
      <c r="G2" s="3">
        <v>282.55399999999997</v>
      </c>
      <c r="H2" s="3">
        <v>294.50799999999998</v>
      </c>
      <c r="I2" s="3">
        <v>253.18600000000001</v>
      </c>
      <c r="J2" s="3">
        <v>291.61399999999998</v>
      </c>
      <c r="K2" s="3">
        <v>180.624</v>
      </c>
      <c r="L2" s="3">
        <v>157.93100000000001</v>
      </c>
      <c r="N2" s="2">
        <f t="shared" ref="N2:N48" si="0">SUM(G2:L2)</f>
        <v>1460.4169999999999</v>
      </c>
      <c r="O2" s="2">
        <f t="shared" ref="O2:O48" si="1">MAX(G2:H2)</f>
        <v>294.50799999999998</v>
      </c>
      <c r="P2" s="2">
        <f t="shared" ref="P2:P48" si="2">MAX(I2:J2)</f>
        <v>291.61399999999998</v>
      </c>
      <c r="Q2" s="2">
        <f t="shared" ref="Q2:Q48" si="3">MAX(K2:L2)</f>
        <v>180.624</v>
      </c>
      <c r="R2" s="2">
        <f t="shared" ref="R2:R48" si="4">MIN(G2:H2)/MAX(G2:H2)</f>
        <v>0.95941027068874185</v>
      </c>
      <c r="S2" s="2">
        <f t="shared" ref="S2:S48" si="5">MIN(I2:J2)/MAX(I2:J2)</f>
        <v>0.86822306199290855</v>
      </c>
      <c r="T2" s="2">
        <f t="shared" ref="T2:T48" si="6">MIN(K2:L2)/MAX(K2:L2)</f>
        <v>0.87436331827442648</v>
      </c>
      <c r="V2" s="3">
        <v>391.83</v>
      </c>
      <c r="W2" s="1">
        <v>180.624</v>
      </c>
      <c r="X2" s="2">
        <f>W2</f>
        <v>180.624</v>
      </c>
      <c r="AD2" s="1">
        <v>8.1</v>
      </c>
      <c r="AE2" s="2">
        <f>(W2+144.12)/(V2*0.8726)</f>
        <v>0.9497914219501038</v>
      </c>
    </row>
    <row r="3" spans="1:31" s="2" customFormat="1" x14ac:dyDescent="0.2">
      <c r="A3" s="1" t="s">
        <v>20</v>
      </c>
      <c r="B3" s="3">
        <v>20</v>
      </c>
      <c r="C3" s="1">
        <v>8.1</v>
      </c>
      <c r="D3" s="3">
        <v>0.18</v>
      </c>
      <c r="E3" s="3">
        <v>358.69</v>
      </c>
      <c r="F3" s="3">
        <v>68.422499999999999</v>
      </c>
      <c r="G3" s="3">
        <v>245.15799999999999</v>
      </c>
      <c r="H3" s="3">
        <v>249.65</v>
      </c>
      <c r="I3" s="3">
        <v>186.26300000000001</v>
      </c>
      <c r="J3" s="3">
        <v>197.58600000000001</v>
      </c>
      <c r="K3" s="3">
        <v>183.93600000000001</v>
      </c>
      <c r="L3" s="3">
        <v>193.64400000000001</v>
      </c>
      <c r="N3" s="2">
        <f t="shared" si="0"/>
        <v>1256.2370000000001</v>
      </c>
      <c r="O3" s="2">
        <f t="shared" si="1"/>
        <v>249.65</v>
      </c>
      <c r="P3" s="2">
        <f t="shared" si="2"/>
        <v>197.58600000000001</v>
      </c>
      <c r="Q3" s="2">
        <f t="shared" si="3"/>
        <v>193.64400000000001</v>
      </c>
      <c r="R3" s="2">
        <f t="shared" si="4"/>
        <v>0.98200680953334663</v>
      </c>
      <c r="S3" s="2">
        <f t="shared" si="5"/>
        <v>0.94269330823034014</v>
      </c>
      <c r="T3" s="2">
        <f t="shared" si="6"/>
        <v>0.94986676581768603</v>
      </c>
      <c r="V3" s="3">
        <v>358.69</v>
      </c>
      <c r="W3" s="1">
        <v>193.64400000000001</v>
      </c>
      <c r="X3" s="2">
        <f t="shared" ref="X3:X11" si="7">W3</f>
        <v>193.64400000000001</v>
      </c>
      <c r="AD3" s="1">
        <v>8.1</v>
      </c>
      <c r="AE3" s="2">
        <f t="shared" ref="AE3:AE48" si="8">(W3+144.12)/(V3*0.8726)</f>
        <v>1.0791427105051143</v>
      </c>
    </row>
    <row r="4" spans="1:31" s="2" customFormat="1" x14ac:dyDescent="0.2">
      <c r="A4" s="1" t="s">
        <v>20</v>
      </c>
      <c r="B4" s="3">
        <v>20</v>
      </c>
      <c r="C4" s="1">
        <v>8.1</v>
      </c>
      <c r="D4" s="3">
        <v>0.18</v>
      </c>
      <c r="E4" s="3">
        <v>376.24</v>
      </c>
      <c r="F4" s="3">
        <v>72.81</v>
      </c>
      <c r="G4" s="3">
        <v>263.42599999999999</v>
      </c>
      <c r="H4" s="3">
        <v>266.68700000000001</v>
      </c>
      <c r="I4" s="3">
        <v>166.494</v>
      </c>
      <c r="J4" s="3">
        <v>188.34700000000001</v>
      </c>
      <c r="K4" s="3">
        <v>146.78700000000001</v>
      </c>
      <c r="L4" s="3">
        <v>133.57499999999999</v>
      </c>
      <c r="N4" s="2">
        <f t="shared" si="0"/>
        <v>1165.316</v>
      </c>
      <c r="O4" s="2">
        <f t="shared" si="1"/>
        <v>266.68700000000001</v>
      </c>
      <c r="P4" s="2">
        <f t="shared" si="2"/>
        <v>188.34700000000001</v>
      </c>
      <c r="Q4" s="2">
        <f t="shared" si="3"/>
        <v>146.78700000000001</v>
      </c>
      <c r="R4" s="2">
        <f t="shared" si="4"/>
        <v>0.9877721823710941</v>
      </c>
      <c r="S4" s="2">
        <f t="shared" si="5"/>
        <v>0.88397479120984135</v>
      </c>
      <c r="T4" s="2">
        <f t="shared" si="6"/>
        <v>0.90999202926689682</v>
      </c>
      <c r="V4" s="3">
        <v>376.24</v>
      </c>
      <c r="W4" s="1">
        <v>146.78700000000001</v>
      </c>
      <c r="X4" s="2">
        <f t="shared" si="7"/>
        <v>146.78700000000001</v>
      </c>
      <c r="AD4" s="1">
        <v>8.1</v>
      </c>
      <c r="AE4" s="2">
        <f t="shared" si="8"/>
        <v>0.88608216923193217</v>
      </c>
    </row>
    <row r="5" spans="1:31" s="2" customFormat="1" x14ac:dyDescent="0.2">
      <c r="A5" s="1" t="s">
        <v>20</v>
      </c>
      <c r="B5" s="3">
        <v>20</v>
      </c>
      <c r="C5" s="1">
        <v>8.1</v>
      </c>
      <c r="D5" s="3">
        <v>0.18</v>
      </c>
      <c r="E5" s="3">
        <v>360.65</v>
      </c>
      <c r="F5" s="3">
        <v>68.912499999999994</v>
      </c>
      <c r="G5" s="3">
        <v>249.41900000000001</v>
      </c>
      <c r="H5" s="3">
        <v>238.578</v>
      </c>
      <c r="I5" s="3">
        <v>218.36600000000001</v>
      </c>
      <c r="J5" s="3">
        <v>229.77799999999999</v>
      </c>
      <c r="K5" s="3">
        <v>175.75800000000001</v>
      </c>
      <c r="L5" s="3">
        <v>184.41200000000001</v>
      </c>
      <c r="N5" s="2">
        <f t="shared" si="0"/>
        <v>1296.3110000000001</v>
      </c>
      <c r="O5" s="2">
        <f t="shared" si="1"/>
        <v>249.41900000000001</v>
      </c>
      <c r="P5" s="2">
        <f t="shared" si="2"/>
        <v>229.77799999999999</v>
      </c>
      <c r="Q5" s="2">
        <f t="shared" si="3"/>
        <v>184.41200000000001</v>
      </c>
      <c r="R5" s="2">
        <f t="shared" si="4"/>
        <v>0.95653498731050957</v>
      </c>
      <c r="S5" s="2">
        <f t="shared" si="5"/>
        <v>0.95033467085621781</v>
      </c>
      <c r="T5" s="2">
        <f t="shared" si="6"/>
        <v>0.95307246816909963</v>
      </c>
      <c r="V5" s="3">
        <v>360.65</v>
      </c>
      <c r="W5" s="1">
        <v>184.41200000000001</v>
      </c>
      <c r="X5" s="2">
        <f t="shared" si="7"/>
        <v>184.41200000000001</v>
      </c>
      <c r="AD5" s="1">
        <v>8.1</v>
      </c>
      <c r="AE5" s="2">
        <f t="shared" si="8"/>
        <v>1.0439423890174104</v>
      </c>
    </row>
    <row r="6" spans="1:31" s="2" customFormat="1" x14ac:dyDescent="0.2">
      <c r="A6" s="1" t="s">
        <v>20</v>
      </c>
      <c r="B6" s="3">
        <v>20</v>
      </c>
      <c r="C6" s="1">
        <v>8.1</v>
      </c>
      <c r="D6" s="3">
        <v>0.18</v>
      </c>
      <c r="E6" s="3">
        <v>332.78</v>
      </c>
      <c r="F6" s="3">
        <v>61.944999999999993</v>
      </c>
      <c r="G6" s="3">
        <v>252.85</v>
      </c>
      <c r="H6" s="3">
        <v>249.26499999999999</v>
      </c>
      <c r="I6" s="3">
        <v>275.83100000000002</v>
      </c>
      <c r="J6" s="3">
        <v>254.09399999999999</v>
      </c>
      <c r="K6" s="3">
        <v>117.621</v>
      </c>
      <c r="L6" s="3">
        <v>118.62</v>
      </c>
      <c r="N6" s="2">
        <f t="shared" si="0"/>
        <v>1268.2809999999999</v>
      </c>
      <c r="O6" s="2">
        <f t="shared" si="1"/>
        <v>252.85</v>
      </c>
      <c r="P6" s="2">
        <f t="shared" si="2"/>
        <v>275.83100000000002</v>
      </c>
      <c r="Q6" s="2">
        <f t="shared" si="3"/>
        <v>118.62</v>
      </c>
      <c r="R6" s="2">
        <f t="shared" si="4"/>
        <v>0.98582163337947393</v>
      </c>
      <c r="S6" s="2">
        <f t="shared" si="5"/>
        <v>0.92119449953050958</v>
      </c>
      <c r="T6" s="2">
        <f t="shared" si="6"/>
        <v>0.99157814871016681</v>
      </c>
      <c r="V6" s="3">
        <v>332.78</v>
      </c>
      <c r="W6" s="1">
        <v>118.62</v>
      </c>
      <c r="X6" s="2">
        <f t="shared" si="7"/>
        <v>118.62</v>
      </c>
      <c r="AD6" s="1">
        <v>8.1</v>
      </c>
      <c r="AE6" s="2">
        <f t="shared" si="8"/>
        <v>0.90480245339282461</v>
      </c>
    </row>
    <row r="7" spans="1:31" s="2" customFormat="1" x14ac:dyDescent="0.2">
      <c r="A7" s="1" t="s">
        <v>20</v>
      </c>
      <c r="B7" s="3">
        <v>20</v>
      </c>
      <c r="C7" s="1">
        <v>8.1</v>
      </c>
      <c r="D7" s="3">
        <v>0.18</v>
      </c>
      <c r="E7" s="3">
        <v>330.1</v>
      </c>
      <c r="F7" s="3">
        <v>61.275000000000006</v>
      </c>
      <c r="G7" s="3">
        <v>228.29300000000001</v>
      </c>
      <c r="H7" s="3">
        <v>235.80199999999999</v>
      </c>
      <c r="I7" s="3">
        <v>239.14099999999999</v>
      </c>
      <c r="J7" s="3">
        <v>208.17599999999999</v>
      </c>
      <c r="K7" s="3">
        <v>171.01</v>
      </c>
      <c r="L7" s="3">
        <v>174.834</v>
      </c>
      <c r="N7" s="2">
        <f t="shared" si="0"/>
        <v>1257.2560000000001</v>
      </c>
      <c r="O7" s="2">
        <f t="shared" si="1"/>
        <v>235.80199999999999</v>
      </c>
      <c r="P7" s="2">
        <f t="shared" si="2"/>
        <v>239.14099999999999</v>
      </c>
      <c r="Q7" s="2">
        <f t="shared" si="3"/>
        <v>174.834</v>
      </c>
      <c r="R7" s="2">
        <f t="shared" si="4"/>
        <v>0.96815548638264315</v>
      </c>
      <c r="S7" s="2">
        <f t="shared" si="5"/>
        <v>0.8705157208508788</v>
      </c>
      <c r="T7" s="2">
        <f t="shared" si="6"/>
        <v>0.97812782410743904</v>
      </c>
      <c r="V7" s="3">
        <v>330.1</v>
      </c>
      <c r="W7" s="1">
        <v>174.834</v>
      </c>
      <c r="X7" s="2">
        <f t="shared" si="7"/>
        <v>174.834</v>
      </c>
      <c r="AD7" s="1">
        <v>8.1</v>
      </c>
      <c r="AE7" s="2">
        <f t="shared" si="8"/>
        <v>1.1073051505864042</v>
      </c>
    </row>
    <row r="8" spans="1:31" s="2" customFormat="1" x14ac:dyDescent="0.2">
      <c r="A8" s="1" t="s">
        <v>20</v>
      </c>
      <c r="B8" s="3">
        <v>20</v>
      </c>
      <c r="C8" s="1">
        <v>8.1</v>
      </c>
      <c r="D8" s="3">
        <v>0.18</v>
      </c>
      <c r="E8" s="3">
        <v>384.32</v>
      </c>
      <c r="F8" s="3">
        <v>74.83</v>
      </c>
      <c r="G8" s="3">
        <v>261.54399999999998</v>
      </c>
      <c r="H8" s="3">
        <v>260.62</v>
      </c>
      <c r="I8" s="3">
        <v>257.95299999999997</v>
      </c>
      <c r="J8" s="3">
        <v>316.39100000000002</v>
      </c>
      <c r="K8" s="3">
        <v>218.81700000000001</v>
      </c>
      <c r="L8" s="3">
        <v>207.119</v>
      </c>
      <c r="N8" s="2">
        <f t="shared" si="0"/>
        <v>1522.444</v>
      </c>
      <c r="O8" s="2">
        <f t="shared" si="1"/>
        <v>261.54399999999998</v>
      </c>
      <c r="P8" s="2">
        <f t="shared" si="2"/>
        <v>316.39100000000002</v>
      </c>
      <c r="Q8" s="2">
        <f t="shared" si="3"/>
        <v>218.81700000000001</v>
      </c>
      <c r="R8" s="2">
        <f t="shared" si="4"/>
        <v>0.9964671336371701</v>
      </c>
      <c r="S8" s="2">
        <f t="shared" si="5"/>
        <v>0.81529815955573948</v>
      </c>
      <c r="T8" s="2">
        <f t="shared" si="6"/>
        <v>0.94653980266615478</v>
      </c>
      <c r="V8" s="3">
        <v>384.32</v>
      </c>
      <c r="W8" s="1">
        <v>218.81700000000001</v>
      </c>
      <c r="X8" s="2">
        <f t="shared" si="7"/>
        <v>218.81700000000001</v>
      </c>
      <c r="AD8" s="1">
        <v>8.1</v>
      </c>
      <c r="AE8" s="2">
        <f t="shared" si="8"/>
        <v>1.0822386770669945</v>
      </c>
    </row>
    <row r="9" spans="1:31" s="2" customFormat="1" x14ac:dyDescent="0.2">
      <c r="A9" s="1" t="s">
        <v>20</v>
      </c>
      <c r="B9" s="3">
        <v>20</v>
      </c>
      <c r="C9" s="1">
        <v>8.1</v>
      </c>
      <c r="D9" s="3">
        <v>0.18</v>
      </c>
      <c r="E9" s="3">
        <v>339.23</v>
      </c>
      <c r="F9" s="3">
        <v>63.557500000000005</v>
      </c>
      <c r="G9" s="3">
        <v>247.43100000000001</v>
      </c>
      <c r="H9" s="3">
        <v>243.95699999999999</v>
      </c>
      <c r="I9" s="3">
        <v>256.887</v>
      </c>
      <c r="J9" s="3">
        <v>258.495</v>
      </c>
      <c r="K9" s="3">
        <v>109.803</v>
      </c>
      <c r="L9" s="3">
        <v>113.054</v>
      </c>
      <c r="N9" s="2">
        <f t="shared" si="0"/>
        <v>1229.6270000000002</v>
      </c>
      <c r="O9" s="2">
        <f t="shared" si="1"/>
        <v>247.43100000000001</v>
      </c>
      <c r="P9" s="2">
        <f t="shared" si="2"/>
        <v>258.495</v>
      </c>
      <c r="Q9" s="2">
        <f t="shared" si="3"/>
        <v>113.054</v>
      </c>
      <c r="R9" s="2">
        <f t="shared" si="4"/>
        <v>0.98595972210434413</v>
      </c>
      <c r="S9" s="2">
        <f t="shared" si="5"/>
        <v>0.9937793767771137</v>
      </c>
      <c r="T9" s="2">
        <f t="shared" si="6"/>
        <v>0.97124383038194129</v>
      </c>
      <c r="V9" s="3">
        <v>339.23</v>
      </c>
      <c r="W9" s="1">
        <v>113.054</v>
      </c>
      <c r="X9" s="2">
        <f t="shared" si="7"/>
        <v>113.054</v>
      </c>
      <c r="AD9" s="1">
        <v>8.1</v>
      </c>
      <c r="AE9" s="2">
        <f t="shared" si="8"/>
        <v>0.8687955719971957</v>
      </c>
    </row>
    <row r="10" spans="1:31" s="2" customFormat="1" x14ac:dyDescent="0.2">
      <c r="A10" s="1" t="s">
        <v>20</v>
      </c>
      <c r="B10" s="3">
        <v>20</v>
      </c>
      <c r="C10" s="1">
        <v>8.1</v>
      </c>
      <c r="D10" s="3">
        <v>0.18</v>
      </c>
      <c r="E10" s="3">
        <v>358</v>
      </c>
      <c r="F10" s="3">
        <v>68.25</v>
      </c>
      <c r="G10" s="3">
        <v>256.887</v>
      </c>
      <c r="H10" s="3">
        <v>261.58600000000001</v>
      </c>
      <c r="I10" s="3">
        <v>165.929</v>
      </c>
      <c r="J10" s="3">
        <v>199.768</v>
      </c>
      <c r="K10" s="3">
        <v>162.31700000000001</v>
      </c>
      <c r="L10" s="3">
        <v>186.58699999999999</v>
      </c>
      <c r="N10" s="2">
        <f t="shared" si="0"/>
        <v>1233.0740000000001</v>
      </c>
      <c r="O10" s="2">
        <f t="shared" si="1"/>
        <v>261.58600000000001</v>
      </c>
      <c r="P10" s="2">
        <f t="shared" si="2"/>
        <v>199.768</v>
      </c>
      <c r="Q10" s="2">
        <f t="shared" si="3"/>
        <v>186.58699999999999</v>
      </c>
      <c r="R10" s="2">
        <f t="shared" si="4"/>
        <v>0.98203650042433455</v>
      </c>
      <c r="S10" s="2">
        <f t="shared" si="5"/>
        <v>0.83060850586680546</v>
      </c>
      <c r="T10" s="2">
        <f t="shared" si="6"/>
        <v>0.86992662940076215</v>
      </c>
      <c r="V10" s="3">
        <v>358</v>
      </c>
      <c r="W10" s="1">
        <v>186.58699999999999</v>
      </c>
      <c r="X10" s="2">
        <f t="shared" si="7"/>
        <v>186.58699999999999</v>
      </c>
      <c r="AD10" s="1">
        <v>8.1</v>
      </c>
      <c r="AE10" s="2">
        <f t="shared" si="8"/>
        <v>1.0586323284808643</v>
      </c>
    </row>
    <row r="11" spans="1:31" s="2" customFormat="1" x14ac:dyDescent="0.2">
      <c r="A11" s="1" t="s">
        <v>20</v>
      </c>
      <c r="B11" s="3">
        <v>20</v>
      </c>
      <c r="C11" s="1">
        <v>8.1</v>
      </c>
      <c r="D11" s="3">
        <v>0.18</v>
      </c>
      <c r="E11" s="3">
        <v>343.93</v>
      </c>
      <c r="F11" s="3">
        <v>64.732500000000002</v>
      </c>
      <c r="G11" s="3">
        <v>262.476</v>
      </c>
      <c r="H11" s="3">
        <v>267.09800000000001</v>
      </c>
      <c r="I11" s="3">
        <v>293.52800000000002</v>
      </c>
      <c r="J11" s="3">
        <v>289.80200000000002</v>
      </c>
      <c r="K11" s="3">
        <v>119.01300000000001</v>
      </c>
      <c r="L11" s="3">
        <v>161.708</v>
      </c>
      <c r="N11" s="2">
        <f t="shared" si="0"/>
        <v>1393.625</v>
      </c>
      <c r="O11" s="2">
        <f t="shared" si="1"/>
        <v>267.09800000000001</v>
      </c>
      <c r="P11" s="2">
        <f t="shared" si="2"/>
        <v>293.52800000000002</v>
      </c>
      <c r="Q11" s="2">
        <f t="shared" si="3"/>
        <v>161.708</v>
      </c>
      <c r="R11" s="2">
        <f t="shared" si="4"/>
        <v>0.98269549004485235</v>
      </c>
      <c r="S11" s="2">
        <f t="shared" si="5"/>
        <v>0.98730615137227118</v>
      </c>
      <c r="T11" s="2">
        <f t="shared" si="6"/>
        <v>0.7359747198654365</v>
      </c>
      <c r="V11" s="3">
        <v>343.93</v>
      </c>
      <c r="W11" s="1">
        <v>161.708</v>
      </c>
      <c r="X11" s="2">
        <f t="shared" si="7"/>
        <v>161.708</v>
      </c>
      <c r="AD11" s="1">
        <v>8.1</v>
      </c>
      <c r="AE11" s="2">
        <f t="shared" si="8"/>
        <v>1.0190417474242179</v>
      </c>
    </row>
    <row r="12" spans="1:31" s="2" customFormat="1" x14ac:dyDescent="0.2">
      <c r="A12" s="1" t="s">
        <v>20</v>
      </c>
      <c r="B12" s="3">
        <v>20</v>
      </c>
      <c r="C12" s="1">
        <v>7.95</v>
      </c>
      <c r="D12" s="3">
        <v>0.18</v>
      </c>
      <c r="E12" s="3">
        <v>384.98</v>
      </c>
      <c r="F12" s="3">
        <v>74.995000000000005</v>
      </c>
      <c r="G12" s="3">
        <v>263.017</v>
      </c>
      <c r="H12" s="3">
        <v>280.10199999999998</v>
      </c>
      <c r="I12" s="3">
        <v>265.32600000000002</v>
      </c>
      <c r="J12" s="3">
        <v>280.81</v>
      </c>
      <c r="K12" s="3">
        <v>189.422</v>
      </c>
      <c r="L12" s="3">
        <v>161.84200000000001</v>
      </c>
      <c r="N12" s="2">
        <f t="shared" si="0"/>
        <v>1440.519</v>
      </c>
      <c r="O12" s="2">
        <f t="shared" si="1"/>
        <v>280.10199999999998</v>
      </c>
      <c r="P12" s="2">
        <f t="shared" si="2"/>
        <v>280.81</v>
      </c>
      <c r="Q12" s="2">
        <f t="shared" si="3"/>
        <v>189.422</v>
      </c>
      <c r="R12" s="2">
        <f t="shared" si="4"/>
        <v>0.93900436269644638</v>
      </c>
      <c r="S12" s="2">
        <f t="shared" si="5"/>
        <v>0.94485951355008735</v>
      </c>
      <c r="T12" s="2">
        <f t="shared" si="6"/>
        <v>0.85439917221864414</v>
      </c>
      <c r="V12" s="3">
        <v>384.98</v>
      </c>
      <c r="W12" s="1">
        <v>189.422</v>
      </c>
      <c r="Y12" s="2">
        <f>W12</f>
        <v>189.422</v>
      </c>
      <c r="AD12" s="1">
        <v>7.95</v>
      </c>
      <c r="AE12" s="2">
        <f t="shared" si="8"/>
        <v>0.99288088964547239</v>
      </c>
    </row>
    <row r="13" spans="1:31" s="2" customFormat="1" x14ac:dyDescent="0.2">
      <c r="A13" s="1" t="s">
        <v>20</v>
      </c>
      <c r="B13" s="3">
        <v>20</v>
      </c>
      <c r="C13" s="1">
        <v>7.95</v>
      </c>
      <c r="D13" s="3">
        <v>0.18</v>
      </c>
      <c r="E13" s="3">
        <v>405.67</v>
      </c>
      <c r="F13" s="3">
        <v>80.167500000000004</v>
      </c>
      <c r="G13" s="3">
        <v>261.733</v>
      </c>
      <c r="H13" s="3">
        <v>265.03399999999999</v>
      </c>
      <c r="I13" s="3">
        <v>258.411</v>
      </c>
      <c r="J13" s="3">
        <v>278.798</v>
      </c>
      <c r="K13" s="3">
        <v>229.589</v>
      </c>
      <c r="L13" s="3">
        <v>228.29900000000001</v>
      </c>
      <c r="N13" s="2">
        <f t="shared" si="0"/>
        <v>1521.864</v>
      </c>
      <c r="O13" s="2">
        <f t="shared" si="1"/>
        <v>265.03399999999999</v>
      </c>
      <c r="P13" s="2">
        <f t="shared" si="2"/>
        <v>278.798</v>
      </c>
      <c r="Q13" s="2">
        <f t="shared" si="3"/>
        <v>229.589</v>
      </c>
      <c r="R13" s="2">
        <f t="shared" si="4"/>
        <v>0.9875449942271558</v>
      </c>
      <c r="S13" s="2">
        <f t="shared" si="5"/>
        <v>0.92687537213322913</v>
      </c>
      <c r="T13" s="2">
        <f t="shared" si="6"/>
        <v>0.99438126391072745</v>
      </c>
      <c r="V13" s="3">
        <v>405.67</v>
      </c>
      <c r="W13" s="1">
        <v>229.589</v>
      </c>
      <c r="Y13" s="2">
        <f t="shared" ref="Y13:Y19" si="9">W13</f>
        <v>229.589</v>
      </c>
      <c r="AD13" s="1">
        <v>7.95</v>
      </c>
      <c r="AE13" s="2">
        <f t="shared" si="8"/>
        <v>1.0557119957311956</v>
      </c>
    </row>
    <row r="14" spans="1:31" s="2" customFormat="1" x14ac:dyDescent="0.2">
      <c r="A14" s="1" t="s">
        <v>20</v>
      </c>
      <c r="B14" s="3">
        <v>20</v>
      </c>
      <c r="C14" s="1">
        <v>7.95</v>
      </c>
      <c r="D14" s="3">
        <v>0.18</v>
      </c>
      <c r="E14" s="3">
        <v>383.56</v>
      </c>
      <c r="F14" s="3">
        <v>74.64</v>
      </c>
      <c r="G14" s="3">
        <v>274.17700000000002</v>
      </c>
      <c r="H14" s="3">
        <v>271.89699999999999</v>
      </c>
      <c r="I14" s="3">
        <v>134.86799999999999</v>
      </c>
      <c r="J14" s="3">
        <v>108.69499999999999</v>
      </c>
      <c r="K14" s="3">
        <v>109.379</v>
      </c>
      <c r="L14" s="3">
        <v>116.35299999999999</v>
      </c>
      <c r="N14" s="2">
        <f t="shared" si="0"/>
        <v>1015.3689999999999</v>
      </c>
      <c r="O14" s="2">
        <f t="shared" si="1"/>
        <v>274.17700000000002</v>
      </c>
      <c r="P14" s="2">
        <f t="shared" si="2"/>
        <v>134.86799999999999</v>
      </c>
      <c r="Q14" s="2">
        <f t="shared" si="3"/>
        <v>116.35299999999999</v>
      </c>
      <c r="R14" s="2">
        <f t="shared" si="4"/>
        <v>0.991684203999606</v>
      </c>
      <c r="S14" s="2">
        <f t="shared" si="5"/>
        <v>0.80593617463000855</v>
      </c>
      <c r="T14" s="2">
        <f t="shared" si="6"/>
        <v>0.94006170876556694</v>
      </c>
      <c r="V14" s="3">
        <v>383.56</v>
      </c>
      <c r="W14" s="1">
        <v>116.35299999999999</v>
      </c>
      <c r="Y14" s="2">
        <f t="shared" si="9"/>
        <v>116.35299999999999</v>
      </c>
      <c r="AD14" s="1">
        <v>7.95</v>
      </c>
      <c r="AE14" s="2">
        <f t="shared" si="8"/>
        <v>0.77824115497150637</v>
      </c>
    </row>
    <row r="15" spans="1:31" s="2" customFormat="1" x14ac:dyDescent="0.2">
      <c r="A15" s="1" t="s">
        <v>20</v>
      </c>
      <c r="B15" s="3">
        <v>20</v>
      </c>
      <c r="C15" s="1">
        <v>7.95</v>
      </c>
      <c r="D15" s="3">
        <v>0.18</v>
      </c>
      <c r="E15" s="3">
        <v>374.09</v>
      </c>
      <c r="F15" s="3">
        <v>72.272499999999994</v>
      </c>
      <c r="G15" s="3">
        <v>263.02199999999999</v>
      </c>
      <c r="H15" s="3">
        <v>259.30200000000002</v>
      </c>
      <c r="I15" s="3">
        <v>276.08499999999998</v>
      </c>
      <c r="J15" s="3">
        <v>304.18799999999999</v>
      </c>
      <c r="K15" s="3">
        <v>129.96700000000001</v>
      </c>
      <c r="L15" s="3">
        <v>157.33199999999999</v>
      </c>
      <c r="N15" s="2">
        <f t="shared" si="0"/>
        <v>1389.8960000000002</v>
      </c>
      <c r="O15" s="2">
        <f t="shared" si="1"/>
        <v>263.02199999999999</v>
      </c>
      <c r="P15" s="2">
        <f t="shared" si="2"/>
        <v>304.18799999999999</v>
      </c>
      <c r="Q15" s="2">
        <f t="shared" si="3"/>
        <v>157.33199999999999</v>
      </c>
      <c r="R15" s="2">
        <f t="shared" si="4"/>
        <v>0.98585669639802009</v>
      </c>
      <c r="S15" s="2">
        <f t="shared" si="5"/>
        <v>0.90761305508435575</v>
      </c>
      <c r="T15" s="2">
        <f t="shared" si="6"/>
        <v>0.82606844125797685</v>
      </c>
      <c r="V15" s="3">
        <v>374.09</v>
      </c>
      <c r="W15" s="1">
        <v>157.33199999999999</v>
      </c>
      <c r="Y15" s="2">
        <f t="shared" si="9"/>
        <v>157.33199999999999</v>
      </c>
      <c r="AD15" s="1">
        <v>7.95</v>
      </c>
      <c r="AE15" s="2">
        <f t="shared" si="8"/>
        <v>0.92347865536542573</v>
      </c>
    </row>
    <row r="16" spans="1:31" s="2" customFormat="1" x14ac:dyDescent="0.2">
      <c r="A16" s="1" t="s">
        <v>20</v>
      </c>
      <c r="B16" s="3">
        <v>20</v>
      </c>
      <c r="C16" s="1">
        <v>7.95</v>
      </c>
      <c r="D16" s="3">
        <v>0.18</v>
      </c>
      <c r="E16" s="3">
        <v>370.11</v>
      </c>
      <c r="F16" s="3">
        <v>71.277500000000003</v>
      </c>
      <c r="G16" s="3">
        <v>270.38600000000002</v>
      </c>
      <c r="H16" s="3">
        <v>267.67899999999997</v>
      </c>
      <c r="I16" s="3">
        <v>190.76499999999999</v>
      </c>
      <c r="J16" s="3">
        <v>168.298</v>
      </c>
      <c r="K16" s="3">
        <v>100.872</v>
      </c>
      <c r="L16" s="3">
        <v>113.61199999999999</v>
      </c>
      <c r="N16" s="2">
        <f t="shared" si="0"/>
        <v>1111.6120000000001</v>
      </c>
      <c r="O16" s="2">
        <f t="shared" si="1"/>
        <v>270.38600000000002</v>
      </c>
      <c r="P16" s="2">
        <f t="shared" si="2"/>
        <v>190.76499999999999</v>
      </c>
      <c r="Q16" s="2">
        <f t="shared" si="3"/>
        <v>113.61199999999999</v>
      </c>
      <c r="R16" s="2">
        <f t="shared" si="4"/>
        <v>0.98998838697269809</v>
      </c>
      <c r="S16" s="2">
        <f t="shared" si="5"/>
        <v>0.88222682357874882</v>
      </c>
      <c r="T16" s="2">
        <f t="shared" si="6"/>
        <v>0.88786395803260221</v>
      </c>
      <c r="V16" s="3">
        <v>370.11</v>
      </c>
      <c r="W16" s="1">
        <v>113.61199999999999</v>
      </c>
      <c r="Y16" s="2">
        <f t="shared" si="9"/>
        <v>113.61199999999999</v>
      </c>
      <c r="AD16" s="1">
        <v>7.95</v>
      </c>
      <c r="AE16" s="2">
        <f t="shared" si="8"/>
        <v>0.79803569248168382</v>
      </c>
    </row>
    <row r="17" spans="1:31" s="2" customFormat="1" x14ac:dyDescent="0.2">
      <c r="A17" s="1" t="s">
        <v>20</v>
      </c>
      <c r="B17" s="3">
        <v>20</v>
      </c>
      <c r="C17" s="1">
        <v>7.95</v>
      </c>
      <c r="D17" s="3">
        <v>0.18</v>
      </c>
      <c r="E17" s="3">
        <v>388.07</v>
      </c>
      <c r="F17" s="3">
        <v>75.767499999999998</v>
      </c>
      <c r="G17" s="3">
        <v>286.315</v>
      </c>
      <c r="H17" s="3">
        <v>289.245</v>
      </c>
      <c r="I17" s="3">
        <v>289.16899999999998</v>
      </c>
      <c r="J17" s="3">
        <v>305.38</v>
      </c>
      <c r="K17" s="3">
        <v>118.18</v>
      </c>
      <c r="L17" s="3">
        <v>120.88200000000001</v>
      </c>
      <c r="N17" s="2">
        <f t="shared" si="0"/>
        <v>1409.171</v>
      </c>
      <c r="O17" s="2">
        <f t="shared" si="1"/>
        <v>289.245</v>
      </c>
      <c r="P17" s="2">
        <f t="shared" si="2"/>
        <v>305.38</v>
      </c>
      <c r="Q17" s="2">
        <f t="shared" si="3"/>
        <v>120.88200000000001</v>
      </c>
      <c r="R17" s="2">
        <f t="shared" si="4"/>
        <v>0.98987017925979703</v>
      </c>
      <c r="S17" s="2">
        <f t="shared" si="5"/>
        <v>0.94691531861942491</v>
      </c>
      <c r="T17" s="2">
        <f t="shared" si="6"/>
        <v>0.97764762330206323</v>
      </c>
      <c r="V17" s="3">
        <v>388.07</v>
      </c>
      <c r="W17" s="1">
        <v>120.88200000000001</v>
      </c>
      <c r="Y17" s="2">
        <f t="shared" si="9"/>
        <v>120.88200000000001</v>
      </c>
      <c r="AD17" s="1">
        <v>7.95</v>
      </c>
      <c r="AE17" s="2">
        <f t="shared" si="8"/>
        <v>0.78257122033902493</v>
      </c>
    </row>
    <row r="18" spans="1:31" s="2" customFormat="1" x14ac:dyDescent="0.2">
      <c r="A18" s="1" t="s">
        <v>20</v>
      </c>
      <c r="B18" s="3">
        <v>20</v>
      </c>
      <c r="C18" s="1">
        <v>7.95</v>
      </c>
      <c r="D18" s="3">
        <v>0.18</v>
      </c>
      <c r="E18" s="3">
        <v>377.1</v>
      </c>
      <c r="F18" s="3">
        <v>73.025000000000006</v>
      </c>
      <c r="G18" s="3">
        <v>276.56799999999998</v>
      </c>
      <c r="H18" s="3">
        <v>276.13499999999999</v>
      </c>
      <c r="I18" s="3">
        <v>317.67</v>
      </c>
      <c r="J18" s="3">
        <v>179.12100000000001</v>
      </c>
      <c r="K18" s="3">
        <v>125.791</v>
      </c>
      <c r="L18" s="3">
        <v>101.425</v>
      </c>
      <c r="N18" s="2">
        <f t="shared" si="0"/>
        <v>1276.71</v>
      </c>
      <c r="O18" s="2">
        <f t="shared" si="1"/>
        <v>276.56799999999998</v>
      </c>
      <c r="P18" s="2">
        <f t="shared" si="2"/>
        <v>317.67</v>
      </c>
      <c r="Q18" s="2">
        <f t="shared" si="3"/>
        <v>125.791</v>
      </c>
      <c r="R18" s="2">
        <f t="shared" si="4"/>
        <v>0.99843438141795149</v>
      </c>
      <c r="S18" s="2">
        <f t="shared" si="5"/>
        <v>0.56385872131457171</v>
      </c>
      <c r="T18" s="2">
        <f t="shared" si="6"/>
        <v>0.80629774785159514</v>
      </c>
      <c r="V18" s="3">
        <v>377.1</v>
      </c>
      <c r="W18" s="1">
        <v>125.791</v>
      </c>
      <c r="Y18" s="2">
        <f t="shared" si="9"/>
        <v>125.791</v>
      </c>
      <c r="AD18" s="1">
        <v>7.95</v>
      </c>
      <c r="AE18" s="2">
        <f t="shared" si="8"/>
        <v>0.82025491839631892</v>
      </c>
    </row>
    <row r="19" spans="1:31" s="2" customFormat="1" x14ac:dyDescent="0.2">
      <c r="A19" s="1" t="s">
        <v>20</v>
      </c>
      <c r="B19" s="3">
        <v>20</v>
      </c>
      <c r="C19" s="1">
        <v>7.95</v>
      </c>
      <c r="D19" s="3">
        <v>0.18</v>
      </c>
      <c r="E19" s="3">
        <v>336.3</v>
      </c>
      <c r="F19" s="3">
        <v>62.825000000000003</v>
      </c>
      <c r="G19" s="3">
        <v>269.14800000000002</v>
      </c>
      <c r="H19" s="3">
        <v>275.30700000000002</v>
      </c>
      <c r="I19" s="3">
        <v>131.511</v>
      </c>
      <c r="J19" s="3">
        <v>142.80699999999999</v>
      </c>
      <c r="K19" s="3">
        <v>82.744</v>
      </c>
      <c r="L19" s="3">
        <v>85.475999999999999</v>
      </c>
      <c r="N19" s="2">
        <f t="shared" si="0"/>
        <v>986.99300000000005</v>
      </c>
      <c r="O19" s="2">
        <f t="shared" si="1"/>
        <v>275.30700000000002</v>
      </c>
      <c r="P19" s="2">
        <f t="shared" si="2"/>
        <v>142.80699999999999</v>
      </c>
      <c r="Q19" s="2">
        <f t="shared" si="3"/>
        <v>85.475999999999999</v>
      </c>
      <c r="R19" s="2">
        <f t="shared" si="4"/>
        <v>0.97762861096884568</v>
      </c>
      <c r="S19" s="2">
        <f t="shared" si="5"/>
        <v>0.92090023598283</v>
      </c>
      <c r="T19" s="2">
        <f t="shared" si="6"/>
        <v>0.96803781178342463</v>
      </c>
      <c r="V19" s="3">
        <v>336.3</v>
      </c>
      <c r="W19" s="1">
        <v>85.475999999999999</v>
      </c>
      <c r="Y19" s="2">
        <f t="shared" si="9"/>
        <v>85.475999999999999</v>
      </c>
      <c r="AD19" s="1">
        <v>7.95</v>
      </c>
      <c r="AE19" s="2">
        <f t="shared" si="8"/>
        <v>0.78238810956541316</v>
      </c>
    </row>
    <row r="20" spans="1:31" s="2" customFormat="1" x14ac:dyDescent="0.2">
      <c r="A20" s="1" t="s">
        <v>20</v>
      </c>
      <c r="B20" s="3">
        <v>20</v>
      </c>
      <c r="C20" s="1">
        <v>7.7</v>
      </c>
      <c r="D20" s="3">
        <v>0.18</v>
      </c>
      <c r="E20" s="3">
        <v>377.84</v>
      </c>
      <c r="F20" s="3">
        <v>73.209999999999994</v>
      </c>
      <c r="G20" s="3">
        <v>278.27</v>
      </c>
      <c r="H20" s="3">
        <v>285.09699999999998</v>
      </c>
      <c r="I20" s="3">
        <v>361.90199999999999</v>
      </c>
      <c r="J20" s="3">
        <v>335.78100000000001</v>
      </c>
      <c r="K20" s="3">
        <v>197.93</v>
      </c>
      <c r="L20" s="3">
        <v>198.28399999999999</v>
      </c>
      <c r="N20" s="2">
        <f t="shared" si="0"/>
        <v>1657.2640000000001</v>
      </c>
      <c r="O20" s="2">
        <f t="shared" si="1"/>
        <v>285.09699999999998</v>
      </c>
      <c r="P20" s="2">
        <f t="shared" si="2"/>
        <v>361.90199999999999</v>
      </c>
      <c r="Q20" s="2">
        <f t="shared" si="3"/>
        <v>198.28399999999999</v>
      </c>
      <c r="R20" s="2">
        <f t="shared" si="4"/>
        <v>0.97605376415746226</v>
      </c>
      <c r="S20" s="2">
        <f t="shared" si="5"/>
        <v>0.92782300180711907</v>
      </c>
      <c r="T20" s="2">
        <f t="shared" si="6"/>
        <v>0.99821468197131391</v>
      </c>
      <c r="V20" s="3">
        <v>377.84</v>
      </c>
      <c r="W20" s="1">
        <v>198.28399999999999</v>
      </c>
      <c r="Z20" s="2">
        <f>W20</f>
        <v>198.28399999999999</v>
      </c>
      <c r="AD20" s="1">
        <v>7.7</v>
      </c>
      <c r="AE20" s="2">
        <f t="shared" si="8"/>
        <v>1.0385219695057599</v>
      </c>
    </row>
    <row r="21" spans="1:31" s="2" customFormat="1" x14ac:dyDescent="0.2">
      <c r="A21" s="1" t="s">
        <v>20</v>
      </c>
      <c r="B21" s="3">
        <v>20</v>
      </c>
      <c r="C21" s="1">
        <v>7.7</v>
      </c>
      <c r="D21" s="3">
        <v>0.18</v>
      </c>
      <c r="E21" s="3">
        <v>335.41</v>
      </c>
      <c r="F21" s="3">
        <v>62.602500000000006</v>
      </c>
      <c r="G21" s="3">
        <v>226.876</v>
      </c>
      <c r="H21" s="3">
        <v>226.477</v>
      </c>
      <c r="I21" s="3">
        <v>132.43700000000001</v>
      </c>
      <c r="J21" s="3">
        <v>136.04499999999999</v>
      </c>
      <c r="K21" s="3">
        <v>116.821</v>
      </c>
      <c r="L21" s="3">
        <v>138.876</v>
      </c>
      <c r="N21" s="2">
        <f t="shared" si="0"/>
        <v>977.53199999999993</v>
      </c>
      <c r="O21" s="2">
        <f t="shared" si="1"/>
        <v>226.876</v>
      </c>
      <c r="P21" s="2">
        <f t="shared" si="2"/>
        <v>136.04499999999999</v>
      </c>
      <c r="Q21" s="2">
        <f t="shared" si="3"/>
        <v>138.876</v>
      </c>
      <c r="R21" s="2">
        <f t="shared" si="4"/>
        <v>0.99824133006576277</v>
      </c>
      <c r="S21" s="2">
        <f t="shared" si="5"/>
        <v>0.97347936344591879</v>
      </c>
      <c r="T21" s="2">
        <f t="shared" si="6"/>
        <v>0.8411892623635473</v>
      </c>
      <c r="V21" s="3">
        <v>335.41</v>
      </c>
      <c r="W21" s="1">
        <v>138.876</v>
      </c>
      <c r="Z21" s="2">
        <f t="shared" ref="Z21:Z28" si="10">W21</f>
        <v>138.876</v>
      </c>
      <c r="AD21" s="1">
        <v>7.7</v>
      </c>
      <c r="AE21" s="2">
        <f t="shared" si="8"/>
        <v>0.96691674584961151</v>
      </c>
    </row>
    <row r="22" spans="1:31" s="2" customFormat="1" x14ac:dyDescent="0.2">
      <c r="A22" s="1" t="s">
        <v>20</v>
      </c>
      <c r="B22" s="3">
        <v>20</v>
      </c>
      <c r="C22" s="1">
        <v>7.7</v>
      </c>
      <c r="D22" s="3">
        <v>0.18</v>
      </c>
      <c r="E22" s="3">
        <v>290.43</v>
      </c>
      <c r="F22" s="3">
        <v>51.357500000000002</v>
      </c>
      <c r="G22" s="3">
        <v>178.65299999999999</v>
      </c>
      <c r="H22" s="3">
        <v>160.73400000000001</v>
      </c>
      <c r="I22" s="3">
        <v>190.64599999999999</v>
      </c>
      <c r="J22" s="3">
        <v>171.12</v>
      </c>
      <c r="K22" s="3">
        <v>195.25200000000001</v>
      </c>
      <c r="L22" s="3">
        <v>197.87100000000001</v>
      </c>
      <c r="N22" s="2">
        <f t="shared" si="0"/>
        <v>1094.2760000000001</v>
      </c>
      <c r="O22" s="2">
        <f t="shared" si="1"/>
        <v>178.65299999999999</v>
      </c>
      <c r="P22" s="2">
        <f t="shared" si="2"/>
        <v>190.64599999999999</v>
      </c>
      <c r="Q22" s="2">
        <f t="shared" si="3"/>
        <v>197.87100000000001</v>
      </c>
      <c r="R22" s="2">
        <f t="shared" si="4"/>
        <v>0.89969941730617464</v>
      </c>
      <c r="S22" s="2">
        <f t="shared" si="5"/>
        <v>0.89757980760152334</v>
      </c>
      <c r="T22" s="2">
        <f t="shared" si="6"/>
        <v>0.986764103885865</v>
      </c>
      <c r="V22" s="3">
        <v>290.43</v>
      </c>
      <c r="W22" s="1">
        <v>197.87100000000001</v>
      </c>
      <c r="Z22" s="2">
        <f t="shared" si="10"/>
        <v>197.87100000000001</v>
      </c>
      <c r="AD22" s="1">
        <v>7.7</v>
      </c>
      <c r="AE22" s="2">
        <f t="shared" si="8"/>
        <v>1.3494537161062461</v>
      </c>
    </row>
    <row r="23" spans="1:31" s="2" customFormat="1" x14ac:dyDescent="0.2">
      <c r="A23" s="1" t="s">
        <v>20</v>
      </c>
      <c r="B23" s="3">
        <v>20</v>
      </c>
      <c r="C23" s="1">
        <v>7.7</v>
      </c>
      <c r="D23" s="3">
        <v>0.18</v>
      </c>
      <c r="E23" s="3">
        <v>301.79000000000002</v>
      </c>
      <c r="F23" s="3">
        <v>54.197500000000005</v>
      </c>
      <c r="G23" s="3">
        <v>254.76599999999999</v>
      </c>
      <c r="H23" s="3">
        <v>232.58</v>
      </c>
      <c r="I23" s="3">
        <v>369.90699999999998</v>
      </c>
      <c r="J23" s="3">
        <v>330.04199999999997</v>
      </c>
      <c r="K23" s="3">
        <v>261.73</v>
      </c>
      <c r="L23" s="3">
        <v>254.93100000000001</v>
      </c>
      <c r="N23" s="2">
        <f t="shared" si="0"/>
        <v>1703.9559999999999</v>
      </c>
      <c r="O23" s="2">
        <f t="shared" si="1"/>
        <v>254.76599999999999</v>
      </c>
      <c r="P23" s="2">
        <f t="shared" si="2"/>
        <v>369.90699999999998</v>
      </c>
      <c r="Q23" s="2">
        <f t="shared" si="3"/>
        <v>261.73</v>
      </c>
      <c r="R23" s="2">
        <f t="shared" si="4"/>
        <v>0.91291616620742178</v>
      </c>
      <c r="S23" s="2">
        <f t="shared" si="5"/>
        <v>0.89222966853830821</v>
      </c>
      <c r="T23" s="2">
        <f t="shared" si="6"/>
        <v>0.97402284797310201</v>
      </c>
      <c r="V23" s="3">
        <v>301.79000000000002</v>
      </c>
      <c r="W23" s="1">
        <v>261.73</v>
      </c>
      <c r="Z23" s="2">
        <f t="shared" si="10"/>
        <v>261.73</v>
      </c>
      <c r="AD23" s="1">
        <v>7.7</v>
      </c>
      <c r="AE23" s="2">
        <f t="shared" si="8"/>
        <v>1.541152079398636</v>
      </c>
    </row>
    <row r="24" spans="1:31" s="2" customFormat="1" x14ac:dyDescent="0.2">
      <c r="A24" s="1" t="s">
        <v>20</v>
      </c>
      <c r="B24" s="3">
        <v>20</v>
      </c>
      <c r="C24" s="1">
        <v>7.7</v>
      </c>
      <c r="D24" s="3">
        <v>0.18</v>
      </c>
      <c r="E24" s="3">
        <v>292.54000000000002</v>
      </c>
      <c r="F24" s="3">
        <v>51.885000000000005</v>
      </c>
      <c r="G24" s="3">
        <v>174.43899999999999</v>
      </c>
      <c r="H24" s="3">
        <v>178.33500000000001</v>
      </c>
      <c r="I24" s="3">
        <v>181.68799999999999</v>
      </c>
      <c r="J24" s="3">
        <v>188.929</v>
      </c>
      <c r="K24" s="3">
        <v>199.93100000000001</v>
      </c>
      <c r="L24" s="3">
        <v>196.636</v>
      </c>
      <c r="N24" s="2">
        <f t="shared" si="0"/>
        <v>1119.9580000000001</v>
      </c>
      <c r="O24" s="2">
        <f t="shared" si="1"/>
        <v>178.33500000000001</v>
      </c>
      <c r="P24" s="2">
        <f t="shared" si="2"/>
        <v>188.929</v>
      </c>
      <c r="Q24" s="2">
        <f t="shared" si="3"/>
        <v>199.93100000000001</v>
      </c>
      <c r="R24" s="2">
        <f t="shared" si="4"/>
        <v>0.97815347520116624</v>
      </c>
      <c r="S24" s="2">
        <f t="shared" si="5"/>
        <v>0.96167343287690077</v>
      </c>
      <c r="T24" s="2">
        <f t="shared" si="6"/>
        <v>0.98351931416338634</v>
      </c>
      <c r="V24" s="3">
        <v>292.54000000000002</v>
      </c>
      <c r="W24" s="1">
        <v>199.93100000000001</v>
      </c>
      <c r="Z24" s="2">
        <f t="shared" si="10"/>
        <v>199.93100000000001</v>
      </c>
      <c r="AD24" s="1">
        <v>7.7</v>
      </c>
      <c r="AE24" s="2">
        <f t="shared" si="8"/>
        <v>1.3477904003317203</v>
      </c>
    </row>
    <row r="25" spans="1:31" s="2" customFormat="1" x14ac:dyDescent="0.2">
      <c r="A25" s="1" t="s">
        <v>20</v>
      </c>
      <c r="B25" s="3">
        <v>20</v>
      </c>
      <c r="C25" s="1">
        <v>7.7</v>
      </c>
      <c r="D25" s="3">
        <v>0.18</v>
      </c>
      <c r="E25" s="3">
        <v>376.17</v>
      </c>
      <c r="F25" s="3">
        <v>72.792500000000004</v>
      </c>
      <c r="G25" s="3">
        <v>291.387</v>
      </c>
      <c r="H25" s="3">
        <v>296.00799999999998</v>
      </c>
      <c r="I25" s="3">
        <v>237.363</v>
      </c>
      <c r="J25" s="3">
        <v>221.35300000000001</v>
      </c>
      <c r="K25" s="3">
        <v>168.33799999999999</v>
      </c>
      <c r="L25" s="3">
        <v>216.39099999999999</v>
      </c>
      <c r="N25" s="2">
        <f t="shared" si="0"/>
        <v>1430.8400000000001</v>
      </c>
      <c r="O25" s="2">
        <f t="shared" si="1"/>
        <v>296.00799999999998</v>
      </c>
      <c r="P25" s="2">
        <f t="shared" si="2"/>
        <v>237.363</v>
      </c>
      <c r="Q25" s="2">
        <f t="shared" si="3"/>
        <v>216.39099999999999</v>
      </c>
      <c r="R25" s="2">
        <f t="shared" si="4"/>
        <v>0.98438893543417749</v>
      </c>
      <c r="S25" s="2">
        <f t="shared" si="5"/>
        <v>0.9325505660107094</v>
      </c>
      <c r="T25" s="2">
        <f t="shared" si="6"/>
        <v>0.77793438728967468</v>
      </c>
      <c r="V25" s="3">
        <v>376.17</v>
      </c>
      <c r="W25" s="1">
        <v>216.39099999999999</v>
      </c>
      <c r="Z25" s="2">
        <f t="shared" si="10"/>
        <v>216.39099999999999</v>
      </c>
      <c r="AD25" s="1">
        <v>7.7</v>
      </c>
      <c r="AE25" s="2">
        <f t="shared" si="8"/>
        <v>1.098295375118453</v>
      </c>
    </row>
    <row r="26" spans="1:31" s="2" customFormat="1" x14ac:dyDescent="0.2">
      <c r="A26" s="1" t="s">
        <v>20</v>
      </c>
      <c r="B26" s="3">
        <v>20</v>
      </c>
      <c r="C26" s="1">
        <v>7.7</v>
      </c>
      <c r="D26" s="3">
        <v>0.18</v>
      </c>
      <c r="E26" s="3">
        <v>339.27</v>
      </c>
      <c r="F26" s="3">
        <v>63.567499999999995</v>
      </c>
      <c r="G26" s="3">
        <v>278.37700000000001</v>
      </c>
      <c r="H26" s="3">
        <v>288.83</v>
      </c>
      <c r="I26" s="3">
        <v>303.69400000000002</v>
      </c>
      <c r="J26" s="3">
        <v>222.07900000000001</v>
      </c>
      <c r="K26" s="3">
        <v>141.12299999999999</v>
      </c>
      <c r="L26" s="3">
        <v>117.85899999999999</v>
      </c>
      <c r="N26" s="2">
        <f t="shared" si="0"/>
        <v>1351.962</v>
      </c>
      <c r="O26" s="2">
        <f t="shared" si="1"/>
        <v>288.83</v>
      </c>
      <c r="P26" s="2">
        <f t="shared" si="2"/>
        <v>303.69400000000002</v>
      </c>
      <c r="Q26" s="2">
        <f t="shared" si="3"/>
        <v>141.12299999999999</v>
      </c>
      <c r="R26" s="2">
        <f t="shared" si="4"/>
        <v>0.96380916109822401</v>
      </c>
      <c r="S26" s="2">
        <f t="shared" si="5"/>
        <v>0.73125909632722408</v>
      </c>
      <c r="T26" s="2">
        <f t="shared" si="6"/>
        <v>0.83515089673547194</v>
      </c>
      <c r="V26" s="3">
        <v>339.27</v>
      </c>
      <c r="W26" s="1">
        <v>141.12299999999999</v>
      </c>
      <c r="Z26" s="2">
        <f t="shared" si="10"/>
        <v>141.12299999999999</v>
      </c>
      <c r="AD26" s="1">
        <v>7.7</v>
      </c>
      <c r="AE26" s="2">
        <f t="shared" si="8"/>
        <v>0.96350578817886479</v>
      </c>
    </row>
    <row r="27" spans="1:31" s="2" customFormat="1" x14ac:dyDescent="0.2">
      <c r="A27" s="1" t="s">
        <v>20</v>
      </c>
      <c r="B27" s="3">
        <v>20</v>
      </c>
      <c r="C27" s="1">
        <v>7.7</v>
      </c>
      <c r="D27" s="3">
        <v>0.18</v>
      </c>
      <c r="E27" s="3">
        <v>394.45</v>
      </c>
      <c r="F27" s="3">
        <v>77.362499999999997</v>
      </c>
      <c r="G27" s="3">
        <v>309.55399999999997</v>
      </c>
      <c r="H27" s="3">
        <v>306.86700000000002</v>
      </c>
      <c r="I27" s="3">
        <v>240.61099999999999</v>
      </c>
      <c r="J27" s="3">
        <v>256.23599999999999</v>
      </c>
      <c r="K27" s="3">
        <v>235.964</v>
      </c>
      <c r="L27" s="3">
        <v>240.292</v>
      </c>
      <c r="N27" s="2">
        <f t="shared" si="0"/>
        <v>1589.5239999999999</v>
      </c>
      <c r="O27" s="2">
        <f t="shared" si="1"/>
        <v>309.55399999999997</v>
      </c>
      <c r="P27" s="2">
        <f t="shared" si="2"/>
        <v>256.23599999999999</v>
      </c>
      <c r="Q27" s="2">
        <f t="shared" si="3"/>
        <v>240.292</v>
      </c>
      <c r="R27" s="2">
        <f t="shared" si="4"/>
        <v>0.99131976973322922</v>
      </c>
      <c r="S27" s="2">
        <f t="shared" si="5"/>
        <v>0.93902105871150032</v>
      </c>
      <c r="T27" s="2">
        <f t="shared" si="6"/>
        <v>0.98198858056031824</v>
      </c>
      <c r="V27" s="3">
        <v>394.45</v>
      </c>
      <c r="W27" s="1">
        <v>240.292</v>
      </c>
      <c r="Z27" s="2">
        <f t="shared" si="10"/>
        <v>240.292</v>
      </c>
      <c r="AD27" s="1">
        <v>7.7</v>
      </c>
      <c r="AE27" s="2">
        <f t="shared" si="8"/>
        <v>1.1168369329814458</v>
      </c>
    </row>
    <row r="28" spans="1:31" s="2" customFormat="1" x14ac:dyDescent="0.2">
      <c r="A28" s="1" t="s">
        <v>20</v>
      </c>
      <c r="B28" s="3">
        <v>20</v>
      </c>
      <c r="C28" s="1">
        <v>7.7</v>
      </c>
      <c r="D28" s="3">
        <v>0.18</v>
      </c>
      <c r="E28" s="3">
        <v>381.53</v>
      </c>
      <c r="F28" s="3">
        <v>74.132499999999993</v>
      </c>
      <c r="G28" s="3">
        <v>294.51499999999999</v>
      </c>
      <c r="H28" s="3">
        <v>292.52499999999998</v>
      </c>
      <c r="I28" s="3">
        <v>222.28100000000001</v>
      </c>
      <c r="J28" s="3">
        <v>263.05900000000003</v>
      </c>
      <c r="K28" s="3">
        <v>145.92500000000001</v>
      </c>
      <c r="L28" s="3">
        <v>90.043999999999997</v>
      </c>
      <c r="N28" s="2">
        <f t="shared" si="0"/>
        <v>1308.3489999999999</v>
      </c>
      <c r="O28" s="2">
        <f t="shared" si="1"/>
        <v>294.51499999999999</v>
      </c>
      <c r="P28" s="2">
        <f t="shared" si="2"/>
        <v>263.05900000000003</v>
      </c>
      <c r="Q28" s="2">
        <f t="shared" si="3"/>
        <v>145.92500000000001</v>
      </c>
      <c r="R28" s="2">
        <f t="shared" si="4"/>
        <v>0.99324312853335139</v>
      </c>
      <c r="S28" s="2">
        <f t="shared" si="5"/>
        <v>0.8449853454928361</v>
      </c>
      <c r="T28" s="2">
        <f t="shared" si="6"/>
        <v>0.61705670721260919</v>
      </c>
      <c r="V28" s="3">
        <v>381.53</v>
      </c>
      <c r="W28" s="1">
        <v>145.92500000000001</v>
      </c>
      <c r="Z28" s="2">
        <f t="shared" si="10"/>
        <v>145.92500000000001</v>
      </c>
      <c r="AD28" s="1">
        <v>7.7</v>
      </c>
      <c r="AE28" s="2">
        <f t="shared" si="8"/>
        <v>0.87120725226504137</v>
      </c>
    </row>
    <row r="29" spans="1:31" s="2" customFormat="1" x14ac:dyDescent="0.2">
      <c r="A29" s="1" t="s">
        <v>20</v>
      </c>
      <c r="B29" s="3">
        <v>20</v>
      </c>
      <c r="C29" s="1">
        <v>7.45</v>
      </c>
      <c r="D29" s="3">
        <v>0.18</v>
      </c>
      <c r="E29" s="3">
        <v>385.86</v>
      </c>
      <c r="F29" s="3">
        <v>75.215000000000003</v>
      </c>
      <c r="G29" s="3">
        <v>307.774</v>
      </c>
      <c r="H29" s="3">
        <v>303.43799999999999</v>
      </c>
      <c r="I29" s="3">
        <v>212.71299999999999</v>
      </c>
      <c r="J29" s="3">
        <v>208.74199999999999</v>
      </c>
      <c r="K29" s="3">
        <v>180.791</v>
      </c>
      <c r="L29" s="3">
        <v>197.18299999999999</v>
      </c>
      <c r="N29" s="2">
        <f t="shared" si="0"/>
        <v>1410.6409999999998</v>
      </c>
      <c r="O29" s="2">
        <f t="shared" si="1"/>
        <v>307.774</v>
      </c>
      <c r="P29" s="2">
        <f t="shared" si="2"/>
        <v>212.71299999999999</v>
      </c>
      <c r="Q29" s="2">
        <f t="shared" si="3"/>
        <v>197.18299999999999</v>
      </c>
      <c r="R29" s="2">
        <f t="shared" si="4"/>
        <v>0.98591174043291507</v>
      </c>
      <c r="S29" s="2">
        <f t="shared" si="5"/>
        <v>0.98133165344854334</v>
      </c>
      <c r="T29" s="2">
        <f t="shared" si="6"/>
        <v>0.91686910129169352</v>
      </c>
      <c r="V29" s="3">
        <v>385.86</v>
      </c>
      <c r="W29" s="1">
        <v>197.18299999999999</v>
      </c>
      <c r="AA29" s="2">
        <f>W29</f>
        <v>197.18299999999999</v>
      </c>
      <c r="AD29" s="1">
        <v>7.45</v>
      </c>
      <c r="AE29" s="2">
        <f t="shared" si="8"/>
        <v>1.0136666004596429</v>
      </c>
    </row>
    <row r="30" spans="1:31" s="2" customFormat="1" x14ac:dyDescent="0.2">
      <c r="A30" s="1" t="s">
        <v>20</v>
      </c>
      <c r="B30" s="3">
        <v>20</v>
      </c>
      <c r="C30" s="1">
        <v>7.45</v>
      </c>
      <c r="D30" s="3">
        <v>0.18</v>
      </c>
      <c r="E30" s="3">
        <v>346.83</v>
      </c>
      <c r="F30" s="3">
        <v>65.457499999999996</v>
      </c>
      <c r="G30" s="3">
        <v>262.79000000000002</v>
      </c>
      <c r="H30" s="3">
        <v>283.80399999999997</v>
      </c>
      <c r="I30" s="3">
        <v>78.572999999999993</v>
      </c>
      <c r="J30" s="3">
        <v>93.966999999999999</v>
      </c>
      <c r="K30" s="3">
        <v>101.492</v>
      </c>
      <c r="L30" s="3">
        <v>108.97499999999999</v>
      </c>
      <c r="N30" s="2">
        <f t="shared" si="0"/>
        <v>929.601</v>
      </c>
      <c r="O30" s="2">
        <f t="shared" si="1"/>
        <v>283.80399999999997</v>
      </c>
      <c r="P30" s="2">
        <f t="shared" si="2"/>
        <v>93.966999999999999</v>
      </c>
      <c r="Q30" s="2">
        <f t="shared" si="3"/>
        <v>108.97499999999999</v>
      </c>
      <c r="R30" s="2">
        <f t="shared" si="4"/>
        <v>0.92595594142436344</v>
      </c>
      <c r="S30" s="2">
        <f t="shared" si="5"/>
        <v>0.83617653005842474</v>
      </c>
      <c r="T30" s="2">
        <f t="shared" si="6"/>
        <v>0.93133287451250291</v>
      </c>
      <c r="V30" s="3">
        <v>346.83</v>
      </c>
      <c r="W30" s="1">
        <v>108.97499999999999</v>
      </c>
      <c r="AA30" s="2">
        <f t="shared" ref="AA30:AA38" si="11">W30</f>
        <v>108.97499999999999</v>
      </c>
      <c r="AD30" s="1">
        <v>7.45</v>
      </c>
      <c r="AE30" s="2">
        <f t="shared" si="8"/>
        <v>0.83627998160134476</v>
      </c>
    </row>
    <row r="31" spans="1:31" s="2" customFormat="1" x14ac:dyDescent="0.2">
      <c r="A31" s="1" t="s">
        <v>20</v>
      </c>
      <c r="B31" s="3">
        <v>20</v>
      </c>
      <c r="C31" s="1">
        <v>7.45</v>
      </c>
      <c r="D31" s="3">
        <v>0.18</v>
      </c>
      <c r="E31" s="3">
        <v>378.21</v>
      </c>
      <c r="F31" s="3">
        <v>73.302499999999995</v>
      </c>
      <c r="G31" s="3">
        <v>267.43700000000001</v>
      </c>
      <c r="H31" s="3">
        <v>311.57499999999999</v>
      </c>
      <c r="I31" s="3">
        <v>161.011</v>
      </c>
      <c r="J31" s="3">
        <v>184.12899999999999</v>
      </c>
      <c r="K31" s="3">
        <v>148.15899999999999</v>
      </c>
      <c r="L31" s="3">
        <v>177.25</v>
      </c>
      <c r="N31" s="2">
        <f t="shared" si="0"/>
        <v>1249.5609999999999</v>
      </c>
      <c r="O31" s="2">
        <f t="shared" si="1"/>
        <v>311.57499999999999</v>
      </c>
      <c r="P31" s="2">
        <f t="shared" si="2"/>
        <v>184.12899999999999</v>
      </c>
      <c r="Q31" s="2">
        <f t="shared" si="3"/>
        <v>177.25</v>
      </c>
      <c r="R31" s="2">
        <f t="shared" si="4"/>
        <v>0.85833908368771572</v>
      </c>
      <c r="S31" s="2">
        <f t="shared" si="5"/>
        <v>0.87444671941953744</v>
      </c>
      <c r="T31" s="2">
        <f t="shared" si="6"/>
        <v>0.83587588152327219</v>
      </c>
      <c r="V31" s="3">
        <v>378.21</v>
      </c>
      <c r="W31" s="1">
        <v>177.25</v>
      </c>
      <c r="AA31" s="2">
        <f t="shared" si="11"/>
        <v>177.25</v>
      </c>
      <c r="AD31" s="1">
        <v>7.45</v>
      </c>
      <c r="AE31" s="2">
        <f t="shared" si="8"/>
        <v>0.97377162770965053</v>
      </c>
    </row>
    <row r="32" spans="1:31" s="2" customFormat="1" x14ac:dyDescent="0.2">
      <c r="A32" s="1" t="s">
        <v>20</v>
      </c>
      <c r="B32" s="3">
        <v>20</v>
      </c>
      <c r="C32" s="1">
        <v>7.45</v>
      </c>
      <c r="D32" s="3">
        <v>0.18</v>
      </c>
      <c r="E32" s="3">
        <v>306.06</v>
      </c>
      <c r="F32" s="3">
        <v>55.265000000000001</v>
      </c>
      <c r="G32" s="3">
        <v>238.83099999999999</v>
      </c>
      <c r="H32" s="3">
        <v>238.55500000000001</v>
      </c>
      <c r="I32" s="3">
        <v>54.889000000000003</v>
      </c>
      <c r="J32" s="3">
        <v>71.248000000000005</v>
      </c>
      <c r="K32" s="3">
        <v>98.834999999999994</v>
      </c>
      <c r="L32" s="3">
        <v>82.125</v>
      </c>
      <c r="N32" s="2">
        <f t="shared" si="0"/>
        <v>784.48300000000006</v>
      </c>
      <c r="O32" s="2">
        <f t="shared" si="1"/>
        <v>238.83099999999999</v>
      </c>
      <c r="P32" s="2">
        <f t="shared" si="2"/>
        <v>71.248000000000005</v>
      </c>
      <c r="Q32" s="2">
        <f t="shared" si="3"/>
        <v>98.834999999999994</v>
      </c>
      <c r="R32" s="2">
        <f t="shared" si="4"/>
        <v>0.99884437112435165</v>
      </c>
      <c r="S32" s="2">
        <f t="shared" si="5"/>
        <v>0.77039355490680439</v>
      </c>
      <c r="T32" s="2">
        <f t="shared" si="6"/>
        <v>0.83093033844285935</v>
      </c>
      <c r="V32" s="3">
        <v>306.06</v>
      </c>
      <c r="W32" s="1">
        <v>98.834999999999994</v>
      </c>
      <c r="AA32" s="2">
        <f t="shared" si="11"/>
        <v>98.834999999999994</v>
      </c>
      <c r="AD32" s="1">
        <v>7.45</v>
      </c>
      <c r="AE32" s="2">
        <f t="shared" si="8"/>
        <v>0.90971228311643626</v>
      </c>
    </row>
    <row r="33" spans="1:31" s="2" customFormat="1" x14ac:dyDescent="0.2">
      <c r="A33" s="1" t="s">
        <v>20</v>
      </c>
      <c r="B33" s="3">
        <v>20</v>
      </c>
      <c r="C33" s="1">
        <v>7.45</v>
      </c>
      <c r="D33" s="3">
        <v>0.18</v>
      </c>
      <c r="E33" s="3">
        <v>302.5</v>
      </c>
      <c r="F33" s="3">
        <v>54.375</v>
      </c>
      <c r="G33" s="3">
        <v>219.31</v>
      </c>
      <c r="H33" s="3">
        <v>224.928</v>
      </c>
      <c r="I33" s="3">
        <v>127.18899999999999</v>
      </c>
      <c r="J33" s="3">
        <v>139.208</v>
      </c>
      <c r="K33" s="3">
        <v>105.042</v>
      </c>
      <c r="L33" s="3">
        <v>129.00299999999999</v>
      </c>
      <c r="N33" s="2">
        <f t="shared" si="0"/>
        <v>944.68000000000006</v>
      </c>
      <c r="O33" s="2">
        <f t="shared" si="1"/>
        <v>224.928</v>
      </c>
      <c r="P33" s="2">
        <f t="shared" si="2"/>
        <v>139.208</v>
      </c>
      <c r="Q33" s="2">
        <f t="shared" si="3"/>
        <v>129.00299999999999</v>
      </c>
      <c r="R33" s="2">
        <f t="shared" si="4"/>
        <v>0.975023118509034</v>
      </c>
      <c r="S33" s="2">
        <f t="shared" si="5"/>
        <v>0.91366157117407043</v>
      </c>
      <c r="T33" s="2">
        <f t="shared" si="6"/>
        <v>0.81426013348526793</v>
      </c>
      <c r="V33" s="3">
        <v>302.5</v>
      </c>
      <c r="W33" s="1">
        <v>129.00299999999999</v>
      </c>
      <c r="AA33" s="2">
        <f t="shared" si="11"/>
        <v>129.00299999999999</v>
      </c>
      <c r="AD33" s="1">
        <v>7.45</v>
      </c>
      <c r="AE33" s="2">
        <f t="shared" si="8"/>
        <v>1.0347077130566389</v>
      </c>
    </row>
    <row r="34" spans="1:31" s="2" customFormat="1" x14ac:dyDescent="0.2">
      <c r="A34" s="1" t="s">
        <v>20</v>
      </c>
      <c r="B34" s="3">
        <v>20</v>
      </c>
      <c r="C34" s="1">
        <v>7.45</v>
      </c>
      <c r="D34" s="3">
        <v>0.18</v>
      </c>
      <c r="E34" s="3">
        <v>350.88</v>
      </c>
      <c r="F34" s="3">
        <v>66.47</v>
      </c>
      <c r="G34" s="3">
        <v>237.489</v>
      </c>
      <c r="H34" s="3">
        <v>239.50200000000001</v>
      </c>
      <c r="I34" s="3">
        <v>135.113</v>
      </c>
      <c r="J34" s="3">
        <v>142.25700000000001</v>
      </c>
      <c r="K34" s="3">
        <v>131.87700000000001</v>
      </c>
      <c r="L34" s="3">
        <v>137.59299999999999</v>
      </c>
      <c r="N34" s="2">
        <f t="shared" si="0"/>
        <v>1023.831</v>
      </c>
      <c r="O34" s="2">
        <f t="shared" si="1"/>
        <v>239.50200000000001</v>
      </c>
      <c r="P34" s="2">
        <f t="shared" si="2"/>
        <v>142.25700000000001</v>
      </c>
      <c r="Q34" s="2">
        <f t="shared" si="3"/>
        <v>137.59299999999999</v>
      </c>
      <c r="R34" s="2">
        <f t="shared" si="4"/>
        <v>0.9915950597489791</v>
      </c>
      <c r="S34" s="2">
        <f t="shared" si="5"/>
        <v>0.94978103010748149</v>
      </c>
      <c r="T34" s="2">
        <f t="shared" si="6"/>
        <v>0.95845718895583365</v>
      </c>
      <c r="V34" s="3">
        <v>350.88</v>
      </c>
      <c r="W34" s="1">
        <v>137.59299999999999</v>
      </c>
      <c r="AA34" s="2">
        <f t="shared" si="11"/>
        <v>137.59299999999999</v>
      </c>
      <c r="AD34" s="1">
        <v>7.45</v>
      </c>
      <c r="AE34" s="2">
        <f t="shared" si="8"/>
        <v>0.92009583657458627</v>
      </c>
    </row>
    <row r="35" spans="1:31" s="2" customFormat="1" x14ac:dyDescent="0.2">
      <c r="A35" s="1" t="s">
        <v>20</v>
      </c>
      <c r="B35" s="3">
        <v>20</v>
      </c>
      <c r="C35" s="1">
        <v>7.45</v>
      </c>
      <c r="D35" s="3">
        <v>0.18</v>
      </c>
      <c r="E35" s="3">
        <v>300.23</v>
      </c>
      <c r="F35" s="3">
        <v>53.807500000000005</v>
      </c>
      <c r="G35" s="3">
        <v>212.15199999999999</v>
      </c>
      <c r="H35" s="3">
        <v>228.18799999999999</v>
      </c>
      <c r="I35" s="3">
        <v>70.950999999999993</v>
      </c>
      <c r="J35" s="3">
        <v>84.066999999999993</v>
      </c>
      <c r="K35" s="3">
        <v>90.197999999999993</v>
      </c>
      <c r="L35" s="3">
        <v>87.176000000000002</v>
      </c>
      <c r="N35" s="2">
        <f t="shared" si="0"/>
        <v>772.73199999999997</v>
      </c>
      <c r="O35" s="2">
        <f t="shared" si="1"/>
        <v>228.18799999999999</v>
      </c>
      <c r="P35" s="2">
        <f t="shared" si="2"/>
        <v>84.066999999999993</v>
      </c>
      <c r="Q35" s="2">
        <f t="shared" si="3"/>
        <v>90.197999999999993</v>
      </c>
      <c r="R35" s="2">
        <f t="shared" si="4"/>
        <v>0.92972461303837184</v>
      </c>
      <c r="S35" s="2">
        <f t="shared" si="5"/>
        <v>0.84398158611583618</v>
      </c>
      <c r="T35" s="2">
        <f t="shared" si="6"/>
        <v>0.9664959311736403</v>
      </c>
      <c r="V35" s="3">
        <v>300.23</v>
      </c>
      <c r="W35" s="1">
        <v>90.197999999999993</v>
      </c>
      <c r="AA35" s="2">
        <f t="shared" si="11"/>
        <v>90.197999999999993</v>
      </c>
      <c r="AD35" s="1">
        <v>7.45</v>
      </c>
      <c r="AE35" s="2">
        <f t="shared" si="8"/>
        <v>0.89440940416152326</v>
      </c>
    </row>
    <row r="36" spans="1:31" s="2" customFormat="1" x14ac:dyDescent="0.2">
      <c r="A36" s="1" t="s">
        <v>20</v>
      </c>
      <c r="B36" s="3">
        <v>20</v>
      </c>
      <c r="C36" s="1">
        <v>7.45</v>
      </c>
      <c r="D36" s="3">
        <v>0.18</v>
      </c>
      <c r="E36" s="3">
        <v>320.39999999999998</v>
      </c>
      <c r="F36" s="3">
        <v>58.849999999999994</v>
      </c>
      <c r="G36" s="3">
        <v>211.202</v>
      </c>
      <c r="H36" s="3">
        <v>194.11099999999999</v>
      </c>
      <c r="I36" s="3">
        <v>122.80800000000001</v>
      </c>
      <c r="J36" s="3">
        <v>130.77199999999999</v>
      </c>
      <c r="K36" s="3">
        <v>154.9</v>
      </c>
      <c r="L36" s="3">
        <v>121.934</v>
      </c>
      <c r="N36" s="2">
        <f t="shared" si="0"/>
        <v>935.72699999999998</v>
      </c>
      <c r="O36" s="2">
        <f t="shared" si="1"/>
        <v>211.202</v>
      </c>
      <c r="P36" s="2">
        <f t="shared" si="2"/>
        <v>130.77199999999999</v>
      </c>
      <c r="Q36" s="2">
        <f t="shared" si="3"/>
        <v>154.9</v>
      </c>
      <c r="R36" s="2">
        <f t="shared" si="4"/>
        <v>0.91907747085728353</v>
      </c>
      <c r="S36" s="2">
        <f t="shared" si="5"/>
        <v>0.93910011317407405</v>
      </c>
      <c r="T36" s="2">
        <f t="shared" si="6"/>
        <v>0.7871788250484183</v>
      </c>
      <c r="V36" s="3">
        <v>320.39999999999998</v>
      </c>
      <c r="W36" s="1">
        <v>154.9</v>
      </c>
      <c r="AA36" s="2">
        <f t="shared" si="11"/>
        <v>154.9</v>
      </c>
      <c r="AD36" s="1">
        <v>7.45</v>
      </c>
      <c r="AE36" s="2">
        <f t="shared" si="8"/>
        <v>1.0695288922310326</v>
      </c>
    </row>
    <row r="37" spans="1:31" s="2" customFormat="1" x14ac:dyDescent="0.2">
      <c r="A37" s="1" t="s">
        <v>20</v>
      </c>
      <c r="B37" s="3">
        <v>20</v>
      </c>
      <c r="C37" s="1">
        <v>7.45</v>
      </c>
      <c r="D37" s="3">
        <v>0.18</v>
      </c>
      <c r="E37" s="3">
        <v>316</v>
      </c>
      <c r="F37" s="3">
        <v>57.75</v>
      </c>
      <c r="G37" s="3">
        <v>222.36</v>
      </c>
      <c r="H37" s="3">
        <v>224.434</v>
      </c>
      <c r="I37" s="3">
        <v>107.967</v>
      </c>
      <c r="J37" s="3">
        <v>125.565</v>
      </c>
      <c r="K37" s="3">
        <v>116.86799999999999</v>
      </c>
      <c r="L37" s="3">
        <v>99.79</v>
      </c>
      <c r="N37" s="2">
        <f t="shared" si="0"/>
        <v>896.98399999999992</v>
      </c>
      <c r="O37" s="2">
        <f t="shared" si="1"/>
        <v>224.434</v>
      </c>
      <c r="P37" s="2">
        <f t="shared" si="2"/>
        <v>125.565</v>
      </c>
      <c r="Q37" s="2">
        <f t="shared" si="3"/>
        <v>116.86799999999999</v>
      </c>
      <c r="R37" s="2">
        <f t="shared" si="4"/>
        <v>0.99075897591274054</v>
      </c>
      <c r="S37" s="2">
        <f t="shared" si="5"/>
        <v>0.85984948034882336</v>
      </c>
      <c r="T37" s="2">
        <f t="shared" si="6"/>
        <v>0.85386932265461901</v>
      </c>
      <c r="V37" s="3">
        <v>316</v>
      </c>
      <c r="W37" s="1">
        <v>116.86799999999999</v>
      </c>
      <c r="AA37" s="2">
        <f t="shared" si="11"/>
        <v>116.86799999999999</v>
      </c>
      <c r="AD37" s="1">
        <v>7.45</v>
      </c>
      <c r="AE37" s="2">
        <f t="shared" si="8"/>
        <v>0.94649483429413628</v>
      </c>
    </row>
    <row r="38" spans="1:31" s="2" customFormat="1" x14ac:dyDescent="0.2">
      <c r="A38" s="1" t="s">
        <v>20</v>
      </c>
      <c r="B38" s="3">
        <v>20</v>
      </c>
      <c r="C38" s="1">
        <v>7.45</v>
      </c>
      <c r="D38" s="3">
        <v>0.18</v>
      </c>
      <c r="E38" s="3">
        <v>369.94</v>
      </c>
      <c r="F38" s="3">
        <v>71.234999999999999</v>
      </c>
      <c r="G38" s="3">
        <v>271.13600000000002</v>
      </c>
      <c r="H38" s="3">
        <v>267.06700000000001</v>
      </c>
      <c r="I38" s="3">
        <v>151.71</v>
      </c>
      <c r="J38" s="3">
        <v>234.834</v>
      </c>
      <c r="K38" s="3">
        <v>192.607</v>
      </c>
      <c r="L38" s="3">
        <v>187.423</v>
      </c>
      <c r="N38" s="2">
        <f t="shared" si="0"/>
        <v>1304.777</v>
      </c>
      <c r="O38" s="2">
        <f t="shared" si="1"/>
        <v>271.13600000000002</v>
      </c>
      <c r="P38" s="2">
        <f t="shared" si="2"/>
        <v>234.834</v>
      </c>
      <c r="Q38" s="2">
        <f t="shared" si="3"/>
        <v>192.607</v>
      </c>
      <c r="R38" s="2">
        <f t="shared" si="4"/>
        <v>0.98499277115543482</v>
      </c>
      <c r="S38" s="2">
        <f t="shared" si="5"/>
        <v>0.64603081325532086</v>
      </c>
      <c r="T38" s="2">
        <f t="shared" si="6"/>
        <v>0.9730850903653554</v>
      </c>
      <c r="V38" s="3">
        <v>369.94</v>
      </c>
      <c r="W38" s="1">
        <v>192.607</v>
      </c>
      <c r="AA38" s="2">
        <f t="shared" si="11"/>
        <v>192.607</v>
      </c>
      <c r="AD38" s="1">
        <v>7.45</v>
      </c>
      <c r="AE38" s="2">
        <f t="shared" si="8"/>
        <v>1.043113197696163</v>
      </c>
    </row>
    <row r="39" spans="1:31" s="2" customFormat="1" x14ac:dyDescent="0.2">
      <c r="A39" s="1" t="s">
        <v>20</v>
      </c>
      <c r="B39" s="3">
        <v>20</v>
      </c>
      <c r="C39" s="1">
        <v>7.2</v>
      </c>
      <c r="D39" s="3">
        <v>0.18</v>
      </c>
      <c r="E39" s="3">
        <v>361.89</v>
      </c>
      <c r="F39" s="3">
        <v>69.222499999999997</v>
      </c>
      <c r="G39" s="3">
        <v>254.136</v>
      </c>
      <c r="H39" s="3">
        <v>265.86599999999999</v>
      </c>
      <c r="I39" s="3">
        <v>289.75900000000001</v>
      </c>
      <c r="J39" s="3">
        <v>201.63499999999999</v>
      </c>
      <c r="K39" s="3">
        <v>215.92599999999999</v>
      </c>
      <c r="L39" s="3">
        <v>166.43299999999999</v>
      </c>
      <c r="N39" s="2">
        <f t="shared" si="0"/>
        <v>1393.7549999999999</v>
      </c>
      <c r="O39" s="2">
        <f t="shared" si="1"/>
        <v>265.86599999999999</v>
      </c>
      <c r="P39" s="2">
        <f t="shared" si="2"/>
        <v>289.75900000000001</v>
      </c>
      <c r="Q39" s="2">
        <f t="shared" si="3"/>
        <v>215.92599999999999</v>
      </c>
      <c r="R39" s="2">
        <f t="shared" si="4"/>
        <v>0.95588002978944286</v>
      </c>
      <c r="S39" s="2">
        <f t="shared" si="5"/>
        <v>0.69587139657439456</v>
      </c>
      <c r="T39" s="2">
        <f t="shared" si="6"/>
        <v>0.77078721413817697</v>
      </c>
      <c r="V39" s="3">
        <v>361.89</v>
      </c>
      <c r="W39" s="1">
        <v>215.92599999999999</v>
      </c>
      <c r="AB39" s="2">
        <f>W39</f>
        <v>215.92599999999999</v>
      </c>
      <c r="AD39" s="1">
        <v>7.2</v>
      </c>
      <c r="AE39" s="2">
        <f t="shared" si="8"/>
        <v>1.1401610462990202</v>
      </c>
    </row>
    <row r="40" spans="1:31" s="2" customFormat="1" x14ac:dyDescent="0.2">
      <c r="A40" s="1" t="s">
        <v>20</v>
      </c>
      <c r="B40" s="3">
        <v>20</v>
      </c>
      <c r="C40" s="1">
        <v>7.2</v>
      </c>
      <c r="D40" s="3">
        <v>0.18</v>
      </c>
      <c r="E40" s="3">
        <v>344.77</v>
      </c>
      <c r="F40" s="3">
        <v>64.942499999999995</v>
      </c>
      <c r="G40" s="3">
        <v>235.595</v>
      </c>
      <c r="H40" s="3">
        <v>241.46600000000001</v>
      </c>
      <c r="I40" s="3">
        <v>257.21300000000002</v>
      </c>
      <c r="J40" s="3">
        <v>238.684</v>
      </c>
      <c r="K40" s="3">
        <v>172.244</v>
      </c>
      <c r="L40" s="3">
        <v>170.78700000000001</v>
      </c>
      <c r="N40" s="2">
        <f t="shared" si="0"/>
        <v>1315.989</v>
      </c>
      <c r="O40" s="2">
        <f t="shared" si="1"/>
        <v>241.46600000000001</v>
      </c>
      <c r="P40" s="2">
        <f t="shared" si="2"/>
        <v>257.21300000000002</v>
      </c>
      <c r="Q40" s="2">
        <f t="shared" si="3"/>
        <v>172.244</v>
      </c>
      <c r="R40" s="2">
        <f t="shared" si="4"/>
        <v>0.97568601790728293</v>
      </c>
      <c r="S40" s="2">
        <f t="shared" si="5"/>
        <v>0.92796242802657714</v>
      </c>
      <c r="T40" s="2">
        <f t="shared" si="6"/>
        <v>0.9915410696453868</v>
      </c>
      <c r="V40" s="3">
        <v>344.77</v>
      </c>
      <c r="W40" s="1">
        <v>172.244</v>
      </c>
      <c r="AB40" s="2">
        <f t="shared" ref="AB40:AB48" si="12">W40</f>
        <v>172.244</v>
      </c>
      <c r="AD40" s="1">
        <v>7.2</v>
      </c>
      <c r="AE40" s="2">
        <f t="shared" si="8"/>
        <v>1.0515801520472072</v>
      </c>
    </row>
    <row r="41" spans="1:31" s="2" customFormat="1" x14ac:dyDescent="0.2">
      <c r="A41" s="1" t="s">
        <v>20</v>
      </c>
      <c r="B41" s="3">
        <v>20</v>
      </c>
      <c r="C41" s="1">
        <v>7.2</v>
      </c>
      <c r="D41" s="3">
        <v>0.18</v>
      </c>
      <c r="E41" s="3">
        <v>334.85</v>
      </c>
      <c r="F41" s="3">
        <v>62.462500000000006</v>
      </c>
      <c r="G41" s="3">
        <v>261.82</v>
      </c>
      <c r="H41" s="3">
        <v>256.81299999999999</v>
      </c>
      <c r="I41" s="3">
        <v>246.565</v>
      </c>
      <c r="J41" s="3">
        <v>236.96600000000001</v>
      </c>
      <c r="K41" s="3">
        <v>153.172</v>
      </c>
      <c r="L41" s="3">
        <v>103.464</v>
      </c>
      <c r="N41" s="2">
        <f t="shared" si="0"/>
        <v>1258.8</v>
      </c>
      <c r="O41" s="2">
        <f t="shared" si="1"/>
        <v>261.82</v>
      </c>
      <c r="P41" s="2">
        <f t="shared" si="2"/>
        <v>246.565</v>
      </c>
      <c r="Q41" s="2">
        <f t="shared" si="3"/>
        <v>153.172</v>
      </c>
      <c r="R41" s="2">
        <f t="shared" si="4"/>
        <v>0.98087617447101061</v>
      </c>
      <c r="S41" s="2">
        <f t="shared" si="5"/>
        <v>0.96106908928680068</v>
      </c>
      <c r="T41" s="2">
        <f t="shared" si="6"/>
        <v>0.6754759355495783</v>
      </c>
      <c r="V41" s="3">
        <v>334.85</v>
      </c>
      <c r="W41" s="1">
        <v>153.172</v>
      </c>
      <c r="AB41" s="2">
        <f t="shared" si="12"/>
        <v>153.172</v>
      </c>
      <c r="AD41" s="1">
        <v>7.2</v>
      </c>
      <c r="AE41" s="2">
        <f t="shared" si="8"/>
        <v>1.0174608579325288</v>
      </c>
    </row>
    <row r="42" spans="1:31" s="2" customFormat="1" x14ac:dyDescent="0.2">
      <c r="A42" s="1" t="s">
        <v>20</v>
      </c>
      <c r="B42" s="3">
        <v>20</v>
      </c>
      <c r="C42" s="1">
        <v>7.2</v>
      </c>
      <c r="D42" s="3">
        <v>0.18</v>
      </c>
      <c r="E42" s="3">
        <v>368.95</v>
      </c>
      <c r="F42" s="3">
        <v>70.987499999999997</v>
      </c>
      <c r="G42" s="3">
        <v>295.70400000000001</v>
      </c>
      <c r="H42" s="3">
        <v>306.39999999999998</v>
      </c>
      <c r="I42" s="3">
        <v>236.25200000000001</v>
      </c>
      <c r="J42" s="3">
        <v>244.69200000000001</v>
      </c>
      <c r="K42" s="3">
        <v>155.10599999999999</v>
      </c>
      <c r="L42" s="3">
        <v>158.63900000000001</v>
      </c>
      <c r="N42" s="2">
        <f t="shared" si="0"/>
        <v>1396.7930000000001</v>
      </c>
      <c r="O42" s="2">
        <f t="shared" si="1"/>
        <v>306.39999999999998</v>
      </c>
      <c r="P42" s="2">
        <f t="shared" si="2"/>
        <v>244.69200000000001</v>
      </c>
      <c r="Q42" s="2">
        <f t="shared" si="3"/>
        <v>158.63900000000001</v>
      </c>
      <c r="R42" s="2">
        <f t="shared" si="4"/>
        <v>0.96509138381201054</v>
      </c>
      <c r="S42" s="2">
        <f t="shared" si="5"/>
        <v>0.96550765860755561</v>
      </c>
      <c r="T42" s="2">
        <f t="shared" si="6"/>
        <v>0.97772930994270002</v>
      </c>
      <c r="V42" s="3">
        <v>368.95</v>
      </c>
      <c r="W42" s="1">
        <v>158.63900000000001</v>
      </c>
      <c r="AB42" s="2">
        <f t="shared" si="12"/>
        <v>158.63900000000001</v>
      </c>
      <c r="AD42" s="1">
        <v>7.2</v>
      </c>
      <c r="AE42" s="2">
        <f t="shared" si="8"/>
        <v>0.94040372078813161</v>
      </c>
    </row>
    <row r="43" spans="1:31" s="2" customFormat="1" x14ac:dyDescent="0.2">
      <c r="A43" s="1" t="s">
        <v>20</v>
      </c>
      <c r="B43" s="3">
        <v>20</v>
      </c>
      <c r="C43" s="1">
        <v>7.2</v>
      </c>
      <c r="D43" s="3">
        <v>0.18</v>
      </c>
      <c r="E43" s="3">
        <v>292.37</v>
      </c>
      <c r="F43" s="3">
        <v>51.842500000000001</v>
      </c>
      <c r="G43" s="3">
        <v>234.435</v>
      </c>
      <c r="H43" s="3">
        <v>208.221</v>
      </c>
      <c r="I43" s="3">
        <v>257.20800000000003</v>
      </c>
      <c r="J43" s="3">
        <v>227.18799999999999</v>
      </c>
      <c r="K43" s="3">
        <v>162.32300000000001</v>
      </c>
      <c r="L43" s="3">
        <v>141.56</v>
      </c>
      <c r="N43" s="2">
        <f t="shared" si="0"/>
        <v>1230.9349999999999</v>
      </c>
      <c r="O43" s="2">
        <f t="shared" si="1"/>
        <v>234.435</v>
      </c>
      <c r="P43" s="2">
        <f t="shared" si="2"/>
        <v>257.20800000000003</v>
      </c>
      <c r="Q43" s="2">
        <f t="shared" si="3"/>
        <v>162.32300000000001</v>
      </c>
      <c r="R43" s="2">
        <f t="shared" si="4"/>
        <v>0.88818222535031033</v>
      </c>
      <c r="S43" s="2">
        <f t="shared" si="5"/>
        <v>0.8832851233243133</v>
      </c>
      <c r="T43" s="2">
        <f t="shared" si="6"/>
        <v>0.87208836702130932</v>
      </c>
      <c r="V43" s="3">
        <v>292.37</v>
      </c>
      <c r="W43" s="1">
        <v>162.32300000000001</v>
      </c>
      <c r="AB43" s="2">
        <f t="shared" si="12"/>
        <v>162.32300000000001</v>
      </c>
      <c r="AD43" s="1">
        <v>7.2</v>
      </c>
      <c r="AE43" s="2">
        <f t="shared" si="8"/>
        <v>1.2011622891320153</v>
      </c>
    </row>
    <row r="44" spans="1:31" s="2" customFormat="1" x14ac:dyDescent="0.2">
      <c r="A44" s="1" t="s">
        <v>20</v>
      </c>
      <c r="B44" s="3">
        <v>20</v>
      </c>
      <c r="C44" s="1">
        <v>7.2</v>
      </c>
      <c r="D44" s="3">
        <v>0.18</v>
      </c>
      <c r="E44" s="3">
        <v>325.58999999999997</v>
      </c>
      <c r="F44" s="3">
        <v>60.147499999999994</v>
      </c>
      <c r="G44" s="3">
        <v>325.58800000000002</v>
      </c>
      <c r="H44" s="3">
        <v>229.23099999999999</v>
      </c>
      <c r="I44" s="3">
        <v>227.86500000000001</v>
      </c>
      <c r="J44" s="3">
        <v>210.607</v>
      </c>
      <c r="K44" s="3">
        <v>216.297</v>
      </c>
      <c r="L44" s="3">
        <v>144.24</v>
      </c>
      <c r="N44" s="2">
        <f t="shared" si="0"/>
        <v>1353.828</v>
      </c>
      <c r="O44" s="2">
        <f t="shared" si="1"/>
        <v>325.58800000000002</v>
      </c>
      <c r="P44" s="2">
        <f t="shared" si="2"/>
        <v>227.86500000000001</v>
      </c>
      <c r="Q44" s="2">
        <f t="shared" si="3"/>
        <v>216.297</v>
      </c>
      <c r="R44" s="2">
        <f t="shared" si="4"/>
        <v>0.70405236065211241</v>
      </c>
      <c r="S44" s="2">
        <f t="shared" si="5"/>
        <v>0.92426217277774114</v>
      </c>
      <c r="T44" s="2">
        <f t="shared" si="6"/>
        <v>0.66686084411711677</v>
      </c>
      <c r="V44" s="3">
        <v>325.58999999999997</v>
      </c>
      <c r="W44" s="1">
        <v>216.297</v>
      </c>
      <c r="AB44" s="2">
        <f t="shared" si="12"/>
        <v>216.297</v>
      </c>
      <c r="AD44" s="1">
        <v>7.2</v>
      </c>
      <c r="AE44" s="2">
        <f t="shared" si="8"/>
        <v>1.2685833324586717</v>
      </c>
    </row>
    <row r="45" spans="1:31" s="2" customFormat="1" x14ac:dyDescent="0.2">
      <c r="A45" s="1" t="s">
        <v>20</v>
      </c>
      <c r="B45" s="3">
        <v>20</v>
      </c>
      <c r="C45" s="1">
        <v>7.2</v>
      </c>
      <c r="D45" s="3">
        <v>0.18</v>
      </c>
      <c r="E45" s="3">
        <v>346.97</v>
      </c>
      <c r="F45" s="3">
        <v>65.492500000000007</v>
      </c>
      <c r="G45" s="3">
        <v>274.71199999999999</v>
      </c>
      <c r="H45" s="3">
        <v>274.93299999999999</v>
      </c>
      <c r="I45" s="3">
        <v>224.17599999999999</v>
      </c>
      <c r="J45" s="3">
        <v>186.84299999999999</v>
      </c>
      <c r="K45" s="3">
        <v>134.07</v>
      </c>
      <c r="L45" s="3">
        <v>154.017</v>
      </c>
      <c r="N45" s="2">
        <f t="shared" si="0"/>
        <v>1248.751</v>
      </c>
      <c r="O45" s="2">
        <f t="shared" si="1"/>
        <v>274.93299999999999</v>
      </c>
      <c r="P45" s="2">
        <f t="shared" si="2"/>
        <v>224.17599999999999</v>
      </c>
      <c r="Q45" s="2">
        <f t="shared" si="3"/>
        <v>154.017</v>
      </c>
      <c r="R45" s="2">
        <f t="shared" si="4"/>
        <v>0.99919616779360787</v>
      </c>
      <c r="S45" s="2">
        <f t="shared" si="5"/>
        <v>0.83346566983084724</v>
      </c>
      <c r="T45" s="2">
        <f t="shared" si="6"/>
        <v>0.87048832271762211</v>
      </c>
      <c r="V45" s="3">
        <v>346.97</v>
      </c>
      <c r="W45" s="1">
        <v>154.017</v>
      </c>
      <c r="AB45" s="2">
        <f t="shared" si="12"/>
        <v>154.017</v>
      </c>
      <c r="AD45" s="1">
        <v>7.2</v>
      </c>
      <c r="AE45" s="2">
        <f t="shared" si="8"/>
        <v>0.98471089335117001</v>
      </c>
    </row>
    <row r="46" spans="1:31" s="2" customFormat="1" x14ac:dyDescent="0.2">
      <c r="A46" s="1" t="s">
        <v>20</v>
      </c>
      <c r="B46" s="3">
        <v>20</v>
      </c>
      <c r="C46" s="1">
        <v>7.2</v>
      </c>
      <c r="D46" s="3">
        <v>0.18</v>
      </c>
      <c r="E46" s="3">
        <v>338.15</v>
      </c>
      <c r="F46" s="3">
        <v>63.287499999999994</v>
      </c>
      <c r="G46" s="3">
        <v>252.22800000000001</v>
      </c>
      <c r="H46" s="3">
        <v>243.66800000000001</v>
      </c>
      <c r="I46" s="3">
        <v>211.95599999999999</v>
      </c>
      <c r="J46" s="3">
        <v>222.054</v>
      </c>
      <c r="K46" s="3">
        <v>161.93100000000001</v>
      </c>
      <c r="L46" s="3">
        <v>166.155</v>
      </c>
      <c r="N46" s="2">
        <f t="shared" si="0"/>
        <v>1257.992</v>
      </c>
      <c r="O46" s="2">
        <f t="shared" si="1"/>
        <v>252.22800000000001</v>
      </c>
      <c r="P46" s="2">
        <f t="shared" si="2"/>
        <v>222.054</v>
      </c>
      <c r="Q46" s="2">
        <f t="shared" si="3"/>
        <v>166.155</v>
      </c>
      <c r="R46" s="2">
        <f t="shared" si="4"/>
        <v>0.96606245143283065</v>
      </c>
      <c r="S46" s="2">
        <f t="shared" si="5"/>
        <v>0.9545245751033532</v>
      </c>
      <c r="T46" s="2">
        <f t="shared" si="6"/>
        <v>0.97457795431976169</v>
      </c>
      <c r="V46" s="3">
        <v>338.15</v>
      </c>
      <c r="W46" s="1">
        <v>166.155</v>
      </c>
      <c r="AB46" s="2">
        <f t="shared" si="12"/>
        <v>166.155</v>
      </c>
      <c r="AD46" s="1">
        <v>7.2</v>
      </c>
      <c r="AE46" s="2">
        <f t="shared" si="8"/>
        <v>1.0515312501260294</v>
      </c>
    </row>
    <row r="47" spans="1:31" s="2" customFormat="1" x14ac:dyDescent="0.2">
      <c r="A47" s="1" t="s">
        <v>20</v>
      </c>
      <c r="B47" s="3">
        <v>20</v>
      </c>
      <c r="C47" s="1">
        <v>7.2</v>
      </c>
      <c r="D47" s="3">
        <v>0.18</v>
      </c>
      <c r="E47" s="3">
        <v>356.37</v>
      </c>
      <c r="F47" s="3">
        <v>67.842500000000001</v>
      </c>
      <c r="G47" s="3">
        <v>278.226</v>
      </c>
      <c r="H47" s="3">
        <v>275.24599999999998</v>
      </c>
      <c r="I47" s="3">
        <v>239.73099999999999</v>
      </c>
      <c r="J47" s="3">
        <v>229.376</v>
      </c>
      <c r="K47" s="3">
        <v>170.58099999999999</v>
      </c>
      <c r="L47" s="3">
        <v>166.81800000000001</v>
      </c>
      <c r="N47" s="2">
        <f t="shared" si="0"/>
        <v>1359.9779999999998</v>
      </c>
      <c r="O47" s="2">
        <f t="shared" si="1"/>
        <v>278.226</v>
      </c>
      <c r="P47" s="2">
        <f t="shared" si="2"/>
        <v>239.73099999999999</v>
      </c>
      <c r="Q47" s="2">
        <f t="shared" si="3"/>
        <v>170.58099999999999</v>
      </c>
      <c r="R47" s="2">
        <f t="shared" si="4"/>
        <v>0.98928928281325246</v>
      </c>
      <c r="S47" s="2">
        <f t="shared" si="5"/>
        <v>0.95680575311494975</v>
      </c>
      <c r="T47" s="2">
        <f t="shared" si="6"/>
        <v>0.97794009883867505</v>
      </c>
      <c r="V47" s="3">
        <v>356.37</v>
      </c>
      <c r="W47" s="1">
        <v>170.58099999999999</v>
      </c>
      <c r="AB47" s="2">
        <f t="shared" si="12"/>
        <v>170.58099999999999</v>
      </c>
      <c r="AD47" s="1">
        <v>7.2</v>
      </c>
      <c r="AE47" s="2">
        <f t="shared" si="8"/>
        <v>1.0120029471027192</v>
      </c>
    </row>
    <row r="48" spans="1:31" s="2" customFormat="1" x14ac:dyDescent="0.2">
      <c r="A48" s="1" t="s">
        <v>20</v>
      </c>
      <c r="B48" s="3">
        <v>20</v>
      </c>
      <c r="C48" s="1">
        <v>7.2</v>
      </c>
      <c r="D48" s="3">
        <v>0.18</v>
      </c>
      <c r="E48" s="3">
        <v>342.08</v>
      </c>
      <c r="F48" s="3">
        <v>64.27</v>
      </c>
      <c r="G48" s="3">
        <v>245.733</v>
      </c>
      <c r="H48" s="3">
        <v>253.77799999999999</v>
      </c>
      <c r="I48" s="3">
        <v>261.50799999999998</v>
      </c>
      <c r="J48" s="3">
        <v>187.97399999999999</v>
      </c>
      <c r="K48" s="3">
        <v>120.617</v>
      </c>
      <c r="L48" s="3">
        <v>127.97799999999999</v>
      </c>
      <c r="N48" s="2">
        <f t="shared" si="0"/>
        <v>1197.588</v>
      </c>
      <c r="O48" s="2">
        <f t="shared" si="1"/>
        <v>253.77799999999999</v>
      </c>
      <c r="P48" s="2">
        <f t="shared" si="2"/>
        <v>261.50799999999998</v>
      </c>
      <c r="Q48" s="2">
        <f t="shared" si="3"/>
        <v>127.97799999999999</v>
      </c>
      <c r="R48" s="2">
        <f t="shared" si="4"/>
        <v>0.9682990645367211</v>
      </c>
      <c r="S48" s="2">
        <f t="shared" si="5"/>
        <v>0.71880783761873446</v>
      </c>
      <c r="T48" s="2">
        <f t="shared" si="6"/>
        <v>0.94248230164559543</v>
      </c>
      <c r="V48" s="3">
        <v>342.08</v>
      </c>
      <c r="W48" s="1">
        <v>127.97799999999999</v>
      </c>
      <c r="AB48" s="2">
        <f t="shared" si="12"/>
        <v>127.97799999999999</v>
      </c>
      <c r="AD48" s="1">
        <v>7.2</v>
      </c>
      <c r="AE48" s="2">
        <f t="shared" si="8"/>
        <v>0.91155411812959863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B6E2-9206-C849-897A-DC8EB90EC005}">
  <dimension ref="A1:AE48"/>
  <sheetViews>
    <sheetView topLeftCell="D1" workbookViewId="0">
      <selection activeCell="AE2" sqref="AE2"/>
    </sheetView>
  </sheetViews>
  <sheetFormatPr baseColWidth="10" defaultColWidth="8.83203125" defaultRowHeight="15" x14ac:dyDescent="0.2"/>
  <cols>
    <col min="31" max="31" width="10.8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1" t="s">
        <v>4</v>
      </c>
      <c r="W1" s="1" t="s">
        <v>14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D1" t="s">
        <v>20</v>
      </c>
      <c r="AE1" t="s">
        <v>40</v>
      </c>
    </row>
    <row r="2" spans="1:31" s="2" customFormat="1" x14ac:dyDescent="0.2">
      <c r="A2" s="1" t="s">
        <v>20</v>
      </c>
      <c r="B2" s="3">
        <v>20</v>
      </c>
      <c r="C2" s="1">
        <v>8.1</v>
      </c>
      <c r="D2" s="3">
        <v>0.18</v>
      </c>
      <c r="E2" s="3">
        <v>391.83</v>
      </c>
      <c r="F2" s="3">
        <v>76.707499999999996</v>
      </c>
      <c r="G2" s="3">
        <v>282.55399999999997</v>
      </c>
      <c r="H2" s="3">
        <v>294.50799999999998</v>
      </c>
      <c r="I2" s="3">
        <v>253.18600000000001</v>
      </c>
      <c r="J2" s="3">
        <v>291.61399999999998</v>
      </c>
      <c r="K2" s="3">
        <v>180.624</v>
      </c>
      <c r="L2" s="3">
        <v>157.93100000000001</v>
      </c>
      <c r="N2" s="2">
        <f t="shared" ref="N2:N48" si="0">SUM(G2:L2)</f>
        <v>1460.4169999999999</v>
      </c>
      <c r="O2" s="2">
        <f t="shared" ref="O2:O48" si="1">MAX(G2:H2)</f>
        <v>294.50799999999998</v>
      </c>
      <c r="P2" s="2">
        <f t="shared" ref="P2:P48" si="2">MAX(I2:J2)</f>
        <v>291.61399999999998</v>
      </c>
      <c r="Q2" s="2">
        <f t="shared" ref="Q2:Q48" si="3">MAX(K2:L2)</f>
        <v>180.624</v>
      </c>
      <c r="R2" s="2">
        <f t="shared" ref="R2:R48" si="4">MIN(G2:H2)/MAX(G2:H2)</f>
        <v>0.95941027068874185</v>
      </c>
      <c r="S2" s="2">
        <f t="shared" ref="S2:S48" si="5">MIN(I2:J2)/MAX(I2:J2)</f>
        <v>0.86822306199290855</v>
      </c>
      <c r="T2" s="2">
        <f t="shared" ref="T2:T48" si="6">MIN(K2:L2)/MAX(K2:L2)</f>
        <v>0.87436331827442648</v>
      </c>
      <c r="V2" s="3">
        <v>391.83</v>
      </c>
      <c r="W2" s="1">
        <f>P2</f>
        <v>291.61399999999998</v>
      </c>
      <c r="X2" s="2">
        <f>W2</f>
        <v>291.61399999999998</v>
      </c>
      <c r="AD2" s="1">
        <v>8.1</v>
      </c>
      <c r="AE2" s="2">
        <f>(W2-178.53)/(V2*0.1972)</f>
        <v>1.4635129414850034</v>
      </c>
    </row>
    <row r="3" spans="1:31" s="2" customFormat="1" x14ac:dyDescent="0.2">
      <c r="A3" s="1" t="s">
        <v>20</v>
      </c>
      <c r="B3" s="3">
        <v>20</v>
      </c>
      <c r="C3" s="1">
        <v>8.1</v>
      </c>
      <c r="D3" s="3">
        <v>0.18</v>
      </c>
      <c r="E3" s="3">
        <v>358.69</v>
      </c>
      <c r="F3" s="3">
        <v>68.422499999999999</v>
      </c>
      <c r="G3" s="3">
        <v>245.15799999999999</v>
      </c>
      <c r="H3" s="3">
        <v>249.65</v>
      </c>
      <c r="I3" s="3">
        <v>186.26300000000001</v>
      </c>
      <c r="J3" s="3">
        <v>197.58600000000001</v>
      </c>
      <c r="K3" s="3">
        <v>183.93600000000001</v>
      </c>
      <c r="L3" s="3">
        <v>193.64400000000001</v>
      </c>
      <c r="N3" s="2">
        <f t="shared" si="0"/>
        <v>1256.2370000000001</v>
      </c>
      <c r="O3" s="2">
        <f t="shared" si="1"/>
        <v>249.65</v>
      </c>
      <c r="P3" s="2">
        <f t="shared" si="2"/>
        <v>197.58600000000001</v>
      </c>
      <c r="Q3" s="2">
        <f t="shared" si="3"/>
        <v>193.64400000000001</v>
      </c>
      <c r="R3" s="2">
        <f t="shared" si="4"/>
        <v>0.98200680953334663</v>
      </c>
      <c r="S3" s="2">
        <f t="shared" si="5"/>
        <v>0.94269330823034014</v>
      </c>
      <c r="T3" s="2">
        <f t="shared" si="6"/>
        <v>0.94986676581768603</v>
      </c>
      <c r="V3" s="3">
        <v>358.69</v>
      </c>
      <c r="W3" s="1">
        <f t="shared" ref="W3:W48" si="7">P3</f>
        <v>197.58600000000001</v>
      </c>
      <c r="X3" s="2">
        <f t="shared" ref="X3:X11" si="8">W3</f>
        <v>197.58600000000001</v>
      </c>
      <c r="AD3" s="1">
        <v>8.1</v>
      </c>
      <c r="AE3" s="2">
        <f t="shared" ref="AE3:AE48" si="9">(W3-178.53)/(V3*0.1972)</f>
        <v>0.26940494588800362</v>
      </c>
    </row>
    <row r="4" spans="1:31" s="2" customFormat="1" x14ac:dyDescent="0.2">
      <c r="A4" s="1" t="s">
        <v>20</v>
      </c>
      <c r="B4" s="3">
        <v>20</v>
      </c>
      <c r="C4" s="1">
        <v>8.1</v>
      </c>
      <c r="D4" s="3">
        <v>0.18</v>
      </c>
      <c r="E4" s="3">
        <v>376.24</v>
      </c>
      <c r="F4" s="3">
        <v>72.81</v>
      </c>
      <c r="G4" s="3">
        <v>263.42599999999999</v>
      </c>
      <c r="H4" s="3">
        <v>266.68700000000001</v>
      </c>
      <c r="I4" s="3">
        <v>166.494</v>
      </c>
      <c r="J4" s="3">
        <v>188.34700000000001</v>
      </c>
      <c r="K4" s="3">
        <v>146.78700000000001</v>
      </c>
      <c r="L4" s="3">
        <v>133.57499999999999</v>
      </c>
      <c r="N4" s="2">
        <f t="shared" si="0"/>
        <v>1165.316</v>
      </c>
      <c r="O4" s="2">
        <f t="shared" si="1"/>
        <v>266.68700000000001</v>
      </c>
      <c r="P4" s="2">
        <f t="shared" si="2"/>
        <v>188.34700000000001</v>
      </c>
      <c r="Q4" s="2">
        <f t="shared" si="3"/>
        <v>146.78700000000001</v>
      </c>
      <c r="R4" s="2">
        <f t="shared" si="4"/>
        <v>0.9877721823710941</v>
      </c>
      <c r="S4" s="2">
        <f t="shared" si="5"/>
        <v>0.88397479120984135</v>
      </c>
      <c r="T4" s="2">
        <f t="shared" si="6"/>
        <v>0.90999202926689682</v>
      </c>
      <c r="V4" s="3">
        <v>376.24</v>
      </c>
      <c r="W4" s="1">
        <f t="shared" si="7"/>
        <v>188.34700000000001</v>
      </c>
      <c r="X4" s="2">
        <f t="shared" si="8"/>
        <v>188.34700000000001</v>
      </c>
      <c r="AD4" s="1">
        <v>8.1</v>
      </c>
      <c r="AE4" s="2">
        <f t="shared" si="9"/>
        <v>0.13231433994701075</v>
      </c>
    </row>
    <row r="5" spans="1:31" s="2" customFormat="1" x14ac:dyDescent="0.2">
      <c r="A5" s="1" t="s">
        <v>20</v>
      </c>
      <c r="B5" s="3">
        <v>20</v>
      </c>
      <c r="C5" s="1">
        <v>8.1</v>
      </c>
      <c r="D5" s="3">
        <v>0.18</v>
      </c>
      <c r="E5" s="3">
        <v>360.65</v>
      </c>
      <c r="F5" s="3">
        <v>68.912499999999994</v>
      </c>
      <c r="G5" s="3">
        <v>249.41900000000001</v>
      </c>
      <c r="H5" s="3">
        <v>238.578</v>
      </c>
      <c r="I5" s="3">
        <v>218.36600000000001</v>
      </c>
      <c r="J5" s="3">
        <v>229.77799999999999</v>
      </c>
      <c r="K5" s="3">
        <v>175.75800000000001</v>
      </c>
      <c r="L5" s="3">
        <v>184.41200000000001</v>
      </c>
      <c r="N5" s="2">
        <f t="shared" si="0"/>
        <v>1296.3110000000001</v>
      </c>
      <c r="O5" s="2">
        <f t="shared" si="1"/>
        <v>249.41900000000001</v>
      </c>
      <c r="P5" s="2">
        <f t="shared" si="2"/>
        <v>229.77799999999999</v>
      </c>
      <c r="Q5" s="2">
        <f t="shared" si="3"/>
        <v>184.41200000000001</v>
      </c>
      <c r="R5" s="2">
        <f t="shared" si="4"/>
        <v>0.95653498731050957</v>
      </c>
      <c r="S5" s="2">
        <f t="shared" si="5"/>
        <v>0.95033467085621781</v>
      </c>
      <c r="T5" s="2">
        <f t="shared" si="6"/>
        <v>0.95307246816909963</v>
      </c>
      <c r="V5" s="3">
        <v>360.65</v>
      </c>
      <c r="W5" s="1">
        <f t="shared" si="7"/>
        <v>229.77799999999999</v>
      </c>
      <c r="X5" s="2">
        <f t="shared" si="8"/>
        <v>229.77799999999999</v>
      </c>
      <c r="AD5" s="1">
        <v>8.1</v>
      </c>
      <c r="AE5" s="2">
        <f t="shared" si="9"/>
        <v>0.72058310313612817</v>
      </c>
    </row>
    <row r="6" spans="1:31" s="2" customFormat="1" x14ac:dyDescent="0.2">
      <c r="A6" s="1" t="s">
        <v>20</v>
      </c>
      <c r="B6" s="3">
        <v>20</v>
      </c>
      <c r="C6" s="1">
        <v>8.1</v>
      </c>
      <c r="D6" s="3">
        <v>0.18</v>
      </c>
      <c r="E6" s="3">
        <v>332.78</v>
      </c>
      <c r="F6" s="3">
        <v>61.944999999999993</v>
      </c>
      <c r="G6" s="3">
        <v>252.85</v>
      </c>
      <c r="H6" s="3">
        <v>249.26499999999999</v>
      </c>
      <c r="I6" s="3">
        <v>275.83100000000002</v>
      </c>
      <c r="J6" s="3">
        <v>254.09399999999999</v>
      </c>
      <c r="K6" s="3">
        <v>117.621</v>
      </c>
      <c r="L6" s="3">
        <v>118.62</v>
      </c>
      <c r="N6" s="2">
        <f t="shared" si="0"/>
        <v>1268.2809999999999</v>
      </c>
      <c r="O6" s="2">
        <f t="shared" si="1"/>
        <v>252.85</v>
      </c>
      <c r="P6" s="2">
        <f t="shared" si="2"/>
        <v>275.83100000000002</v>
      </c>
      <c r="Q6" s="2">
        <f t="shared" si="3"/>
        <v>118.62</v>
      </c>
      <c r="R6" s="2">
        <f t="shared" si="4"/>
        <v>0.98582163337947393</v>
      </c>
      <c r="S6" s="2">
        <f t="shared" si="5"/>
        <v>0.92119449953050958</v>
      </c>
      <c r="T6" s="2">
        <f t="shared" si="6"/>
        <v>0.99157814871016681</v>
      </c>
      <c r="V6" s="3">
        <v>332.78</v>
      </c>
      <c r="W6" s="1">
        <f t="shared" si="7"/>
        <v>275.83100000000002</v>
      </c>
      <c r="X6" s="2">
        <f t="shared" si="8"/>
        <v>275.83100000000002</v>
      </c>
      <c r="AD6" s="1">
        <v>8.1</v>
      </c>
      <c r="AE6" s="2">
        <f t="shared" si="9"/>
        <v>1.4826996180800092</v>
      </c>
    </row>
    <row r="7" spans="1:31" s="2" customFormat="1" x14ac:dyDescent="0.2">
      <c r="A7" s="1" t="s">
        <v>20</v>
      </c>
      <c r="B7" s="3">
        <v>20</v>
      </c>
      <c r="C7" s="1">
        <v>8.1</v>
      </c>
      <c r="D7" s="3">
        <v>0.18</v>
      </c>
      <c r="E7" s="3">
        <v>330.1</v>
      </c>
      <c r="F7" s="3">
        <v>61.275000000000006</v>
      </c>
      <c r="G7" s="3">
        <v>228.29300000000001</v>
      </c>
      <c r="H7" s="3">
        <v>235.80199999999999</v>
      </c>
      <c r="I7" s="3">
        <v>239.14099999999999</v>
      </c>
      <c r="J7" s="3">
        <v>208.17599999999999</v>
      </c>
      <c r="K7" s="3">
        <v>171.01</v>
      </c>
      <c r="L7" s="3">
        <v>174.834</v>
      </c>
      <c r="N7" s="2">
        <f t="shared" si="0"/>
        <v>1257.2560000000001</v>
      </c>
      <c r="O7" s="2">
        <f t="shared" si="1"/>
        <v>235.80199999999999</v>
      </c>
      <c r="P7" s="2">
        <f t="shared" si="2"/>
        <v>239.14099999999999</v>
      </c>
      <c r="Q7" s="2">
        <f t="shared" si="3"/>
        <v>174.834</v>
      </c>
      <c r="R7" s="2">
        <f t="shared" si="4"/>
        <v>0.96815548638264315</v>
      </c>
      <c r="S7" s="2">
        <f t="shared" si="5"/>
        <v>0.8705157208508788</v>
      </c>
      <c r="T7" s="2">
        <f t="shared" si="6"/>
        <v>0.97812782410743904</v>
      </c>
      <c r="V7" s="3">
        <v>330.1</v>
      </c>
      <c r="W7" s="1">
        <f t="shared" si="7"/>
        <v>239.14099999999999</v>
      </c>
      <c r="X7" s="2">
        <f t="shared" si="8"/>
        <v>239.14099999999999</v>
      </c>
      <c r="AD7" s="1">
        <v>8.1</v>
      </c>
      <c r="AE7" s="2">
        <f t="shared" si="9"/>
        <v>0.93110576240649912</v>
      </c>
    </row>
    <row r="8" spans="1:31" s="2" customFormat="1" x14ac:dyDescent="0.2">
      <c r="A8" s="1" t="s">
        <v>20</v>
      </c>
      <c r="B8" s="3">
        <v>20</v>
      </c>
      <c r="C8" s="1">
        <v>8.1</v>
      </c>
      <c r="D8" s="3">
        <v>0.18</v>
      </c>
      <c r="E8" s="3">
        <v>384.32</v>
      </c>
      <c r="F8" s="3">
        <v>74.83</v>
      </c>
      <c r="G8" s="3">
        <v>261.54399999999998</v>
      </c>
      <c r="H8" s="3">
        <v>260.62</v>
      </c>
      <c r="I8" s="3">
        <v>257.95299999999997</v>
      </c>
      <c r="J8" s="3">
        <v>316.39100000000002</v>
      </c>
      <c r="K8" s="3">
        <v>218.81700000000001</v>
      </c>
      <c r="L8" s="3">
        <v>207.119</v>
      </c>
      <c r="N8" s="2">
        <f t="shared" si="0"/>
        <v>1522.444</v>
      </c>
      <c r="O8" s="2">
        <f t="shared" si="1"/>
        <v>261.54399999999998</v>
      </c>
      <c r="P8" s="2">
        <f t="shared" si="2"/>
        <v>316.39100000000002</v>
      </c>
      <c r="Q8" s="2">
        <f t="shared" si="3"/>
        <v>218.81700000000001</v>
      </c>
      <c r="R8" s="2">
        <f t="shared" si="4"/>
        <v>0.9964671336371701</v>
      </c>
      <c r="S8" s="2">
        <f t="shared" si="5"/>
        <v>0.81529815955573948</v>
      </c>
      <c r="T8" s="2">
        <f t="shared" si="6"/>
        <v>0.94653980266615478</v>
      </c>
      <c r="V8" s="3">
        <v>384.32</v>
      </c>
      <c r="W8" s="1">
        <f t="shared" si="7"/>
        <v>316.39100000000002</v>
      </c>
      <c r="X8" s="2">
        <f t="shared" si="8"/>
        <v>316.39100000000002</v>
      </c>
      <c r="AD8" s="1">
        <v>8.1</v>
      </c>
      <c r="AE8" s="2">
        <f t="shared" si="9"/>
        <v>1.8190369798325603</v>
      </c>
    </row>
    <row r="9" spans="1:31" s="2" customFormat="1" x14ac:dyDescent="0.2">
      <c r="A9" s="1" t="s">
        <v>20</v>
      </c>
      <c r="B9" s="3">
        <v>20</v>
      </c>
      <c r="C9" s="1">
        <v>8.1</v>
      </c>
      <c r="D9" s="3">
        <v>0.18</v>
      </c>
      <c r="E9" s="3">
        <v>339.23</v>
      </c>
      <c r="F9" s="3">
        <v>63.557500000000005</v>
      </c>
      <c r="G9" s="3">
        <v>247.43100000000001</v>
      </c>
      <c r="H9" s="3">
        <v>243.95699999999999</v>
      </c>
      <c r="I9" s="3">
        <v>256.887</v>
      </c>
      <c r="J9" s="3">
        <v>258.495</v>
      </c>
      <c r="K9" s="3">
        <v>109.803</v>
      </c>
      <c r="L9" s="3">
        <v>113.054</v>
      </c>
      <c r="N9" s="2">
        <f t="shared" si="0"/>
        <v>1229.6270000000002</v>
      </c>
      <c r="O9" s="2">
        <f t="shared" si="1"/>
        <v>247.43100000000001</v>
      </c>
      <c r="P9" s="2">
        <f t="shared" si="2"/>
        <v>258.495</v>
      </c>
      <c r="Q9" s="2">
        <f t="shared" si="3"/>
        <v>113.054</v>
      </c>
      <c r="R9" s="2">
        <f t="shared" si="4"/>
        <v>0.98595972210434413</v>
      </c>
      <c r="S9" s="2">
        <f t="shared" si="5"/>
        <v>0.9937793767771137</v>
      </c>
      <c r="T9" s="2">
        <f t="shared" si="6"/>
        <v>0.97124383038194129</v>
      </c>
      <c r="V9" s="3">
        <v>339.23</v>
      </c>
      <c r="W9" s="1">
        <f t="shared" si="7"/>
        <v>258.495</v>
      </c>
      <c r="X9" s="2">
        <f t="shared" si="8"/>
        <v>258.495</v>
      </c>
      <c r="AD9" s="1">
        <v>8.1</v>
      </c>
      <c r="AE9" s="2">
        <f t="shared" si="9"/>
        <v>1.195360163893423</v>
      </c>
    </row>
    <row r="10" spans="1:31" s="2" customFormat="1" x14ac:dyDescent="0.2">
      <c r="A10" s="1" t="s">
        <v>20</v>
      </c>
      <c r="B10" s="3">
        <v>20</v>
      </c>
      <c r="C10" s="1">
        <v>8.1</v>
      </c>
      <c r="D10" s="3">
        <v>0.18</v>
      </c>
      <c r="E10" s="3">
        <v>358</v>
      </c>
      <c r="F10" s="3">
        <v>68.25</v>
      </c>
      <c r="G10" s="3">
        <v>256.887</v>
      </c>
      <c r="H10" s="3">
        <v>261.58600000000001</v>
      </c>
      <c r="I10" s="3">
        <v>165.929</v>
      </c>
      <c r="J10" s="3">
        <v>199.768</v>
      </c>
      <c r="K10" s="3">
        <v>162.31700000000001</v>
      </c>
      <c r="L10" s="3">
        <v>186.58699999999999</v>
      </c>
      <c r="N10" s="2">
        <f t="shared" si="0"/>
        <v>1233.0740000000001</v>
      </c>
      <c r="O10" s="2">
        <f t="shared" si="1"/>
        <v>261.58600000000001</v>
      </c>
      <c r="P10" s="2">
        <f t="shared" si="2"/>
        <v>199.768</v>
      </c>
      <c r="Q10" s="2">
        <f t="shared" si="3"/>
        <v>186.58699999999999</v>
      </c>
      <c r="R10" s="2">
        <f t="shared" si="4"/>
        <v>0.98203650042433455</v>
      </c>
      <c r="S10" s="2">
        <f t="shared" si="5"/>
        <v>0.83060850586680546</v>
      </c>
      <c r="T10" s="2">
        <f t="shared" si="6"/>
        <v>0.86992662940076215</v>
      </c>
      <c r="V10" s="3">
        <v>358</v>
      </c>
      <c r="W10" s="1">
        <f t="shared" si="7"/>
        <v>199.768</v>
      </c>
      <c r="X10" s="2">
        <f t="shared" si="8"/>
        <v>199.768</v>
      </c>
      <c r="AD10" s="1">
        <v>8.1</v>
      </c>
      <c r="AE10" s="2">
        <f t="shared" si="9"/>
        <v>0.30083175632032816</v>
      </c>
    </row>
    <row r="11" spans="1:31" s="2" customFormat="1" x14ac:dyDescent="0.2">
      <c r="A11" s="1" t="s">
        <v>20</v>
      </c>
      <c r="B11" s="3">
        <v>20</v>
      </c>
      <c r="C11" s="1">
        <v>8.1</v>
      </c>
      <c r="D11" s="3">
        <v>0.18</v>
      </c>
      <c r="E11" s="3">
        <v>343.93</v>
      </c>
      <c r="F11" s="3">
        <v>64.732500000000002</v>
      </c>
      <c r="G11" s="3">
        <v>262.476</v>
      </c>
      <c r="H11" s="3">
        <v>267.09800000000001</v>
      </c>
      <c r="I11" s="3">
        <v>293.52800000000002</v>
      </c>
      <c r="J11" s="3">
        <v>289.80200000000002</v>
      </c>
      <c r="K11" s="3">
        <v>119.01300000000001</v>
      </c>
      <c r="L11" s="3">
        <v>161.708</v>
      </c>
      <c r="N11" s="2">
        <f t="shared" si="0"/>
        <v>1393.625</v>
      </c>
      <c r="O11" s="2">
        <f t="shared" si="1"/>
        <v>267.09800000000001</v>
      </c>
      <c r="P11" s="2">
        <f t="shared" si="2"/>
        <v>293.52800000000002</v>
      </c>
      <c r="Q11" s="2">
        <f t="shared" si="3"/>
        <v>161.708</v>
      </c>
      <c r="R11" s="2">
        <f t="shared" si="4"/>
        <v>0.98269549004485235</v>
      </c>
      <c r="S11" s="2">
        <f t="shared" si="5"/>
        <v>0.98730615137227118</v>
      </c>
      <c r="T11" s="2">
        <f t="shared" si="6"/>
        <v>0.7359747198654365</v>
      </c>
      <c r="V11" s="3">
        <v>343.93</v>
      </c>
      <c r="W11" s="1">
        <f t="shared" si="7"/>
        <v>293.52800000000002</v>
      </c>
      <c r="X11" s="2">
        <f t="shared" si="8"/>
        <v>293.52800000000002</v>
      </c>
      <c r="AD11" s="1">
        <v>8.1</v>
      </c>
      <c r="AE11" s="2">
        <f t="shared" si="9"/>
        <v>1.6955606030733295</v>
      </c>
    </row>
    <row r="12" spans="1:31" s="2" customFormat="1" x14ac:dyDescent="0.2">
      <c r="A12" s="1" t="s">
        <v>20</v>
      </c>
      <c r="B12" s="3">
        <v>20</v>
      </c>
      <c r="C12" s="1">
        <v>7.95</v>
      </c>
      <c r="D12" s="3">
        <v>0.18</v>
      </c>
      <c r="E12" s="3">
        <v>384.98</v>
      </c>
      <c r="F12" s="3">
        <v>74.995000000000005</v>
      </c>
      <c r="G12" s="3">
        <v>263.017</v>
      </c>
      <c r="H12" s="3">
        <v>280.10199999999998</v>
      </c>
      <c r="I12" s="3">
        <v>265.32600000000002</v>
      </c>
      <c r="J12" s="3">
        <v>280.81</v>
      </c>
      <c r="K12" s="3">
        <v>189.422</v>
      </c>
      <c r="L12" s="3">
        <v>161.84200000000001</v>
      </c>
      <c r="N12" s="2">
        <f t="shared" si="0"/>
        <v>1440.519</v>
      </c>
      <c r="O12" s="2">
        <f t="shared" si="1"/>
        <v>280.10199999999998</v>
      </c>
      <c r="P12" s="2">
        <f t="shared" si="2"/>
        <v>280.81</v>
      </c>
      <c r="Q12" s="2">
        <f t="shared" si="3"/>
        <v>189.422</v>
      </c>
      <c r="R12" s="2">
        <f t="shared" si="4"/>
        <v>0.93900436269644638</v>
      </c>
      <c r="S12" s="2">
        <f t="shared" si="5"/>
        <v>0.94485951355008735</v>
      </c>
      <c r="T12" s="2">
        <f t="shared" si="6"/>
        <v>0.85439917221864414</v>
      </c>
      <c r="V12" s="3">
        <v>384.98</v>
      </c>
      <c r="W12" s="1">
        <f t="shared" si="7"/>
        <v>280.81</v>
      </c>
      <c r="Y12" s="2">
        <f>W12</f>
        <v>280.81</v>
      </c>
      <c r="AD12" s="1">
        <v>7.95</v>
      </c>
      <c r="AE12" s="2">
        <f t="shared" si="9"/>
        <v>1.347242084280978</v>
      </c>
    </row>
    <row r="13" spans="1:31" s="2" customFormat="1" x14ac:dyDescent="0.2">
      <c r="A13" s="1" t="s">
        <v>20</v>
      </c>
      <c r="B13" s="3">
        <v>20</v>
      </c>
      <c r="C13" s="1">
        <v>7.95</v>
      </c>
      <c r="D13" s="3">
        <v>0.18</v>
      </c>
      <c r="E13" s="3">
        <v>405.67</v>
      </c>
      <c r="F13" s="3">
        <v>80.167500000000004</v>
      </c>
      <c r="G13" s="3">
        <v>261.733</v>
      </c>
      <c r="H13" s="3">
        <v>265.03399999999999</v>
      </c>
      <c r="I13" s="3">
        <v>258.411</v>
      </c>
      <c r="J13" s="3">
        <v>278.798</v>
      </c>
      <c r="K13" s="3">
        <v>229.589</v>
      </c>
      <c r="L13" s="3">
        <v>228.29900000000001</v>
      </c>
      <c r="N13" s="2">
        <f t="shared" si="0"/>
        <v>1521.864</v>
      </c>
      <c r="O13" s="2">
        <f t="shared" si="1"/>
        <v>265.03399999999999</v>
      </c>
      <c r="P13" s="2">
        <f t="shared" si="2"/>
        <v>278.798</v>
      </c>
      <c r="Q13" s="2">
        <f t="shared" si="3"/>
        <v>229.589</v>
      </c>
      <c r="R13" s="2">
        <f t="shared" si="4"/>
        <v>0.9875449942271558</v>
      </c>
      <c r="S13" s="2">
        <f t="shared" si="5"/>
        <v>0.92687537213322913</v>
      </c>
      <c r="T13" s="2">
        <f t="shared" si="6"/>
        <v>0.99438126391072745</v>
      </c>
      <c r="V13" s="3">
        <v>405.67</v>
      </c>
      <c r="W13" s="1">
        <f t="shared" si="7"/>
        <v>278.798</v>
      </c>
      <c r="Y13" s="2">
        <f t="shared" ref="Y13:Y19" si="10">W13</f>
        <v>278.798</v>
      </c>
      <c r="AD13" s="1">
        <v>7.95</v>
      </c>
      <c r="AE13" s="2">
        <f t="shared" si="9"/>
        <v>1.2533793917467364</v>
      </c>
    </row>
    <row r="14" spans="1:31" s="2" customFormat="1" x14ac:dyDescent="0.2">
      <c r="A14" s="1" t="s">
        <v>20</v>
      </c>
      <c r="B14" s="3">
        <v>20</v>
      </c>
      <c r="C14" s="1">
        <v>7.95</v>
      </c>
      <c r="D14" s="3">
        <v>0.18</v>
      </c>
      <c r="E14" s="3">
        <v>383.56</v>
      </c>
      <c r="F14" s="3">
        <v>74.64</v>
      </c>
      <c r="G14" s="3">
        <v>274.17700000000002</v>
      </c>
      <c r="H14" s="3">
        <v>271.89699999999999</v>
      </c>
      <c r="I14" s="3">
        <v>134.86799999999999</v>
      </c>
      <c r="J14" s="3">
        <v>108.69499999999999</v>
      </c>
      <c r="K14" s="3">
        <v>109.379</v>
      </c>
      <c r="L14" s="3">
        <v>116.35299999999999</v>
      </c>
      <c r="N14" s="2">
        <f t="shared" si="0"/>
        <v>1015.3689999999999</v>
      </c>
      <c r="O14" s="2">
        <f t="shared" si="1"/>
        <v>274.17700000000002</v>
      </c>
      <c r="P14" s="2">
        <f t="shared" si="2"/>
        <v>134.86799999999999</v>
      </c>
      <c r="Q14" s="2">
        <f t="shared" si="3"/>
        <v>116.35299999999999</v>
      </c>
      <c r="R14" s="2">
        <f t="shared" si="4"/>
        <v>0.991684203999606</v>
      </c>
      <c r="S14" s="2">
        <f t="shared" si="5"/>
        <v>0.80593617463000855</v>
      </c>
      <c r="T14" s="2">
        <f t="shared" si="6"/>
        <v>0.94006170876556694</v>
      </c>
      <c r="V14" s="3">
        <v>383.56</v>
      </c>
      <c r="W14" s="1">
        <f t="shared" si="7"/>
        <v>134.86799999999999</v>
      </c>
      <c r="Y14" s="2">
        <f t="shared" si="10"/>
        <v>134.86799999999999</v>
      </c>
      <c r="AD14" s="1">
        <v>7.95</v>
      </c>
      <c r="AE14" s="2">
        <f t="shared" si="9"/>
        <v>-0.57724928644362417</v>
      </c>
    </row>
    <row r="15" spans="1:31" s="2" customFormat="1" x14ac:dyDescent="0.2">
      <c r="A15" s="1" t="s">
        <v>20</v>
      </c>
      <c r="B15" s="3">
        <v>20</v>
      </c>
      <c r="C15" s="1">
        <v>7.95</v>
      </c>
      <c r="D15" s="3">
        <v>0.18</v>
      </c>
      <c r="E15" s="3">
        <v>374.09</v>
      </c>
      <c r="F15" s="3">
        <v>72.272499999999994</v>
      </c>
      <c r="G15" s="3">
        <v>263.02199999999999</v>
      </c>
      <c r="H15" s="3">
        <v>259.30200000000002</v>
      </c>
      <c r="I15" s="3">
        <v>276.08499999999998</v>
      </c>
      <c r="J15" s="3">
        <v>304.18799999999999</v>
      </c>
      <c r="K15" s="3">
        <v>129.96700000000001</v>
      </c>
      <c r="L15" s="3">
        <v>157.33199999999999</v>
      </c>
      <c r="N15" s="2">
        <f t="shared" si="0"/>
        <v>1389.8960000000002</v>
      </c>
      <c r="O15" s="2">
        <f t="shared" si="1"/>
        <v>263.02199999999999</v>
      </c>
      <c r="P15" s="2">
        <f t="shared" si="2"/>
        <v>304.18799999999999</v>
      </c>
      <c r="Q15" s="2">
        <f t="shared" si="3"/>
        <v>157.33199999999999</v>
      </c>
      <c r="R15" s="2">
        <f t="shared" si="4"/>
        <v>0.98585669639802009</v>
      </c>
      <c r="S15" s="2">
        <f t="shared" si="5"/>
        <v>0.90761305508435575</v>
      </c>
      <c r="T15" s="2">
        <f t="shared" si="6"/>
        <v>0.82606844125797685</v>
      </c>
      <c r="V15" s="3">
        <v>374.09</v>
      </c>
      <c r="W15" s="1">
        <f t="shared" si="7"/>
        <v>304.18799999999999</v>
      </c>
      <c r="Y15" s="2">
        <f t="shared" si="10"/>
        <v>304.18799999999999</v>
      </c>
      <c r="AD15" s="1">
        <v>7.95</v>
      </c>
      <c r="AE15" s="2">
        <f t="shared" si="9"/>
        <v>1.7033627024161457</v>
      </c>
    </row>
    <row r="16" spans="1:31" s="2" customFormat="1" x14ac:dyDescent="0.2">
      <c r="A16" s="1" t="s">
        <v>20</v>
      </c>
      <c r="B16" s="3">
        <v>20</v>
      </c>
      <c r="C16" s="1">
        <v>7.95</v>
      </c>
      <c r="D16" s="3">
        <v>0.18</v>
      </c>
      <c r="E16" s="3">
        <v>370.11</v>
      </c>
      <c r="F16" s="3">
        <v>71.277500000000003</v>
      </c>
      <c r="G16" s="3">
        <v>270.38600000000002</v>
      </c>
      <c r="H16" s="3">
        <v>267.67899999999997</v>
      </c>
      <c r="I16" s="3">
        <v>190.76499999999999</v>
      </c>
      <c r="J16" s="3">
        <v>168.298</v>
      </c>
      <c r="K16" s="3">
        <v>100.872</v>
      </c>
      <c r="L16" s="3">
        <v>113.61199999999999</v>
      </c>
      <c r="N16" s="2">
        <f t="shared" si="0"/>
        <v>1111.6120000000001</v>
      </c>
      <c r="O16" s="2">
        <f t="shared" si="1"/>
        <v>270.38600000000002</v>
      </c>
      <c r="P16" s="2">
        <f t="shared" si="2"/>
        <v>190.76499999999999</v>
      </c>
      <c r="Q16" s="2">
        <f t="shared" si="3"/>
        <v>113.61199999999999</v>
      </c>
      <c r="R16" s="2">
        <f t="shared" si="4"/>
        <v>0.98998838697269809</v>
      </c>
      <c r="S16" s="2">
        <f t="shared" si="5"/>
        <v>0.88222682357874882</v>
      </c>
      <c r="T16" s="2">
        <f t="shared" si="6"/>
        <v>0.88786395803260221</v>
      </c>
      <c r="V16" s="3">
        <v>370.11</v>
      </c>
      <c r="W16" s="1">
        <f t="shared" si="7"/>
        <v>190.76499999999999</v>
      </c>
      <c r="Y16" s="2">
        <f t="shared" si="10"/>
        <v>190.76499999999999</v>
      </c>
      <c r="AD16" s="1">
        <v>7.95</v>
      </c>
      <c r="AE16" s="2">
        <f t="shared" si="9"/>
        <v>0.16763559630290256</v>
      </c>
    </row>
    <row r="17" spans="1:31" s="2" customFormat="1" x14ac:dyDescent="0.2">
      <c r="A17" s="1" t="s">
        <v>20</v>
      </c>
      <c r="B17" s="3">
        <v>20</v>
      </c>
      <c r="C17" s="1">
        <v>7.95</v>
      </c>
      <c r="D17" s="3">
        <v>0.18</v>
      </c>
      <c r="E17" s="3">
        <v>388.07</v>
      </c>
      <c r="F17" s="3">
        <v>75.767499999999998</v>
      </c>
      <c r="G17" s="3">
        <v>286.315</v>
      </c>
      <c r="H17" s="3">
        <v>289.245</v>
      </c>
      <c r="I17" s="3">
        <v>289.16899999999998</v>
      </c>
      <c r="J17" s="3">
        <v>305.38</v>
      </c>
      <c r="K17" s="3">
        <v>118.18</v>
      </c>
      <c r="L17" s="3">
        <v>120.88200000000001</v>
      </c>
      <c r="N17" s="2">
        <f t="shared" si="0"/>
        <v>1409.171</v>
      </c>
      <c r="O17" s="2">
        <f t="shared" si="1"/>
        <v>289.245</v>
      </c>
      <c r="P17" s="2">
        <f t="shared" si="2"/>
        <v>305.38</v>
      </c>
      <c r="Q17" s="2">
        <f t="shared" si="3"/>
        <v>120.88200000000001</v>
      </c>
      <c r="R17" s="2">
        <f t="shared" si="4"/>
        <v>0.98987017925979703</v>
      </c>
      <c r="S17" s="2">
        <f t="shared" si="5"/>
        <v>0.94691531861942491</v>
      </c>
      <c r="T17" s="2">
        <f t="shared" si="6"/>
        <v>0.97764762330206323</v>
      </c>
      <c r="V17" s="3">
        <v>388.07</v>
      </c>
      <c r="W17" s="1">
        <f t="shared" si="7"/>
        <v>305.38</v>
      </c>
      <c r="Y17" s="2">
        <f t="shared" si="10"/>
        <v>305.38</v>
      </c>
      <c r="AD17" s="1">
        <v>7.95</v>
      </c>
      <c r="AE17" s="2">
        <f t="shared" si="9"/>
        <v>1.6575761540271248</v>
      </c>
    </row>
    <row r="18" spans="1:31" s="2" customFormat="1" x14ac:dyDescent="0.2">
      <c r="A18" s="1" t="s">
        <v>20</v>
      </c>
      <c r="B18" s="3">
        <v>20</v>
      </c>
      <c r="C18" s="1">
        <v>7.95</v>
      </c>
      <c r="D18" s="3">
        <v>0.18</v>
      </c>
      <c r="E18" s="3">
        <v>377.1</v>
      </c>
      <c r="F18" s="3">
        <v>73.025000000000006</v>
      </c>
      <c r="G18" s="3">
        <v>276.56799999999998</v>
      </c>
      <c r="H18" s="3">
        <v>276.13499999999999</v>
      </c>
      <c r="I18" s="3">
        <v>317.67</v>
      </c>
      <c r="J18" s="3">
        <v>179.12100000000001</v>
      </c>
      <c r="K18" s="3">
        <v>125.791</v>
      </c>
      <c r="L18" s="3">
        <v>101.425</v>
      </c>
      <c r="N18" s="2">
        <f t="shared" si="0"/>
        <v>1276.71</v>
      </c>
      <c r="O18" s="2">
        <f t="shared" si="1"/>
        <v>276.56799999999998</v>
      </c>
      <c r="P18" s="2">
        <f t="shared" si="2"/>
        <v>317.67</v>
      </c>
      <c r="Q18" s="2">
        <f t="shared" si="3"/>
        <v>125.791</v>
      </c>
      <c r="R18" s="2">
        <f t="shared" si="4"/>
        <v>0.99843438141795149</v>
      </c>
      <c r="S18" s="2">
        <f t="shared" si="5"/>
        <v>0.56385872131457171</v>
      </c>
      <c r="T18" s="2">
        <f t="shared" si="6"/>
        <v>0.80629774785159514</v>
      </c>
      <c r="V18" s="3">
        <v>377.1</v>
      </c>
      <c r="W18" s="1">
        <f t="shared" si="7"/>
        <v>317.67</v>
      </c>
      <c r="Y18" s="2">
        <f t="shared" si="10"/>
        <v>317.67</v>
      </c>
      <c r="AD18" s="1">
        <v>7.95</v>
      </c>
      <c r="AE18" s="2">
        <f t="shared" si="9"/>
        <v>1.8710636258453677</v>
      </c>
    </row>
    <row r="19" spans="1:31" s="2" customFormat="1" x14ac:dyDescent="0.2">
      <c r="A19" s="1" t="s">
        <v>20</v>
      </c>
      <c r="B19" s="3">
        <v>20</v>
      </c>
      <c r="C19" s="1">
        <v>7.95</v>
      </c>
      <c r="D19" s="3">
        <v>0.18</v>
      </c>
      <c r="E19" s="3">
        <v>336.3</v>
      </c>
      <c r="F19" s="3">
        <v>62.825000000000003</v>
      </c>
      <c r="G19" s="3">
        <v>269.14800000000002</v>
      </c>
      <c r="H19" s="3">
        <v>275.30700000000002</v>
      </c>
      <c r="I19" s="3">
        <v>131.511</v>
      </c>
      <c r="J19" s="3">
        <v>142.80699999999999</v>
      </c>
      <c r="K19" s="3">
        <v>82.744</v>
      </c>
      <c r="L19" s="3">
        <v>85.475999999999999</v>
      </c>
      <c r="N19" s="2">
        <f t="shared" si="0"/>
        <v>986.99300000000005</v>
      </c>
      <c r="O19" s="2">
        <f t="shared" si="1"/>
        <v>275.30700000000002</v>
      </c>
      <c r="P19" s="2">
        <f t="shared" si="2"/>
        <v>142.80699999999999</v>
      </c>
      <c r="Q19" s="2">
        <f t="shared" si="3"/>
        <v>85.475999999999999</v>
      </c>
      <c r="R19" s="2">
        <f t="shared" si="4"/>
        <v>0.97762861096884568</v>
      </c>
      <c r="S19" s="2">
        <f t="shared" si="5"/>
        <v>0.92090023598283</v>
      </c>
      <c r="T19" s="2">
        <f t="shared" si="6"/>
        <v>0.96803781178342463</v>
      </c>
      <c r="V19" s="3">
        <v>336.3</v>
      </c>
      <c r="W19" s="1">
        <f t="shared" si="7"/>
        <v>142.80699999999999</v>
      </c>
      <c r="Y19" s="2">
        <f t="shared" si="10"/>
        <v>142.80699999999999</v>
      </c>
      <c r="AD19" s="1">
        <v>7.95</v>
      </c>
      <c r="AE19" s="2">
        <f t="shared" si="9"/>
        <v>-0.53865927927047674</v>
      </c>
    </row>
    <row r="20" spans="1:31" s="2" customFormat="1" x14ac:dyDescent="0.2">
      <c r="A20" s="1" t="s">
        <v>20</v>
      </c>
      <c r="B20" s="3">
        <v>20</v>
      </c>
      <c r="C20" s="1">
        <v>7.7</v>
      </c>
      <c r="D20" s="3">
        <v>0.18</v>
      </c>
      <c r="E20" s="3">
        <v>377.84</v>
      </c>
      <c r="F20" s="3">
        <v>73.209999999999994</v>
      </c>
      <c r="G20" s="3">
        <v>278.27</v>
      </c>
      <c r="H20" s="3">
        <v>285.09699999999998</v>
      </c>
      <c r="I20" s="3">
        <v>361.90199999999999</v>
      </c>
      <c r="J20" s="3">
        <v>335.78100000000001</v>
      </c>
      <c r="K20" s="3">
        <v>197.93</v>
      </c>
      <c r="L20" s="3">
        <v>198.28399999999999</v>
      </c>
      <c r="N20" s="2">
        <f t="shared" si="0"/>
        <v>1657.2640000000001</v>
      </c>
      <c r="O20" s="2">
        <f t="shared" si="1"/>
        <v>285.09699999999998</v>
      </c>
      <c r="P20" s="2">
        <f t="shared" si="2"/>
        <v>361.90199999999999</v>
      </c>
      <c r="Q20" s="2">
        <f t="shared" si="3"/>
        <v>198.28399999999999</v>
      </c>
      <c r="R20" s="2">
        <f t="shared" si="4"/>
        <v>0.97605376415746226</v>
      </c>
      <c r="S20" s="2">
        <f t="shared" si="5"/>
        <v>0.92782300180711907</v>
      </c>
      <c r="T20" s="2">
        <f t="shared" si="6"/>
        <v>0.99821468197131391</v>
      </c>
      <c r="V20" s="3">
        <v>377.84</v>
      </c>
      <c r="W20" s="1">
        <f t="shared" si="7"/>
        <v>361.90199999999999</v>
      </c>
      <c r="Z20" s="2">
        <f>W20</f>
        <v>361.90199999999999</v>
      </c>
      <c r="AD20" s="1">
        <v>7.7</v>
      </c>
      <c r="AE20" s="2">
        <f t="shared" si="9"/>
        <v>2.4610372013181365</v>
      </c>
    </row>
    <row r="21" spans="1:31" s="2" customFormat="1" x14ac:dyDescent="0.2">
      <c r="A21" s="1" t="s">
        <v>20</v>
      </c>
      <c r="B21" s="3">
        <v>20</v>
      </c>
      <c r="C21" s="1">
        <v>7.7</v>
      </c>
      <c r="D21" s="3">
        <v>0.18</v>
      </c>
      <c r="E21" s="3">
        <v>335.41</v>
      </c>
      <c r="F21" s="3">
        <v>62.602500000000006</v>
      </c>
      <c r="G21" s="3">
        <v>226.876</v>
      </c>
      <c r="H21" s="3">
        <v>226.477</v>
      </c>
      <c r="I21" s="3">
        <v>132.43700000000001</v>
      </c>
      <c r="J21" s="3">
        <v>136.04499999999999</v>
      </c>
      <c r="K21" s="3">
        <v>116.821</v>
      </c>
      <c r="L21" s="3">
        <v>138.876</v>
      </c>
      <c r="N21" s="2">
        <f t="shared" si="0"/>
        <v>977.53199999999993</v>
      </c>
      <c r="O21" s="2">
        <f t="shared" si="1"/>
        <v>226.876</v>
      </c>
      <c r="P21" s="2">
        <f t="shared" si="2"/>
        <v>136.04499999999999</v>
      </c>
      <c r="Q21" s="2">
        <f t="shared" si="3"/>
        <v>138.876</v>
      </c>
      <c r="R21" s="2">
        <f t="shared" si="4"/>
        <v>0.99824133006576277</v>
      </c>
      <c r="S21" s="2">
        <f t="shared" si="5"/>
        <v>0.97347936344591879</v>
      </c>
      <c r="T21" s="2">
        <f t="shared" si="6"/>
        <v>0.8411892623635473</v>
      </c>
      <c r="V21" s="3">
        <v>335.41</v>
      </c>
      <c r="W21" s="1">
        <f t="shared" si="7"/>
        <v>136.04499999999999</v>
      </c>
      <c r="Z21" s="2">
        <f t="shared" ref="Z21:Z28" si="11">W21</f>
        <v>136.04499999999999</v>
      </c>
      <c r="AD21" s="1">
        <v>7.7</v>
      </c>
      <c r="AE21" s="2">
        <f t="shared" si="9"/>
        <v>-0.64232186419781245</v>
      </c>
    </row>
    <row r="22" spans="1:31" s="2" customFormat="1" x14ac:dyDescent="0.2">
      <c r="A22" s="1" t="s">
        <v>20</v>
      </c>
      <c r="B22" s="3">
        <v>20</v>
      </c>
      <c r="C22" s="1">
        <v>7.7</v>
      </c>
      <c r="D22" s="3">
        <v>0.18</v>
      </c>
      <c r="E22" s="3">
        <v>290.43</v>
      </c>
      <c r="F22" s="3">
        <v>51.357500000000002</v>
      </c>
      <c r="G22" s="3">
        <v>178.65299999999999</v>
      </c>
      <c r="H22" s="3">
        <v>160.73400000000001</v>
      </c>
      <c r="I22" s="3">
        <v>190.64599999999999</v>
      </c>
      <c r="J22" s="3">
        <v>171.12</v>
      </c>
      <c r="K22" s="3">
        <v>195.25200000000001</v>
      </c>
      <c r="L22" s="3">
        <v>197.87100000000001</v>
      </c>
      <c r="N22" s="2">
        <f t="shared" si="0"/>
        <v>1094.2760000000001</v>
      </c>
      <c r="O22" s="2">
        <f t="shared" si="1"/>
        <v>178.65299999999999</v>
      </c>
      <c r="P22" s="2">
        <f t="shared" si="2"/>
        <v>190.64599999999999</v>
      </c>
      <c r="Q22" s="2">
        <f t="shared" si="3"/>
        <v>197.87100000000001</v>
      </c>
      <c r="R22" s="2">
        <f t="shared" si="4"/>
        <v>0.89969941730617464</v>
      </c>
      <c r="S22" s="2">
        <f t="shared" si="5"/>
        <v>0.89757980760152334</v>
      </c>
      <c r="T22" s="2">
        <f t="shared" si="6"/>
        <v>0.986764103885865</v>
      </c>
      <c r="V22" s="3">
        <v>290.43</v>
      </c>
      <c r="W22" s="1">
        <f t="shared" si="7"/>
        <v>190.64599999999999</v>
      </c>
      <c r="Z22" s="2">
        <f t="shared" si="11"/>
        <v>190.64599999999999</v>
      </c>
      <c r="AD22" s="1">
        <v>7.7</v>
      </c>
      <c r="AE22" s="2">
        <f t="shared" si="9"/>
        <v>0.2115489524904631</v>
      </c>
    </row>
    <row r="23" spans="1:31" s="2" customFormat="1" x14ac:dyDescent="0.2">
      <c r="A23" s="1" t="s">
        <v>20</v>
      </c>
      <c r="B23" s="3">
        <v>20</v>
      </c>
      <c r="C23" s="1">
        <v>7.7</v>
      </c>
      <c r="D23" s="3">
        <v>0.18</v>
      </c>
      <c r="E23" s="3">
        <v>301.79000000000002</v>
      </c>
      <c r="F23" s="3">
        <v>54.197500000000005</v>
      </c>
      <c r="G23" s="3">
        <v>254.76599999999999</v>
      </c>
      <c r="H23" s="3">
        <v>232.58</v>
      </c>
      <c r="I23" s="3">
        <v>369.90699999999998</v>
      </c>
      <c r="J23" s="3">
        <v>330.04199999999997</v>
      </c>
      <c r="K23" s="3">
        <v>261.73</v>
      </c>
      <c r="L23" s="3">
        <v>254.93100000000001</v>
      </c>
      <c r="N23" s="2">
        <f t="shared" si="0"/>
        <v>1703.9559999999999</v>
      </c>
      <c r="O23" s="2">
        <f t="shared" si="1"/>
        <v>254.76599999999999</v>
      </c>
      <c r="P23" s="2">
        <f t="shared" si="2"/>
        <v>369.90699999999998</v>
      </c>
      <c r="Q23" s="2">
        <f t="shared" si="3"/>
        <v>261.73</v>
      </c>
      <c r="R23" s="2">
        <f t="shared" si="4"/>
        <v>0.91291616620742178</v>
      </c>
      <c r="S23" s="2">
        <f t="shared" si="5"/>
        <v>0.89222966853830821</v>
      </c>
      <c r="T23" s="2">
        <f t="shared" si="6"/>
        <v>0.97402284797310201</v>
      </c>
      <c r="V23" s="3">
        <v>301.79000000000002</v>
      </c>
      <c r="W23" s="1">
        <f t="shared" si="7"/>
        <v>369.90699999999998</v>
      </c>
      <c r="Z23" s="2">
        <f t="shared" si="11"/>
        <v>369.90699999999998</v>
      </c>
      <c r="AD23" s="1">
        <v>7.7</v>
      </c>
      <c r="AE23" s="2">
        <f t="shared" si="9"/>
        <v>3.215718222718039</v>
      </c>
    </row>
    <row r="24" spans="1:31" s="2" customFormat="1" x14ac:dyDescent="0.2">
      <c r="A24" s="1" t="s">
        <v>20</v>
      </c>
      <c r="B24" s="3">
        <v>20</v>
      </c>
      <c r="C24" s="1">
        <v>7.7</v>
      </c>
      <c r="D24" s="3">
        <v>0.18</v>
      </c>
      <c r="E24" s="3">
        <v>292.54000000000002</v>
      </c>
      <c r="F24" s="3">
        <v>51.885000000000005</v>
      </c>
      <c r="G24" s="3">
        <v>174.43899999999999</v>
      </c>
      <c r="H24" s="3">
        <v>178.33500000000001</v>
      </c>
      <c r="I24" s="3">
        <v>181.68799999999999</v>
      </c>
      <c r="J24" s="3">
        <v>188.929</v>
      </c>
      <c r="K24" s="3">
        <v>199.93100000000001</v>
      </c>
      <c r="L24" s="3">
        <v>196.636</v>
      </c>
      <c r="N24" s="2">
        <f t="shared" si="0"/>
        <v>1119.9580000000001</v>
      </c>
      <c r="O24" s="2">
        <f t="shared" si="1"/>
        <v>178.33500000000001</v>
      </c>
      <c r="P24" s="2">
        <f t="shared" si="2"/>
        <v>188.929</v>
      </c>
      <c r="Q24" s="2">
        <f t="shared" si="3"/>
        <v>199.93100000000001</v>
      </c>
      <c r="R24" s="2">
        <f t="shared" si="4"/>
        <v>0.97815347520116624</v>
      </c>
      <c r="S24" s="2">
        <f t="shared" si="5"/>
        <v>0.96167343287690077</v>
      </c>
      <c r="T24" s="2">
        <f t="shared" si="6"/>
        <v>0.98351931416338634</v>
      </c>
      <c r="V24" s="3">
        <v>292.54000000000002</v>
      </c>
      <c r="W24" s="1">
        <f t="shared" si="7"/>
        <v>188.929</v>
      </c>
      <c r="Z24" s="2">
        <f t="shared" si="11"/>
        <v>188.929</v>
      </c>
      <c r="AD24" s="1">
        <v>7.7</v>
      </c>
      <c r="AE24" s="2">
        <f t="shared" si="9"/>
        <v>0.18026001818582466</v>
      </c>
    </row>
    <row r="25" spans="1:31" s="2" customFormat="1" x14ac:dyDescent="0.2">
      <c r="A25" s="1" t="s">
        <v>20</v>
      </c>
      <c r="B25" s="3">
        <v>20</v>
      </c>
      <c r="C25" s="1">
        <v>7.7</v>
      </c>
      <c r="D25" s="3">
        <v>0.18</v>
      </c>
      <c r="E25" s="3">
        <v>376.17</v>
      </c>
      <c r="F25" s="3">
        <v>72.792500000000004</v>
      </c>
      <c r="G25" s="3">
        <v>291.387</v>
      </c>
      <c r="H25" s="3">
        <v>296.00799999999998</v>
      </c>
      <c r="I25" s="3">
        <v>237.363</v>
      </c>
      <c r="J25" s="3">
        <v>221.35300000000001</v>
      </c>
      <c r="K25" s="3">
        <v>168.33799999999999</v>
      </c>
      <c r="L25" s="3">
        <v>216.39099999999999</v>
      </c>
      <c r="N25" s="2">
        <f t="shared" si="0"/>
        <v>1430.8400000000001</v>
      </c>
      <c r="O25" s="2">
        <f t="shared" si="1"/>
        <v>296.00799999999998</v>
      </c>
      <c r="P25" s="2">
        <f t="shared" si="2"/>
        <v>237.363</v>
      </c>
      <c r="Q25" s="2">
        <f t="shared" si="3"/>
        <v>216.39099999999999</v>
      </c>
      <c r="R25" s="2">
        <f t="shared" si="4"/>
        <v>0.98438893543417749</v>
      </c>
      <c r="S25" s="2">
        <f t="shared" si="5"/>
        <v>0.9325505660107094</v>
      </c>
      <c r="T25" s="2">
        <f t="shared" si="6"/>
        <v>0.77793438728967468</v>
      </c>
      <c r="V25" s="3">
        <v>376.17</v>
      </c>
      <c r="W25" s="1">
        <f t="shared" si="7"/>
        <v>237.363</v>
      </c>
      <c r="Z25" s="2">
        <f t="shared" si="11"/>
        <v>237.363</v>
      </c>
      <c r="AD25" s="1">
        <v>7.7</v>
      </c>
      <c r="AE25" s="2">
        <f t="shared" si="9"/>
        <v>0.79310361004295404</v>
      </c>
    </row>
    <row r="26" spans="1:31" s="2" customFormat="1" x14ac:dyDescent="0.2">
      <c r="A26" s="1" t="s">
        <v>20</v>
      </c>
      <c r="B26" s="3">
        <v>20</v>
      </c>
      <c r="C26" s="1">
        <v>7.7</v>
      </c>
      <c r="D26" s="3">
        <v>0.18</v>
      </c>
      <c r="E26" s="3">
        <v>339.27</v>
      </c>
      <c r="F26" s="3">
        <v>63.567499999999995</v>
      </c>
      <c r="G26" s="3">
        <v>278.37700000000001</v>
      </c>
      <c r="H26" s="3">
        <v>288.83</v>
      </c>
      <c r="I26" s="3">
        <v>303.69400000000002</v>
      </c>
      <c r="J26" s="3">
        <v>222.07900000000001</v>
      </c>
      <c r="K26" s="3">
        <v>141.12299999999999</v>
      </c>
      <c r="L26" s="3">
        <v>117.85899999999999</v>
      </c>
      <c r="N26" s="2">
        <f t="shared" si="0"/>
        <v>1351.962</v>
      </c>
      <c r="O26" s="2">
        <f t="shared" si="1"/>
        <v>288.83</v>
      </c>
      <c r="P26" s="2">
        <f t="shared" si="2"/>
        <v>303.69400000000002</v>
      </c>
      <c r="Q26" s="2">
        <f t="shared" si="3"/>
        <v>141.12299999999999</v>
      </c>
      <c r="R26" s="2">
        <f t="shared" si="4"/>
        <v>0.96380916109822401</v>
      </c>
      <c r="S26" s="2">
        <f t="shared" si="5"/>
        <v>0.73125909632722408</v>
      </c>
      <c r="T26" s="2">
        <f t="shared" si="6"/>
        <v>0.83515089673547194</v>
      </c>
      <c r="V26" s="3">
        <v>339.27</v>
      </c>
      <c r="W26" s="1">
        <f t="shared" si="7"/>
        <v>303.69400000000002</v>
      </c>
      <c r="Z26" s="2">
        <f t="shared" si="11"/>
        <v>303.69400000000002</v>
      </c>
      <c r="AD26" s="1">
        <v>7.7</v>
      </c>
      <c r="AE26" s="2">
        <f t="shared" si="9"/>
        <v>1.8707987218231539</v>
      </c>
    </row>
    <row r="27" spans="1:31" s="2" customFormat="1" x14ac:dyDescent="0.2">
      <c r="A27" s="1" t="s">
        <v>20</v>
      </c>
      <c r="B27" s="3">
        <v>20</v>
      </c>
      <c r="C27" s="1">
        <v>7.7</v>
      </c>
      <c r="D27" s="3">
        <v>0.18</v>
      </c>
      <c r="E27" s="3">
        <v>394.45</v>
      </c>
      <c r="F27" s="3">
        <v>77.362499999999997</v>
      </c>
      <c r="G27" s="3">
        <v>309.55399999999997</v>
      </c>
      <c r="H27" s="3">
        <v>306.86700000000002</v>
      </c>
      <c r="I27" s="3">
        <v>240.61099999999999</v>
      </c>
      <c r="J27" s="3">
        <v>256.23599999999999</v>
      </c>
      <c r="K27" s="3">
        <v>235.964</v>
      </c>
      <c r="L27" s="3">
        <v>240.292</v>
      </c>
      <c r="N27" s="2">
        <f t="shared" si="0"/>
        <v>1589.5239999999999</v>
      </c>
      <c r="O27" s="2">
        <f t="shared" si="1"/>
        <v>309.55399999999997</v>
      </c>
      <c r="P27" s="2">
        <f t="shared" si="2"/>
        <v>256.23599999999999</v>
      </c>
      <c r="Q27" s="2">
        <f t="shared" si="3"/>
        <v>240.292</v>
      </c>
      <c r="R27" s="2">
        <f t="shared" si="4"/>
        <v>0.99131976973322922</v>
      </c>
      <c r="S27" s="2">
        <f t="shared" si="5"/>
        <v>0.93902105871150032</v>
      </c>
      <c r="T27" s="2">
        <f t="shared" si="6"/>
        <v>0.98198858056031824</v>
      </c>
      <c r="V27" s="3">
        <v>394.45</v>
      </c>
      <c r="W27" s="1">
        <f t="shared" si="7"/>
        <v>256.23599999999999</v>
      </c>
      <c r="Z27" s="2">
        <f t="shared" si="11"/>
        <v>256.23599999999999</v>
      </c>
      <c r="AD27" s="1">
        <v>7.7</v>
      </c>
      <c r="AE27" s="2">
        <f t="shared" si="9"/>
        <v>0.99897744490814089</v>
      </c>
    </row>
    <row r="28" spans="1:31" s="2" customFormat="1" x14ac:dyDescent="0.2">
      <c r="A28" s="1" t="s">
        <v>20</v>
      </c>
      <c r="B28" s="3">
        <v>20</v>
      </c>
      <c r="C28" s="1">
        <v>7.7</v>
      </c>
      <c r="D28" s="3">
        <v>0.18</v>
      </c>
      <c r="E28" s="3">
        <v>381.53</v>
      </c>
      <c r="F28" s="3">
        <v>74.132499999999993</v>
      </c>
      <c r="G28" s="3">
        <v>294.51499999999999</v>
      </c>
      <c r="H28" s="3">
        <v>292.52499999999998</v>
      </c>
      <c r="I28" s="3">
        <v>222.28100000000001</v>
      </c>
      <c r="J28" s="3">
        <v>263.05900000000003</v>
      </c>
      <c r="K28" s="3">
        <v>145.92500000000001</v>
      </c>
      <c r="L28" s="3">
        <v>90.043999999999997</v>
      </c>
      <c r="N28" s="2">
        <f t="shared" si="0"/>
        <v>1308.3489999999999</v>
      </c>
      <c r="O28" s="2">
        <f t="shared" si="1"/>
        <v>294.51499999999999</v>
      </c>
      <c r="P28" s="2">
        <f t="shared" si="2"/>
        <v>263.05900000000003</v>
      </c>
      <c r="Q28" s="2">
        <f t="shared" si="3"/>
        <v>145.92500000000001</v>
      </c>
      <c r="R28" s="2">
        <f t="shared" si="4"/>
        <v>0.99324312853335139</v>
      </c>
      <c r="S28" s="2">
        <f t="shared" si="5"/>
        <v>0.8449853454928361</v>
      </c>
      <c r="T28" s="2">
        <f t="shared" si="6"/>
        <v>0.61705670721260919</v>
      </c>
      <c r="V28" s="3">
        <v>381.53</v>
      </c>
      <c r="W28" s="1">
        <f t="shared" si="7"/>
        <v>263.05900000000003</v>
      </c>
      <c r="Z28" s="2">
        <f t="shared" si="11"/>
        <v>263.05900000000003</v>
      </c>
      <c r="AD28" s="1">
        <v>7.7</v>
      </c>
      <c r="AE28" s="2">
        <f t="shared" si="9"/>
        <v>1.1234923718311709</v>
      </c>
    </row>
    <row r="29" spans="1:31" s="2" customFormat="1" x14ac:dyDescent="0.2">
      <c r="A29" s="1" t="s">
        <v>20</v>
      </c>
      <c r="B29" s="3">
        <v>20</v>
      </c>
      <c r="C29" s="1">
        <v>7.45</v>
      </c>
      <c r="D29" s="3">
        <v>0.18</v>
      </c>
      <c r="E29" s="3">
        <v>385.86</v>
      </c>
      <c r="F29" s="3">
        <v>75.215000000000003</v>
      </c>
      <c r="G29" s="3">
        <v>307.774</v>
      </c>
      <c r="H29" s="3">
        <v>303.43799999999999</v>
      </c>
      <c r="I29" s="3">
        <v>212.71299999999999</v>
      </c>
      <c r="J29" s="3">
        <v>208.74199999999999</v>
      </c>
      <c r="K29" s="3">
        <v>180.791</v>
      </c>
      <c r="L29" s="3">
        <v>197.18299999999999</v>
      </c>
      <c r="N29" s="2">
        <f t="shared" si="0"/>
        <v>1410.6409999999998</v>
      </c>
      <c r="O29" s="2">
        <f t="shared" si="1"/>
        <v>307.774</v>
      </c>
      <c r="P29" s="2">
        <f t="shared" si="2"/>
        <v>212.71299999999999</v>
      </c>
      <c r="Q29" s="2">
        <f t="shared" si="3"/>
        <v>197.18299999999999</v>
      </c>
      <c r="R29" s="2">
        <f t="shared" si="4"/>
        <v>0.98591174043291507</v>
      </c>
      <c r="S29" s="2">
        <f t="shared" si="5"/>
        <v>0.98133165344854334</v>
      </c>
      <c r="T29" s="2">
        <f t="shared" si="6"/>
        <v>0.91686910129169352</v>
      </c>
      <c r="V29" s="3">
        <v>385.86</v>
      </c>
      <c r="W29" s="1">
        <f t="shared" si="7"/>
        <v>212.71299999999999</v>
      </c>
      <c r="AA29" s="2">
        <f>W29</f>
        <v>212.71299999999999</v>
      </c>
      <c r="AD29" s="1">
        <v>7.45</v>
      </c>
      <c r="AE29" s="2">
        <f t="shared" si="9"/>
        <v>0.44923491678292127</v>
      </c>
    </row>
    <row r="30" spans="1:31" s="2" customFormat="1" x14ac:dyDescent="0.2">
      <c r="A30" s="1" t="s">
        <v>20</v>
      </c>
      <c r="B30" s="3">
        <v>20</v>
      </c>
      <c r="C30" s="1">
        <v>7.45</v>
      </c>
      <c r="D30" s="3">
        <v>0.18</v>
      </c>
      <c r="E30" s="3">
        <v>346.83</v>
      </c>
      <c r="F30" s="3">
        <v>65.457499999999996</v>
      </c>
      <c r="G30" s="3">
        <v>262.79000000000002</v>
      </c>
      <c r="H30" s="3">
        <v>283.80399999999997</v>
      </c>
      <c r="I30" s="3">
        <v>78.572999999999993</v>
      </c>
      <c r="J30" s="3">
        <v>93.966999999999999</v>
      </c>
      <c r="K30" s="3">
        <v>101.492</v>
      </c>
      <c r="L30" s="3">
        <v>108.97499999999999</v>
      </c>
      <c r="N30" s="2">
        <f t="shared" si="0"/>
        <v>929.601</v>
      </c>
      <c r="O30" s="2">
        <f t="shared" si="1"/>
        <v>283.80399999999997</v>
      </c>
      <c r="P30" s="2">
        <f t="shared" si="2"/>
        <v>93.966999999999999</v>
      </c>
      <c r="Q30" s="2">
        <f t="shared" si="3"/>
        <v>108.97499999999999</v>
      </c>
      <c r="R30" s="2">
        <f t="shared" si="4"/>
        <v>0.92595594142436344</v>
      </c>
      <c r="S30" s="2">
        <f t="shared" si="5"/>
        <v>0.83617653005842474</v>
      </c>
      <c r="T30" s="2">
        <f t="shared" si="6"/>
        <v>0.93133287451250291</v>
      </c>
      <c r="V30" s="3">
        <v>346.83</v>
      </c>
      <c r="W30" s="1">
        <f t="shared" si="7"/>
        <v>93.966999999999999</v>
      </c>
      <c r="AA30" s="2">
        <f t="shared" ref="AA30:AA38" si="12">W30</f>
        <v>93.966999999999999</v>
      </c>
      <c r="AD30" s="1">
        <v>7.45</v>
      </c>
      <c r="AE30" s="2">
        <f t="shared" si="9"/>
        <v>-1.2363937906693478</v>
      </c>
    </row>
    <row r="31" spans="1:31" s="2" customFormat="1" x14ac:dyDescent="0.2">
      <c r="A31" s="1" t="s">
        <v>20</v>
      </c>
      <c r="B31" s="3">
        <v>20</v>
      </c>
      <c r="C31" s="1">
        <v>7.45</v>
      </c>
      <c r="D31" s="3">
        <v>0.18</v>
      </c>
      <c r="E31" s="3">
        <v>378.21</v>
      </c>
      <c r="F31" s="3">
        <v>73.302499999999995</v>
      </c>
      <c r="G31" s="3">
        <v>267.43700000000001</v>
      </c>
      <c r="H31" s="3">
        <v>311.57499999999999</v>
      </c>
      <c r="I31" s="3">
        <v>161.011</v>
      </c>
      <c r="J31" s="3">
        <v>184.12899999999999</v>
      </c>
      <c r="K31" s="3">
        <v>148.15899999999999</v>
      </c>
      <c r="L31" s="3">
        <v>177.25</v>
      </c>
      <c r="N31" s="2">
        <f t="shared" si="0"/>
        <v>1249.5609999999999</v>
      </c>
      <c r="O31" s="2">
        <f t="shared" si="1"/>
        <v>311.57499999999999</v>
      </c>
      <c r="P31" s="2">
        <f t="shared" si="2"/>
        <v>184.12899999999999</v>
      </c>
      <c r="Q31" s="2">
        <f t="shared" si="3"/>
        <v>177.25</v>
      </c>
      <c r="R31" s="2">
        <f t="shared" si="4"/>
        <v>0.85833908368771572</v>
      </c>
      <c r="S31" s="2">
        <f t="shared" si="5"/>
        <v>0.87444671941953744</v>
      </c>
      <c r="T31" s="2">
        <f t="shared" si="6"/>
        <v>0.83587588152327219</v>
      </c>
      <c r="V31" s="3">
        <v>378.21</v>
      </c>
      <c r="W31" s="1">
        <f t="shared" si="7"/>
        <v>184.12899999999999</v>
      </c>
      <c r="AA31" s="2">
        <f t="shared" si="12"/>
        <v>184.12899999999999</v>
      </c>
      <c r="AD31" s="1">
        <v>7.45</v>
      </c>
      <c r="AE31" s="2">
        <f t="shared" si="9"/>
        <v>7.5070714494608906E-2</v>
      </c>
    </row>
    <row r="32" spans="1:31" s="2" customFormat="1" x14ac:dyDescent="0.2">
      <c r="A32" s="1" t="s">
        <v>20</v>
      </c>
      <c r="B32" s="3">
        <v>20</v>
      </c>
      <c r="C32" s="1">
        <v>7.45</v>
      </c>
      <c r="D32" s="3">
        <v>0.18</v>
      </c>
      <c r="E32" s="3">
        <v>306.06</v>
      </c>
      <c r="F32" s="3">
        <v>55.265000000000001</v>
      </c>
      <c r="G32" s="3">
        <v>238.83099999999999</v>
      </c>
      <c r="H32" s="3">
        <v>238.55500000000001</v>
      </c>
      <c r="I32" s="3">
        <v>54.889000000000003</v>
      </c>
      <c r="J32" s="3">
        <v>71.248000000000005</v>
      </c>
      <c r="K32" s="3">
        <v>98.834999999999994</v>
      </c>
      <c r="L32" s="3">
        <v>82.125</v>
      </c>
      <c r="N32" s="2">
        <f t="shared" si="0"/>
        <v>784.48300000000006</v>
      </c>
      <c r="O32" s="2">
        <f t="shared" si="1"/>
        <v>238.83099999999999</v>
      </c>
      <c r="P32" s="2">
        <f t="shared" si="2"/>
        <v>71.248000000000005</v>
      </c>
      <c r="Q32" s="2">
        <f t="shared" si="3"/>
        <v>98.834999999999994</v>
      </c>
      <c r="R32" s="2">
        <f t="shared" si="4"/>
        <v>0.99884437112435165</v>
      </c>
      <c r="S32" s="2">
        <f t="shared" si="5"/>
        <v>0.77039355490680439</v>
      </c>
      <c r="T32" s="2">
        <f t="shared" si="6"/>
        <v>0.83093033844285935</v>
      </c>
      <c r="V32" s="3">
        <v>306.06</v>
      </c>
      <c r="W32" s="1">
        <f t="shared" si="7"/>
        <v>71.248000000000005</v>
      </c>
      <c r="AA32" s="2">
        <f t="shared" si="12"/>
        <v>71.248000000000005</v>
      </c>
      <c r="AD32" s="1">
        <v>7.45</v>
      </c>
      <c r="AE32" s="2">
        <f t="shared" si="9"/>
        <v>-1.7775154190954618</v>
      </c>
    </row>
    <row r="33" spans="1:31" s="2" customFormat="1" x14ac:dyDescent="0.2">
      <c r="A33" s="1" t="s">
        <v>20</v>
      </c>
      <c r="B33" s="3">
        <v>20</v>
      </c>
      <c r="C33" s="1">
        <v>7.45</v>
      </c>
      <c r="D33" s="3">
        <v>0.18</v>
      </c>
      <c r="E33" s="3">
        <v>302.5</v>
      </c>
      <c r="F33" s="3">
        <v>54.375</v>
      </c>
      <c r="G33" s="3">
        <v>219.31</v>
      </c>
      <c r="H33" s="3">
        <v>224.928</v>
      </c>
      <c r="I33" s="3">
        <v>127.18899999999999</v>
      </c>
      <c r="J33" s="3">
        <v>139.208</v>
      </c>
      <c r="K33" s="3">
        <v>105.042</v>
      </c>
      <c r="L33" s="3">
        <v>129.00299999999999</v>
      </c>
      <c r="N33" s="2">
        <f t="shared" si="0"/>
        <v>944.68000000000006</v>
      </c>
      <c r="O33" s="2">
        <f t="shared" si="1"/>
        <v>224.928</v>
      </c>
      <c r="P33" s="2">
        <f t="shared" si="2"/>
        <v>139.208</v>
      </c>
      <c r="Q33" s="2">
        <f t="shared" si="3"/>
        <v>129.00299999999999</v>
      </c>
      <c r="R33" s="2">
        <f t="shared" si="4"/>
        <v>0.975023118509034</v>
      </c>
      <c r="S33" s="2">
        <f t="shared" si="5"/>
        <v>0.91366157117407043</v>
      </c>
      <c r="T33" s="2">
        <f t="shared" si="6"/>
        <v>0.81426013348526793</v>
      </c>
      <c r="V33" s="3">
        <v>302.5</v>
      </c>
      <c r="W33" s="1">
        <f t="shared" si="7"/>
        <v>139.208</v>
      </c>
      <c r="AA33" s="2">
        <f t="shared" si="12"/>
        <v>139.208</v>
      </c>
      <c r="AD33" s="1">
        <v>7.45</v>
      </c>
      <c r="AE33" s="2">
        <f t="shared" si="9"/>
        <v>-0.65917891807620743</v>
      </c>
    </row>
    <row r="34" spans="1:31" s="2" customFormat="1" x14ac:dyDescent="0.2">
      <c r="A34" s="1" t="s">
        <v>20</v>
      </c>
      <c r="B34" s="3">
        <v>20</v>
      </c>
      <c r="C34" s="1">
        <v>7.45</v>
      </c>
      <c r="D34" s="3">
        <v>0.18</v>
      </c>
      <c r="E34" s="3">
        <v>350.88</v>
      </c>
      <c r="F34" s="3">
        <v>66.47</v>
      </c>
      <c r="G34" s="3">
        <v>237.489</v>
      </c>
      <c r="H34" s="3">
        <v>239.50200000000001</v>
      </c>
      <c r="I34" s="3">
        <v>135.113</v>
      </c>
      <c r="J34" s="3">
        <v>142.25700000000001</v>
      </c>
      <c r="K34" s="3">
        <v>131.87700000000001</v>
      </c>
      <c r="L34" s="3">
        <v>137.59299999999999</v>
      </c>
      <c r="N34" s="2">
        <f t="shared" si="0"/>
        <v>1023.831</v>
      </c>
      <c r="O34" s="2">
        <f t="shared" si="1"/>
        <v>239.50200000000001</v>
      </c>
      <c r="P34" s="2">
        <f t="shared" si="2"/>
        <v>142.25700000000001</v>
      </c>
      <c r="Q34" s="2">
        <f t="shared" si="3"/>
        <v>137.59299999999999</v>
      </c>
      <c r="R34" s="2">
        <f t="shared" si="4"/>
        <v>0.9915950597489791</v>
      </c>
      <c r="S34" s="2">
        <f t="shared" si="5"/>
        <v>0.94978103010748149</v>
      </c>
      <c r="T34" s="2">
        <f t="shared" si="6"/>
        <v>0.95845718895583365</v>
      </c>
      <c r="V34" s="3">
        <v>350.88</v>
      </c>
      <c r="W34" s="1">
        <f t="shared" si="7"/>
        <v>142.25700000000001</v>
      </c>
      <c r="AA34" s="2">
        <f t="shared" si="12"/>
        <v>142.25700000000001</v>
      </c>
      <c r="AD34" s="1">
        <v>7.45</v>
      </c>
      <c r="AE34" s="2">
        <f t="shared" si="9"/>
        <v>-0.52422526867249564</v>
      </c>
    </row>
    <row r="35" spans="1:31" s="2" customFormat="1" x14ac:dyDescent="0.2">
      <c r="A35" s="1" t="s">
        <v>20</v>
      </c>
      <c r="B35" s="3">
        <v>20</v>
      </c>
      <c r="C35" s="1">
        <v>7.45</v>
      </c>
      <c r="D35" s="3">
        <v>0.18</v>
      </c>
      <c r="E35" s="3">
        <v>300.23</v>
      </c>
      <c r="F35" s="3">
        <v>53.807500000000005</v>
      </c>
      <c r="G35" s="3">
        <v>212.15199999999999</v>
      </c>
      <c r="H35" s="3">
        <v>228.18799999999999</v>
      </c>
      <c r="I35" s="3">
        <v>70.950999999999993</v>
      </c>
      <c r="J35" s="3">
        <v>84.066999999999993</v>
      </c>
      <c r="K35" s="3">
        <v>90.197999999999993</v>
      </c>
      <c r="L35" s="3">
        <v>87.176000000000002</v>
      </c>
      <c r="N35" s="2">
        <f t="shared" si="0"/>
        <v>772.73199999999997</v>
      </c>
      <c r="O35" s="2">
        <f t="shared" si="1"/>
        <v>228.18799999999999</v>
      </c>
      <c r="P35" s="2">
        <f t="shared" si="2"/>
        <v>84.066999999999993</v>
      </c>
      <c r="Q35" s="2">
        <f t="shared" si="3"/>
        <v>90.197999999999993</v>
      </c>
      <c r="R35" s="2">
        <f t="shared" si="4"/>
        <v>0.92972461303837184</v>
      </c>
      <c r="S35" s="2">
        <f t="shared" si="5"/>
        <v>0.84398158611583618</v>
      </c>
      <c r="T35" s="2">
        <f t="shared" si="6"/>
        <v>0.9664959311736403</v>
      </c>
      <c r="V35" s="3">
        <v>300.23</v>
      </c>
      <c r="W35" s="1">
        <f t="shared" si="7"/>
        <v>84.066999999999993</v>
      </c>
      <c r="AA35" s="2">
        <f t="shared" si="12"/>
        <v>84.066999999999993</v>
      </c>
      <c r="AD35" s="1">
        <v>7.45</v>
      </c>
      <c r="AE35" s="2">
        <f t="shared" si="9"/>
        <v>-1.5955144328496227</v>
      </c>
    </row>
    <row r="36" spans="1:31" s="2" customFormat="1" x14ac:dyDescent="0.2">
      <c r="A36" s="1" t="s">
        <v>20</v>
      </c>
      <c r="B36" s="3">
        <v>20</v>
      </c>
      <c r="C36" s="1">
        <v>7.45</v>
      </c>
      <c r="D36" s="3">
        <v>0.18</v>
      </c>
      <c r="E36" s="3">
        <v>320.39999999999998</v>
      </c>
      <c r="F36" s="3">
        <v>58.849999999999994</v>
      </c>
      <c r="G36" s="3">
        <v>211.202</v>
      </c>
      <c r="H36" s="3">
        <v>194.11099999999999</v>
      </c>
      <c r="I36" s="3">
        <v>122.80800000000001</v>
      </c>
      <c r="J36" s="3">
        <v>130.77199999999999</v>
      </c>
      <c r="K36" s="3">
        <v>154.9</v>
      </c>
      <c r="L36" s="3">
        <v>121.934</v>
      </c>
      <c r="N36" s="2">
        <f t="shared" si="0"/>
        <v>935.72699999999998</v>
      </c>
      <c r="O36" s="2">
        <f t="shared" si="1"/>
        <v>211.202</v>
      </c>
      <c r="P36" s="2">
        <f t="shared" si="2"/>
        <v>130.77199999999999</v>
      </c>
      <c r="Q36" s="2">
        <f t="shared" si="3"/>
        <v>154.9</v>
      </c>
      <c r="R36" s="2">
        <f t="shared" si="4"/>
        <v>0.91907747085728353</v>
      </c>
      <c r="S36" s="2">
        <f t="shared" si="5"/>
        <v>0.93910011317407405</v>
      </c>
      <c r="T36" s="2">
        <f t="shared" si="6"/>
        <v>0.7871788250484183</v>
      </c>
      <c r="V36" s="3">
        <v>320.39999999999998</v>
      </c>
      <c r="W36" s="1">
        <f t="shared" si="7"/>
        <v>130.77199999999999</v>
      </c>
      <c r="AA36" s="2">
        <f t="shared" si="12"/>
        <v>130.77199999999999</v>
      </c>
      <c r="AD36" s="1">
        <v>7.45</v>
      </c>
      <c r="AE36" s="2">
        <f t="shared" si="9"/>
        <v>-0.75586931143373037</v>
      </c>
    </row>
    <row r="37" spans="1:31" s="2" customFormat="1" x14ac:dyDescent="0.2">
      <c r="A37" s="1" t="s">
        <v>20</v>
      </c>
      <c r="B37" s="3">
        <v>20</v>
      </c>
      <c r="C37" s="1">
        <v>7.45</v>
      </c>
      <c r="D37" s="3">
        <v>0.18</v>
      </c>
      <c r="E37" s="3">
        <v>316</v>
      </c>
      <c r="F37" s="3">
        <v>57.75</v>
      </c>
      <c r="G37" s="3">
        <v>222.36</v>
      </c>
      <c r="H37" s="3">
        <v>224.434</v>
      </c>
      <c r="I37" s="3">
        <v>107.967</v>
      </c>
      <c r="J37" s="3">
        <v>125.565</v>
      </c>
      <c r="K37" s="3">
        <v>116.86799999999999</v>
      </c>
      <c r="L37" s="3">
        <v>99.79</v>
      </c>
      <c r="N37" s="2">
        <f t="shared" si="0"/>
        <v>896.98399999999992</v>
      </c>
      <c r="O37" s="2">
        <f t="shared" si="1"/>
        <v>224.434</v>
      </c>
      <c r="P37" s="2">
        <f t="shared" si="2"/>
        <v>125.565</v>
      </c>
      <c r="Q37" s="2">
        <f t="shared" si="3"/>
        <v>116.86799999999999</v>
      </c>
      <c r="R37" s="2">
        <f t="shared" si="4"/>
        <v>0.99075897591274054</v>
      </c>
      <c r="S37" s="2">
        <f t="shared" si="5"/>
        <v>0.85984948034882336</v>
      </c>
      <c r="T37" s="2">
        <f t="shared" si="6"/>
        <v>0.85386932265461901</v>
      </c>
      <c r="V37" s="3">
        <v>316</v>
      </c>
      <c r="W37" s="1">
        <f t="shared" si="7"/>
        <v>125.565</v>
      </c>
      <c r="AA37" s="2">
        <f t="shared" si="12"/>
        <v>125.565</v>
      </c>
      <c r="AD37" s="1">
        <v>7.45</v>
      </c>
      <c r="AE37" s="2">
        <f t="shared" si="9"/>
        <v>-0.84995314144863543</v>
      </c>
    </row>
    <row r="38" spans="1:31" s="2" customFormat="1" x14ac:dyDescent="0.2">
      <c r="A38" s="1" t="s">
        <v>20</v>
      </c>
      <c r="B38" s="3">
        <v>20</v>
      </c>
      <c r="C38" s="1">
        <v>7.45</v>
      </c>
      <c r="D38" s="3">
        <v>0.18</v>
      </c>
      <c r="E38" s="3">
        <v>369.94</v>
      </c>
      <c r="F38" s="3">
        <v>71.234999999999999</v>
      </c>
      <c r="G38" s="3">
        <v>271.13600000000002</v>
      </c>
      <c r="H38" s="3">
        <v>267.06700000000001</v>
      </c>
      <c r="I38" s="3">
        <v>151.71</v>
      </c>
      <c r="J38" s="3">
        <v>234.834</v>
      </c>
      <c r="K38" s="3">
        <v>192.607</v>
      </c>
      <c r="L38" s="3">
        <v>187.423</v>
      </c>
      <c r="N38" s="2">
        <f t="shared" si="0"/>
        <v>1304.777</v>
      </c>
      <c r="O38" s="2">
        <f t="shared" si="1"/>
        <v>271.13600000000002</v>
      </c>
      <c r="P38" s="2">
        <f t="shared" si="2"/>
        <v>234.834</v>
      </c>
      <c r="Q38" s="2">
        <f t="shared" si="3"/>
        <v>192.607</v>
      </c>
      <c r="R38" s="2">
        <f t="shared" si="4"/>
        <v>0.98499277115543482</v>
      </c>
      <c r="S38" s="2">
        <f t="shared" si="5"/>
        <v>0.64603081325532086</v>
      </c>
      <c r="T38" s="2">
        <f t="shared" si="6"/>
        <v>0.9730850903653554</v>
      </c>
      <c r="V38" s="3">
        <v>369.94</v>
      </c>
      <c r="W38" s="1">
        <f t="shared" si="7"/>
        <v>234.834</v>
      </c>
      <c r="AA38" s="2">
        <f t="shared" si="12"/>
        <v>234.834</v>
      </c>
      <c r="AD38" s="1">
        <v>7.45</v>
      </c>
      <c r="AE38" s="2">
        <f t="shared" si="9"/>
        <v>0.7717933756266161</v>
      </c>
    </row>
    <row r="39" spans="1:31" s="2" customFormat="1" x14ac:dyDescent="0.2">
      <c r="A39" s="1" t="s">
        <v>20</v>
      </c>
      <c r="B39" s="3">
        <v>20</v>
      </c>
      <c r="C39" s="1">
        <v>7.2</v>
      </c>
      <c r="D39" s="3">
        <v>0.18</v>
      </c>
      <c r="E39" s="3">
        <v>361.89</v>
      </c>
      <c r="F39" s="3">
        <v>69.222499999999997</v>
      </c>
      <c r="G39" s="3">
        <v>254.136</v>
      </c>
      <c r="H39" s="3">
        <v>265.86599999999999</v>
      </c>
      <c r="I39" s="3">
        <v>289.75900000000001</v>
      </c>
      <c r="J39" s="3">
        <v>201.63499999999999</v>
      </c>
      <c r="K39" s="3">
        <v>215.92599999999999</v>
      </c>
      <c r="L39" s="3">
        <v>166.43299999999999</v>
      </c>
      <c r="N39" s="2">
        <f t="shared" si="0"/>
        <v>1393.7549999999999</v>
      </c>
      <c r="O39" s="2">
        <f t="shared" si="1"/>
        <v>265.86599999999999</v>
      </c>
      <c r="P39" s="2">
        <f t="shared" si="2"/>
        <v>289.75900000000001</v>
      </c>
      <c r="Q39" s="2">
        <f t="shared" si="3"/>
        <v>215.92599999999999</v>
      </c>
      <c r="R39" s="2">
        <f t="shared" si="4"/>
        <v>0.95588002978944286</v>
      </c>
      <c r="S39" s="2">
        <f t="shared" si="5"/>
        <v>0.69587139657439456</v>
      </c>
      <c r="T39" s="2">
        <f t="shared" si="6"/>
        <v>0.77078721413817697</v>
      </c>
      <c r="V39" s="3">
        <v>361.89</v>
      </c>
      <c r="W39" s="1">
        <f t="shared" si="7"/>
        <v>289.75900000000001</v>
      </c>
      <c r="AB39" s="2">
        <f>W39</f>
        <v>289.75900000000001</v>
      </c>
      <c r="AD39" s="1">
        <v>7.2</v>
      </c>
      <c r="AE39" s="2">
        <f t="shared" si="9"/>
        <v>1.5585995251322267</v>
      </c>
    </row>
    <row r="40" spans="1:31" s="2" customFormat="1" x14ac:dyDescent="0.2">
      <c r="A40" s="1" t="s">
        <v>20</v>
      </c>
      <c r="B40" s="3">
        <v>20</v>
      </c>
      <c r="C40" s="1">
        <v>7.2</v>
      </c>
      <c r="D40" s="3">
        <v>0.18</v>
      </c>
      <c r="E40" s="3">
        <v>344.77</v>
      </c>
      <c r="F40" s="3">
        <v>64.942499999999995</v>
      </c>
      <c r="G40" s="3">
        <v>235.595</v>
      </c>
      <c r="H40" s="3">
        <v>241.46600000000001</v>
      </c>
      <c r="I40" s="3">
        <v>257.21300000000002</v>
      </c>
      <c r="J40" s="3">
        <v>238.684</v>
      </c>
      <c r="K40" s="3">
        <v>172.244</v>
      </c>
      <c r="L40" s="3">
        <v>170.78700000000001</v>
      </c>
      <c r="N40" s="2">
        <f t="shared" si="0"/>
        <v>1315.989</v>
      </c>
      <c r="O40" s="2">
        <f t="shared" si="1"/>
        <v>241.46600000000001</v>
      </c>
      <c r="P40" s="2">
        <f t="shared" si="2"/>
        <v>257.21300000000002</v>
      </c>
      <c r="Q40" s="2">
        <f t="shared" si="3"/>
        <v>172.244</v>
      </c>
      <c r="R40" s="2">
        <f t="shared" si="4"/>
        <v>0.97568601790728293</v>
      </c>
      <c r="S40" s="2">
        <f t="shared" si="5"/>
        <v>0.92796242802657714</v>
      </c>
      <c r="T40" s="2">
        <f t="shared" si="6"/>
        <v>0.9915410696453868</v>
      </c>
      <c r="V40" s="3">
        <v>344.77</v>
      </c>
      <c r="W40" s="1">
        <f t="shared" si="7"/>
        <v>257.21300000000002</v>
      </c>
      <c r="AB40" s="2">
        <f t="shared" ref="AB40:AB48" si="13">W40</f>
        <v>257.21300000000002</v>
      </c>
      <c r="AD40" s="1">
        <v>7.2</v>
      </c>
      <c r="AE40" s="2">
        <f t="shared" si="9"/>
        <v>1.1572962096434816</v>
      </c>
    </row>
    <row r="41" spans="1:31" s="2" customFormat="1" x14ac:dyDescent="0.2">
      <c r="A41" s="1" t="s">
        <v>20</v>
      </c>
      <c r="B41" s="3">
        <v>20</v>
      </c>
      <c r="C41" s="1">
        <v>7.2</v>
      </c>
      <c r="D41" s="3">
        <v>0.18</v>
      </c>
      <c r="E41" s="3">
        <v>334.85</v>
      </c>
      <c r="F41" s="3">
        <v>62.462500000000006</v>
      </c>
      <c r="G41" s="3">
        <v>261.82</v>
      </c>
      <c r="H41" s="3">
        <v>256.81299999999999</v>
      </c>
      <c r="I41" s="3">
        <v>246.565</v>
      </c>
      <c r="J41" s="3">
        <v>236.96600000000001</v>
      </c>
      <c r="K41" s="3">
        <v>153.172</v>
      </c>
      <c r="L41" s="3">
        <v>103.464</v>
      </c>
      <c r="N41" s="2">
        <f t="shared" si="0"/>
        <v>1258.8</v>
      </c>
      <c r="O41" s="2">
        <f t="shared" si="1"/>
        <v>261.82</v>
      </c>
      <c r="P41" s="2">
        <f t="shared" si="2"/>
        <v>246.565</v>
      </c>
      <c r="Q41" s="2">
        <f t="shared" si="3"/>
        <v>153.172</v>
      </c>
      <c r="R41" s="2">
        <f t="shared" si="4"/>
        <v>0.98087617447101061</v>
      </c>
      <c r="S41" s="2">
        <f t="shared" si="5"/>
        <v>0.96106908928680068</v>
      </c>
      <c r="T41" s="2">
        <f t="shared" si="6"/>
        <v>0.6754759355495783</v>
      </c>
      <c r="V41" s="3">
        <v>334.85</v>
      </c>
      <c r="W41" s="1">
        <f t="shared" si="7"/>
        <v>246.565</v>
      </c>
      <c r="AB41" s="2">
        <f t="shared" si="13"/>
        <v>246.565</v>
      </c>
      <c r="AD41" s="1">
        <v>7.2</v>
      </c>
      <c r="AE41" s="2">
        <f t="shared" si="9"/>
        <v>1.0303272241120345</v>
      </c>
    </row>
    <row r="42" spans="1:31" s="2" customFormat="1" x14ac:dyDescent="0.2">
      <c r="A42" s="1" t="s">
        <v>20</v>
      </c>
      <c r="B42" s="3">
        <v>20</v>
      </c>
      <c r="C42" s="1">
        <v>7.2</v>
      </c>
      <c r="D42" s="3">
        <v>0.18</v>
      </c>
      <c r="E42" s="3">
        <v>368.95</v>
      </c>
      <c r="F42" s="3">
        <v>70.987499999999997</v>
      </c>
      <c r="G42" s="3">
        <v>295.70400000000001</v>
      </c>
      <c r="H42" s="3">
        <v>306.39999999999998</v>
      </c>
      <c r="I42" s="3">
        <v>236.25200000000001</v>
      </c>
      <c r="J42" s="3">
        <v>244.69200000000001</v>
      </c>
      <c r="K42" s="3">
        <v>155.10599999999999</v>
      </c>
      <c r="L42" s="3">
        <v>158.63900000000001</v>
      </c>
      <c r="N42" s="2">
        <f t="shared" si="0"/>
        <v>1396.7930000000001</v>
      </c>
      <c r="O42" s="2">
        <f t="shared" si="1"/>
        <v>306.39999999999998</v>
      </c>
      <c r="P42" s="2">
        <f t="shared" si="2"/>
        <v>244.69200000000001</v>
      </c>
      <c r="Q42" s="2">
        <f t="shared" si="3"/>
        <v>158.63900000000001</v>
      </c>
      <c r="R42" s="2">
        <f t="shared" si="4"/>
        <v>0.96509138381201054</v>
      </c>
      <c r="S42" s="2">
        <f t="shared" si="5"/>
        <v>0.96550765860755561</v>
      </c>
      <c r="T42" s="2">
        <f t="shared" si="6"/>
        <v>0.97772930994270002</v>
      </c>
      <c r="V42" s="3">
        <v>368.95</v>
      </c>
      <c r="W42" s="1">
        <f t="shared" si="7"/>
        <v>244.69200000000001</v>
      </c>
      <c r="AB42" s="2">
        <f t="shared" si="13"/>
        <v>244.69200000000001</v>
      </c>
      <c r="AD42" s="1">
        <v>7.2</v>
      </c>
      <c r="AE42" s="2">
        <f t="shared" si="9"/>
        <v>0.90935655072904409</v>
      </c>
    </row>
    <row r="43" spans="1:31" s="2" customFormat="1" x14ac:dyDescent="0.2">
      <c r="A43" s="1" t="s">
        <v>20</v>
      </c>
      <c r="B43" s="3">
        <v>20</v>
      </c>
      <c r="C43" s="1">
        <v>7.2</v>
      </c>
      <c r="D43" s="3">
        <v>0.18</v>
      </c>
      <c r="E43" s="3">
        <v>292.37</v>
      </c>
      <c r="F43" s="3">
        <v>51.842500000000001</v>
      </c>
      <c r="G43" s="3">
        <v>234.435</v>
      </c>
      <c r="H43" s="3">
        <v>208.221</v>
      </c>
      <c r="I43" s="3">
        <v>257.20800000000003</v>
      </c>
      <c r="J43" s="3">
        <v>227.18799999999999</v>
      </c>
      <c r="K43" s="3">
        <v>162.32300000000001</v>
      </c>
      <c r="L43" s="3">
        <v>141.56</v>
      </c>
      <c r="N43" s="2">
        <f t="shared" si="0"/>
        <v>1230.9349999999999</v>
      </c>
      <c r="O43" s="2">
        <f t="shared" si="1"/>
        <v>234.435</v>
      </c>
      <c r="P43" s="2">
        <f t="shared" si="2"/>
        <v>257.20800000000003</v>
      </c>
      <c r="Q43" s="2">
        <f t="shared" si="3"/>
        <v>162.32300000000001</v>
      </c>
      <c r="R43" s="2">
        <f t="shared" si="4"/>
        <v>0.88818222535031033</v>
      </c>
      <c r="S43" s="2">
        <f t="shared" si="5"/>
        <v>0.8832851233243133</v>
      </c>
      <c r="T43" s="2">
        <f t="shared" si="6"/>
        <v>0.87208836702130932</v>
      </c>
      <c r="V43" s="3">
        <v>292.37</v>
      </c>
      <c r="W43" s="1">
        <f t="shared" si="7"/>
        <v>257.20800000000003</v>
      </c>
      <c r="AB43" s="2">
        <f t="shared" si="13"/>
        <v>257.20800000000003</v>
      </c>
      <c r="AD43" s="1">
        <v>7.2</v>
      </c>
      <c r="AE43" s="2">
        <f t="shared" si="9"/>
        <v>1.3646258481691318</v>
      </c>
    </row>
    <row r="44" spans="1:31" s="2" customFormat="1" x14ac:dyDescent="0.2">
      <c r="A44" s="1" t="s">
        <v>20</v>
      </c>
      <c r="B44" s="3">
        <v>20</v>
      </c>
      <c r="C44" s="1">
        <v>7.2</v>
      </c>
      <c r="D44" s="3">
        <v>0.18</v>
      </c>
      <c r="E44" s="3">
        <v>325.58999999999997</v>
      </c>
      <c r="F44" s="3">
        <v>60.147499999999994</v>
      </c>
      <c r="G44" s="3">
        <v>325.58800000000002</v>
      </c>
      <c r="H44" s="3">
        <v>229.23099999999999</v>
      </c>
      <c r="I44" s="3">
        <v>227.86500000000001</v>
      </c>
      <c r="J44" s="3">
        <v>210.607</v>
      </c>
      <c r="K44" s="3">
        <v>216.297</v>
      </c>
      <c r="L44" s="3">
        <v>144.24</v>
      </c>
      <c r="N44" s="2">
        <f t="shared" si="0"/>
        <v>1353.828</v>
      </c>
      <c r="O44" s="2">
        <f t="shared" si="1"/>
        <v>325.58800000000002</v>
      </c>
      <c r="P44" s="2">
        <f t="shared" si="2"/>
        <v>227.86500000000001</v>
      </c>
      <c r="Q44" s="2">
        <f t="shared" si="3"/>
        <v>216.297</v>
      </c>
      <c r="R44" s="2">
        <f t="shared" si="4"/>
        <v>0.70405236065211241</v>
      </c>
      <c r="S44" s="2">
        <f t="shared" si="5"/>
        <v>0.92426217277774114</v>
      </c>
      <c r="T44" s="2">
        <f t="shared" si="6"/>
        <v>0.66686084411711677</v>
      </c>
      <c r="V44" s="3">
        <v>325.58999999999997</v>
      </c>
      <c r="W44" s="1">
        <f t="shared" si="7"/>
        <v>227.86500000000001</v>
      </c>
      <c r="AB44" s="2">
        <f t="shared" si="13"/>
        <v>227.86500000000001</v>
      </c>
      <c r="AD44" s="1">
        <v>7.2</v>
      </c>
      <c r="AE44" s="2">
        <f t="shared" si="9"/>
        <v>0.76838196746527332</v>
      </c>
    </row>
    <row r="45" spans="1:31" s="2" customFormat="1" x14ac:dyDescent="0.2">
      <c r="A45" s="1" t="s">
        <v>20</v>
      </c>
      <c r="B45" s="3">
        <v>20</v>
      </c>
      <c r="C45" s="1">
        <v>7.2</v>
      </c>
      <c r="D45" s="3">
        <v>0.18</v>
      </c>
      <c r="E45" s="3">
        <v>346.97</v>
      </c>
      <c r="F45" s="3">
        <v>65.492500000000007</v>
      </c>
      <c r="G45" s="3">
        <v>274.71199999999999</v>
      </c>
      <c r="H45" s="3">
        <v>274.93299999999999</v>
      </c>
      <c r="I45" s="3">
        <v>224.17599999999999</v>
      </c>
      <c r="J45" s="3">
        <v>186.84299999999999</v>
      </c>
      <c r="K45" s="3">
        <v>134.07</v>
      </c>
      <c r="L45" s="3">
        <v>154.017</v>
      </c>
      <c r="N45" s="2">
        <f t="shared" si="0"/>
        <v>1248.751</v>
      </c>
      <c r="O45" s="2">
        <f t="shared" si="1"/>
        <v>274.93299999999999</v>
      </c>
      <c r="P45" s="2">
        <f t="shared" si="2"/>
        <v>224.17599999999999</v>
      </c>
      <c r="Q45" s="2">
        <f t="shared" si="3"/>
        <v>154.017</v>
      </c>
      <c r="R45" s="2">
        <f t="shared" si="4"/>
        <v>0.99919616779360787</v>
      </c>
      <c r="S45" s="2">
        <f t="shared" si="5"/>
        <v>0.83346566983084724</v>
      </c>
      <c r="T45" s="2">
        <f t="shared" si="6"/>
        <v>0.87048832271762211</v>
      </c>
      <c r="V45" s="3">
        <v>346.97</v>
      </c>
      <c r="W45" s="1">
        <f t="shared" si="7"/>
        <v>224.17599999999999</v>
      </c>
      <c r="AB45" s="2">
        <f t="shared" si="13"/>
        <v>224.17599999999999</v>
      </c>
      <c r="AD45" s="1">
        <v>7.2</v>
      </c>
      <c r="AE45" s="2">
        <f t="shared" si="9"/>
        <v>0.66711989000574712</v>
      </c>
    </row>
    <row r="46" spans="1:31" s="2" customFormat="1" x14ac:dyDescent="0.2">
      <c r="A46" s="1" t="s">
        <v>20</v>
      </c>
      <c r="B46" s="3">
        <v>20</v>
      </c>
      <c r="C46" s="1">
        <v>7.2</v>
      </c>
      <c r="D46" s="3">
        <v>0.18</v>
      </c>
      <c r="E46" s="3">
        <v>338.15</v>
      </c>
      <c r="F46" s="3">
        <v>63.287499999999994</v>
      </c>
      <c r="G46" s="3">
        <v>252.22800000000001</v>
      </c>
      <c r="H46" s="3">
        <v>243.66800000000001</v>
      </c>
      <c r="I46" s="3">
        <v>211.95599999999999</v>
      </c>
      <c r="J46" s="3">
        <v>222.054</v>
      </c>
      <c r="K46" s="3">
        <v>161.93100000000001</v>
      </c>
      <c r="L46" s="3">
        <v>166.155</v>
      </c>
      <c r="N46" s="2">
        <f t="shared" si="0"/>
        <v>1257.992</v>
      </c>
      <c r="O46" s="2">
        <f t="shared" si="1"/>
        <v>252.22800000000001</v>
      </c>
      <c r="P46" s="2">
        <f t="shared" si="2"/>
        <v>222.054</v>
      </c>
      <c r="Q46" s="2">
        <f t="shared" si="3"/>
        <v>166.155</v>
      </c>
      <c r="R46" s="2">
        <f t="shared" si="4"/>
        <v>0.96606245143283065</v>
      </c>
      <c r="S46" s="2">
        <f t="shared" si="5"/>
        <v>0.9545245751033532</v>
      </c>
      <c r="T46" s="2">
        <f t="shared" si="6"/>
        <v>0.97457795431976169</v>
      </c>
      <c r="V46" s="3">
        <v>338.15</v>
      </c>
      <c r="W46" s="1">
        <f t="shared" si="7"/>
        <v>222.054</v>
      </c>
      <c r="AB46" s="2">
        <f t="shared" si="13"/>
        <v>222.054</v>
      </c>
      <c r="AD46" s="1">
        <v>7.2</v>
      </c>
      <c r="AE46" s="2">
        <f t="shared" si="9"/>
        <v>0.65269832662449523</v>
      </c>
    </row>
    <row r="47" spans="1:31" s="2" customFormat="1" x14ac:dyDescent="0.2">
      <c r="A47" s="1" t="s">
        <v>20</v>
      </c>
      <c r="B47" s="3">
        <v>20</v>
      </c>
      <c r="C47" s="1">
        <v>7.2</v>
      </c>
      <c r="D47" s="3">
        <v>0.18</v>
      </c>
      <c r="E47" s="3">
        <v>356.37</v>
      </c>
      <c r="F47" s="3">
        <v>67.842500000000001</v>
      </c>
      <c r="G47" s="3">
        <v>278.226</v>
      </c>
      <c r="H47" s="3">
        <v>275.24599999999998</v>
      </c>
      <c r="I47" s="3">
        <v>239.73099999999999</v>
      </c>
      <c r="J47" s="3">
        <v>229.376</v>
      </c>
      <c r="K47" s="3">
        <v>170.58099999999999</v>
      </c>
      <c r="L47" s="3">
        <v>166.81800000000001</v>
      </c>
      <c r="N47" s="2">
        <f t="shared" si="0"/>
        <v>1359.9779999999998</v>
      </c>
      <c r="O47" s="2">
        <f t="shared" si="1"/>
        <v>278.226</v>
      </c>
      <c r="P47" s="2">
        <f t="shared" si="2"/>
        <v>239.73099999999999</v>
      </c>
      <c r="Q47" s="2">
        <f t="shared" si="3"/>
        <v>170.58099999999999</v>
      </c>
      <c r="R47" s="2">
        <f t="shared" si="4"/>
        <v>0.98928928281325246</v>
      </c>
      <c r="S47" s="2">
        <f t="shared" si="5"/>
        <v>0.95680575311494975</v>
      </c>
      <c r="T47" s="2">
        <f t="shared" si="6"/>
        <v>0.97794009883867505</v>
      </c>
      <c r="V47" s="3">
        <v>356.37</v>
      </c>
      <c r="W47" s="1">
        <f t="shared" si="7"/>
        <v>239.73099999999999</v>
      </c>
      <c r="AB47" s="2">
        <f t="shared" si="13"/>
        <v>239.73099999999999</v>
      </c>
      <c r="AD47" s="1">
        <v>7.2</v>
      </c>
      <c r="AE47" s="2">
        <f t="shared" si="9"/>
        <v>0.87086426629660663</v>
      </c>
    </row>
    <row r="48" spans="1:31" s="2" customFormat="1" x14ac:dyDescent="0.2">
      <c r="A48" s="1" t="s">
        <v>20</v>
      </c>
      <c r="B48" s="3">
        <v>20</v>
      </c>
      <c r="C48" s="1">
        <v>7.2</v>
      </c>
      <c r="D48" s="3">
        <v>0.18</v>
      </c>
      <c r="E48" s="3">
        <v>342.08</v>
      </c>
      <c r="F48" s="3">
        <v>64.27</v>
      </c>
      <c r="G48" s="3">
        <v>245.733</v>
      </c>
      <c r="H48" s="3">
        <v>253.77799999999999</v>
      </c>
      <c r="I48" s="3">
        <v>261.50799999999998</v>
      </c>
      <c r="J48" s="3">
        <v>187.97399999999999</v>
      </c>
      <c r="K48" s="3">
        <v>120.617</v>
      </c>
      <c r="L48" s="3">
        <v>127.97799999999999</v>
      </c>
      <c r="N48" s="2">
        <f t="shared" si="0"/>
        <v>1197.588</v>
      </c>
      <c r="O48" s="2">
        <f t="shared" si="1"/>
        <v>253.77799999999999</v>
      </c>
      <c r="P48" s="2">
        <f t="shared" si="2"/>
        <v>261.50799999999998</v>
      </c>
      <c r="Q48" s="2">
        <f t="shared" si="3"/>
        <v>127.97799999999999</v>
      </c>
      <c r="R48" s="2">
        <f t="shared" si="4"/>
        <v>0.9682990645367211</v>
      </c>
      <c r="S48" s="2">
        <f t="shared" si="5"/>
        <v>0.71880783761873446</v>
      </c>
      <c r="T48" s="2">
        <f t="shared" si="6"/>
        <v>0.94248230164559543</v>
      </c>
      <c r="V48" s="3">
        <v>342.08</v>
      </c>
      <c r="W48" s="1">
        <f t="shared" si="7"/>
        <v>261.50799999999998</v>
      </c>
      <c r="AB48" s="2">
        <f t="shared" si="13"/>
        <v>261.50799999999998</v>
      </c>
      <c r="AD48" s="1">
        <v>7.2</v>
      </c>
      <c r="AE48" s="2">
        <f t="shared" si="9"/>
        <v>1.2300658707404124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20FB-2E5E-854F-BFBD-FC0223DEA2AE}">
  <dimension ref="A1:AE48"/>
  <sheetViews>
    <sheetView topLeftCell="C1" workbookViewId="0">
      <selection activeCell="M68" sqref="M68"/>
    </sheetView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1" t="s">
        <v>4</v>
      </c>
      <c r="W1" s="1" t="s">
        <v>13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D1" t="s">
        <v>20</v>
      </c>
      <c r="AE1" t="s">
        <v>41</v>
      </c>
    </row>
    <row r="2" spans="1:31" s="2" customFormat="1" x14ac:dyDescent="0.2">
      <c r="A2" s="1" t="s">
        <v>20</v>
      </c>
      <c r="B2" s="3">
        <v>20</v>
      </c>
      <c r="C2" s="1">
        <v>8.1</v>
      </c>
      <c r="D2" s="3">
        <v>0.18</v>
      </c>
      <c r="E2" s="3">
        <v>391.83</v>
      </c>
      <c r="F2" s="3">
        <v>76.707499999999996</v>
      </c>
      <c r="G2" s="3">
        <v>282.55399999999997</v>
      </c>
      <c r="H2" s="3">
        <v>294.50799999999998</v>
      </c>
      <c r="I2" s="3">
        <v>253.18600000000001</v>
      </c>
      <c r="J2" s="3">
        <v>291.61399999999998</v>
      </c>
      <c r="K2" s="3">
        <v>180.624</v>
      </c>
      <c r="L2" s="3">
        <v>157.93100000000001</v>
      </c>
      <c r="N2" s="2">
        <f t="shared" ref="N2:N48" si="0">SUM(G2:L2)</f>
        <v>1460.4169999999999</v>
      </c>
      <c r="O2" s="2">
        <f t="shared" ref="O2:O48" si="1">MAX(G2:H2)</f>
        <v>294.50799999999998</v>
      </c>
      <c r="P2" s="2">
        <f t="shared" ref="P2:P48" si="2">MAX(I2:J2)</f>
        <v>291.61399999999998</v>
      </c>
      <c r="Q2" s="2">
        <f t="shared" ref="Q2:Q48" si="3">MAX(K2:L2)</f>
        <v>180.624</v>
      </c>
      <c r="R2" s="2">
        <f t="shared" ref="R2:R48" si="4">MIN(G2:H2)/MAX(G2:H2)</f>
        <v>0.95941027068874185</v>
      </c>
      <c r="S2" s="2">
        <f t="shared" ref="S2:S48" si="5">MIN(I2:J2)/MAX(I2:J2)</f>
        <v>0.86822306199290855</v>
      </c>
      <c r="T2" s="2">
        <f t="shared" ref="T2:T48" si="6">MIN(K2:L2)/MAX(K2:L2)</f>
        <v>0.87436331827442648</v>
      </c>
      <c r="V2" s="3">
        <v>391.83</v>
      </c>
      <c r="W2" s="1">
        <f>O2</f>
        <v>294.50799999999998</v>
      </c>
      <c r="X2" s="2">
        <f>W2</f>
        <v>294.50799999999998</v>
      </c>
      <c r="AD2" s="1">
        <v>8.1</v>
      </c>
      <c r="AE2" s="2">
        <f>(W2-61691)/(V2*0.5508)</f>
        <v>-284.48013270913162</v>
      </c>
    </row>
    <row r="3" spans="1:31" s="2" customFormat="1" x14ac:dyDescent="0.2">
      <c r="A3" s="1" t="s">
        <v>20</v>
      </c>
      <c r="B3" s="3">
        <v>20</v>
      </c>
      <c r="C3" s="1">
        <v>8.1</v>
      </c>
      <c r="D3" s="3">
        <v>0.18</v>
      </c>
      <c r="E3" s="3">
        <v>358.69</v>
      </c>
      <c r="F3" s="3">
        <v>68.422499999999999</v>
      </c>
      <c r="G3" s="3">
        <v>245.15799999999999</v>
      </c>
      <c r="H3" s="3">
        <v>249.65</v>
      </c>
      <c r="I3" s="3">
        <v>186.26300000000001</v>
      </c>
      <c r="J3" s="3">
        <v>197.58600000000001</v>
      </c>
      <c r="K3" s="3">
        <v>183.93600000000001</v>
      </c>
      <c r="L3" s="3">
        <v>193.64400000000001</v>
      </c>
      <c r="N3" s="2">
        <f t="shared" si="0"/>
        <v>1256.2370000000001</v>
      </c>
      <c r="O3" s="2">
        <f t="shared" si="1"/>
        <v>249.65</v>
      </c>
      <c r="P3" s="2">
        <f t="shared" si="2"/>
        <v>197.58600000000001</v>
      </c>
      <c r="Q3" s="2">
        <f t="shared" si="3"/>
        <v>193.64400000000001</v>
      </c>
      <c r="R3" s="2">
        <f t="shared" si="4"/>
        <v>0.98200680953334663</v>
      </c>
      <c r="S3" s="2">
        <f t="shared" si="5"/>
        <v>0.94269330823034014</v>
      </c>
      <c r="T3" s="2">
        <f t="shared" si="6"/>
        <v>0.94986676581768603</v>
      </c>
      <c r="V3" s="3">
        <v>358.69</v>
      </c>
      <c r="W3" s="1">
        <f t="shared" ref="W3:W48" si="7">O3</f>
        <v>249.65</v>
      </c>
      <c r="X3" s="2">
        <f t="shared" ref="X3:X11" si="8">W3</f>
        <v>249.65</v>
      </c>
      <c r="AD3" s="1">
        <v>8.1</v>
      </c>
      <c r="AE3" s="2">
        <f t="shared" ref="AE3:AE48" si="9">(W3-61691)/(V3*0.5508)</f>
        <v>-310.99080526080411</v>
      </c>
    </row>
    <row r="4" spans="1:31" s="2" customFormat="1" x14ac:dyDescent="0.2">
      <c r="A4" s="1" t="s">
        <v>20</v>
      </c>
      <c r="B4" s="3">
        <v>20</v>
      </c>
      <c r="C4" s="1">
        <v>8.1</v>
      </c>
      <c r="D4" s="3">
        <v>0.18</v>
      </c>
      <c r="E4" s="3">
        <v>376.24</v>
      </c>
      <c r="F4" s="3">
        <v>72.81</v>
      </c>
      <c r="G4" s="3">
        <v>263.42599999999999</v>
      </c>
      <c r="H4" s="3">
        <v>266.68700000000001</v>
      </c>
      <c r="I4" s="3">
        <v>166.494</v>
      </c>
      <c r="J4" s="3">
        <v>188.34700000000001</v>
      </c>
      <c r="K4" s="3">
        <v>146.78700000000001</v>
      </c>
      <c r="L4" s="3">
        <v>133.57499999999999</v>
      </c>
      <c r="N4" s="2">
        <f t="shared" si="0"/>
        <v>1165.316</v>
      </c>
      <c r="O4" s="2">
        <f t="shared" si="1"/>
        <v>266.68700000000001</v>
      </c>
      <c r="P4" s="2">
        <f t="shared" si="2"/>
        <v>188.34700000000001</v>
      </c>
      <c r="Q4" s="2">
        <f t="shared" si="3"/>
        <v>146.78700000000001</v>
      </c>
      <c r="R4" s="2">
        <f t="shared" si="4"/>
        <v>0.9877721823710941</v>
      </c>
      <c r="S4" s="2">
        <f t="shared" si="5"/>
        <v>0.88397479120984135</v>
      </c>
      <c r="T4" s="2">
        <f t="shared" si="6"/>
        <v>0.90999202926689682</v>
      </c>
      <c r="V4" s="3">
        <v>376.24</v>
      </c>
      <c r="W4" s="1">
        <f t="shared" si="7"/>
        <v>266.68700000000001</v>
      </c>
      <c r="X4" s="2">
        <f t="shared" si="8"/>
        <v>266.68700000000001</v>
      </c>
      <c r="AD4" s="1">
        <v>8.1</v>
      </c>
      <c r="AE4" s="2">
        <f t="shared" si="9"/>
        <v>-296.40219159698279</v>
      </c>
    </row>
    <row r="5" spans="1:31" s="2" customFormat="1" x14ac:dyDescent="0.2">
      <c r="A5" s="1" t="s">
        <v>20</v>
      </c>
      <c r="B5" s="3">
        <v>20</v>
      </c>
      <c r="C5" s="1">
        <v>8.1</v>
      </c>
      <c r="D5" s="3">
        <v>0.18</v>
      </c>
      <c r="E5" s="3">
        <v>360.65</v>
      </c>
      <c r="F5" s="3">
        <v>68.912499999999994</v>
      </c>
      <c r="G5" s="3">
        <v>249.41900000000001</v>
      </c>
      <c r="H5" s="3">
        <v>238.578</v>
      </c>
      <c r="I5" s="3">
        <v>218.36600000000001</v>
      </c>
      <c r="J5" s="3">
        <v>229.77799999999999</v>
      </c>
      <c r="K5" s="3">
        <v>175.75800000000001</v>
      </c>
      <c r="L5" s="3">
        <v>184.41200000000001</v>
      </c>
      <c r="N5" s="2">
        <f t="shared" si="0"/>
        <v>1296.3110000000001</v>
      </c>
      <c r="O5" s="2">
        <f t="shared" si="1"/>
        <v>249.41900000000001</v>
      </c>
      <c r="P5" s="2">
        <f t="shared" si="2"/>
        <v>229.77799999999999</v>
      </c>
      <c r="Q5" s="2">
        <f t="shared" si="3"/>
        <v>184.41200000000001</v>
      </c>
      <c r="R5" s="2">
        <f t="shared" si="4"/>
        <v>0.95653498731050957</v>
      </c>
      <c r="S5" s="2">
        <f t="shared" si="5"/>
        <v>0.95033467085621781</v>
      </c>
      <c r="T5" s="2">
        <f t="shared" si="6"/>
        <v>0.95307246816909963</v>
      </c>
      <c r="V5" s="3">
        <v>360.65</v>
      </c>
      <c r="W5" s="1">
        <f t="shared" si="7"/>
        <v>249.41900000000001</v>
      </c>
      <c r="X5" s="2">
        <f t="shared" si="8"/>
        <v>249.41900000000001</v>
      </c>
      <c r="AD5" s="1">
        <v>8.1</v>
      </c>
      <c r="AE5" s="2">
        <f t="shared" si="9"/>
        <v>-309.30184757791778</v>
      </c>
    </row>
    <row r="6" spans="1:31" s="2" customFormat="1" x14ac:dyDescent="0.2">
      <c r="A6" s="1" t="s">
        <v>20</v>
      </c>
      <c r="B6" s="3">
        <v>20</v>
      </c>
      <c r="C6" s="1">
        <v>8.1</v>
      </c>
      <c r="D6" s="3">
        <v>0.18</v>
      </c>
      <c r="E6" s="3">
        <v>332.78</v>
      </c>
      <c r="F6" s="3">
        <v>61.944999999999993</v>
      </c>
      <c r="G6" s="3">
        <v>252.85</v>
      </c>
      <c r="H6" s="3">
        <v>249.26499999999999</v>
      </c>
      <c r="I6" s="3">
        <v>275.83100000000002</v>
      </c>
      <c r="J6" s="3">
        <v>254.09399999999999</v>
      </c>
      <c r="K6" s="3">
        <v>117.621</v>
      </c>
      <c r="L6" s="3">
        <v>118.62</v>
      </c>
      <c r="N6" s="2">
        <f t="shared" si="0"/>
        <v>1268.2809999999999</v>
      </c>
      <c r="O6" s="2">
        <f t="shared" si="1"/>
        <v>252.85</v>
      </c>
      <c r="P6" s="2">
        <f t="shared" si="2"/>
        <v>275.83100000000002</v>
      </c>
      <c r="Q6" s="2">
        <f t="shared" si="3"/>
        <v>118.62</v>
      </c>
      <c r="R6" s="2">
        <f t="shared" si="4"/>
        <v>0.98582163337947393</v>
      </c>
      <c r="S6" s="2">
        <f t="shared" si="5"/>
        <v>0.92119449953050958</v>
      </c>
      <c r="T6" s="2">
        <f t="shared" si="6"/>
        <v>0.99157814871016681</v>
      </c>
      <c r="V6" s="3">
        <v>332.78</v>
      </c>
      <c r="W6" s="1">
        <f t="shared" si="7"/>
        <v>252.85</v>
      </c>
      <c r="X6" s="2">
        <f t="shared" si="8"/>
        <v>252.85</v>
      </c>
      <c r="AD6" s="1">
        <v>8.1</v>
      </c>
      <c r="AE6" s="2">
        <f t="shared" si="9"/>
        <v>-335.18685680539073</v>
      </c>
    </row>
    <row r="7" spans="1:31" s="2" customFormat="1" x14ac:dyDescent="0.2">
      <c r="A7" s="1" t="s">
        <v>20</v>
      </c>
      <c r="B7" s="3">
        <v>20</v>
      </c>
      <c r="C7" s="1">
        <v>8.1</v>
      </c>
      <c r="D7" s="3">
        <v>0.18</v>
      </c>
      <c r="E7" s="3">
        <v>330.1</v>
      </c>
      <c r="F7" s="3">
        <v>61.275000000000006</v>
      </c>
      <c r="G7" s="3">
        <v>228.29300000000001</v>
      </c>
      <c r="H7" s="3">
        <v>235.80199999999999</v>
      </c>
      <c r="I7" s="3">
        <v>239.14099999999999</v>
      </c>
      <c r="J7" s="3">
        <v>208.17599999999999</v>
      </c>
      <c r="K7" s="3">
        <v>171.01</v>
      </c>
      <c r="L7" s="3">
        <v>174.834</v>
      </c>
      <c r="N7" s="2">
        <f t="shared" si="0"/>
        <v>1257.2560000000001</v>
      </c>
      <c r="O7" s="2">
        <f t="shared" si="1"/>
        <v>235.80199999999999</v>
      </c>
      <c r="P7" s="2">
        <f t="shared" si="2"/>
        <v>239.14099999999999</v>
      </c>
      <c r="Q7" s="2">
        <f t="shared" si="3"/>
        <v>174.834</v>
      </c>
      <c r="R7" s="2">
        <f t="shared" si="4"/>
        <v>0.96815548638264315</v>
      </c>
      <c r="S7" s="2">
        <f t="shared" si="5"/>
        <v>0.8705157208508788</v>
      </c>
      <c r="T7" s="2">
        <f t="shared" si="6"/>
        <v>0.97812782410743904</v>
      </c>
      <c r="V7" s="3">
        <v>330.1</v>
      </c>
      <c r="W7" s="1">
        <f t="shared" si="7"/>
        <v>235.80199999999999</v>
      </c>
      <c r="X7" s="2">
        <f t="shared" si="8"/>
        <v>235.80199999999999</v>
      </c>
      <c r="AD7" s="1">
        <v>8.1</v>
      </c>
      <c r="AE7" s="2">
        <f t="shared" si="9"/>
        <v>-338.00191927051884</v>
      </c>
    </row>
    <row r="8" spans="1:31" s="2" customFormat="1" x14ac:dyDescent="0.2">
      <c r="A8" s="1" t="s">
        <v>20</v>
      </c>
      <c r="B8" s="3">
        <v>20</v>
      </c>
      <c r="C8" s="1">
        <v>8.1</v>
      </c>
      <c r="D8" s="3">
        <v>0.18</v>
      </c>
      <c r="E8" s="3">
        <v>384.32</v>
      </c>
      <c r="F8" s="3">
        <v>74.83</v>
      </c>
      <c r="G8" s="3">
        <v>261.54399999999998</v>
      </c>
      <c r="H8" s="3">
        <v>260.62</v>
      </c>
      <c r="I8" s="3">
        <v>257.95299999999997</v>
      </c>
      <c r="J8" s="3">
        <v>316.39100000000002</v>
      </c>
      <c r="K8" s="3">
        <v>218.81700000000001</v>
      </c>
      <c r="L8" s="3">
        <v>207.119</v>
      </c>
      <c r="N8" s="2">
        <f t="shared" si="0"/>
        <v>1522.444</v>
      </c>
      <c r="O8" s="2">
        <f t="shared" si="1"/>
        <v>261.54399999999998</v>
      </c>
      <c r="P8" s="2">
        <f t="shared" si="2"/>
        <v>316.39100000000002</v>
      </c>
      <c r="Q8" s="2">
        <f t="shared" si="3"/>
        <v>218.81700000000001</v>
      </c>
      <c r="R8" s="2">
        <f t="shared" si="4"/>
        <v>0.9964671336371701</v>
      </c>
      <c r="S8" s="2">
        <f t="shared" si="5"/>
        <v>0.81529815955573948</v>
      </c>
      <c r="T8" s="2">
        <f t="shared" si="6"/>
        <v>0.94653980266615478</v>
      </c>
      <c r="V8" s="3">
        <v>384.32</v>
      </c>
      <c r="W8" s="1">
        <f t="shared" si="7"/>
        <v>261.54399999999998</v>
      </c>
      <c r="X8" s="2">
        <f t="shared" si="8"/>
        <v>261.54399999999998</v>
      </c>
      <c r="AD8" s="1">
        <v>8.1</v>
      </c>
      <c r="AE8" s="2">
        <f t="shared" si="9"/>
        <v>-290.19488419539033</v>
      </c>
    </row>
    <row r="9" spans="1:31" s="2" customFormat="1" x14ac:dyDescent="0.2">
      <c r="A9" s="1" t="s">
        <v>20</v>
      </c>
      <c r="B9" s="3">
        <v>20</v>
      </c>
      <c r="C9" s="1">
        <v>8.1</v>
      </c>
      <c r="D9" s="3">
        <v>0.18</v>
      </c>
      <c r="E9" s="3">
        <v>339.23</v>
      </c>
      <c r="F9" s="3">
        <v>63.557500000000005</v>
      </c>
      <c r="G9" s="3">
        <v>247.43100000000001</v>
      </c>
      <c r="H9" s="3">
        <v>243.95699999999999</v>
      </c>
      <c r="I9" s="3">
        <v>256.887</v>
      </c>
      <c r="J9" s="3">
        <v>258.495</v>
      </c>
      <c r="K9" s="3">
        <v>109.803</v>
      </c>
      <c r="L9" s="3">
        <v>113.054</v>
      </c>
      <c r="N9" s="2">
        <f t="shared" si="0"/>
        <v>1229.6270000000002</v>
      </c>
      <c r="O9" s="2">
        <f t="shared" si="1"/>
        <v>247.43100000000001</v>
      </c>
      <c r="P9" s="2">
        <f t="shared" si="2"/>
        <v>258.495</v>
      </c>
      <c r="Q9" s="2">
        <f t="shared" si="3"/>
        <v>113.054</v>
      </c>
      <c r="R9" s="2">
        <f t="shared" si="4"/>
        <v>0.98595972210434413</v>
      </c>
      <c r="S9" s="2">
        <f t="shared" si="5"/>
        <v>0.9937793767771137</v>
      </c>
      <c r="T9" s="2">
        <f t="shared" si="6"/>
        <v>0.97124383038194129</v>
      </c>
      <c r="V9" s="3">
        <v>339.23</v>
      </c>
      <c r="W9" s="1">
        <f t="shared" si="7"/>
        <v>247.43100000000001</v>
      </c>
      <c r="X9" s="2">
        <f t="shared" si="8"/>
        <v>247.43100000000001</v>
      </c>
      <c r="AD9" s="1">
        <v>8.1</v>
      </c>
      <c r="AE9" s="2">
        <f t="shared" si="9"/>
        <v>-328.84273391075709</v>
      </c>
    </row>
    <row r="10" spans="1:31" s="2" customFormat="1" x14ac:dyDescent="0.2">
      <c r="A10" s="1" t="s">
        <v>20</v>
      </c>
      <c r="B10" s="3">
        <v>20</v>
      </c>
      <c r="C10" s="1">
        <v>8.1</v>
      </c>
      <c r="D10" s="3">
        <v>0.18</v>
      </c>
      <c r="E10" s="3">
        <v>358</v>
      </c>
      <c r="F10" s="3">
        <v>68.25</v>
      </c>
      <c r="G10" s="3">
        <v>256.887</v>
      </c>
      <c r="H10" s="3">
        <v>261.58600000000001</v>
      </c>
      <c r="I10" s="3">
        <v>165.929</v>
      </c>
      <c r="J10" s="3">
        <v>199.768</v>
      </c>
      <c r="K10" s="3">
        <v>162.31700000000001</v>
      </c>
      <c r="L10" s="3">
        <v>186.58699999999999</v>
      </c>
      <c r="N10" s="2">
        <f t="shared" si="0"/>
        <v>1233.0740000000001</v>
      </c>
      <c r="O10" s="2">
        <f t="shared" si="1"/>
        <v>261.58600000000001</v>
      </c>
      <c r="P10" s="2">
        <f t="shared" si="2"/>
        <v>199.768</v>
      </c>
      <c r="Q10" s="2">
        <f t="shared" si="3"/>
        <v>186.58699999999999</v>
      </c>
      <c r="R10" s="2">
        <f t="shared" si="4"/>
        <v>0.98203650042433455</v>
      </c>
      <c r="S10" s="2">
        <f t="shared" si="5"/>
        <v>0.83060850586680546</v>
      </c>
      <c r="T10" s="2">
        <f t="shared" si="6"/>
        <v>0.86992662940076215</v>
      </c>
      <c r="V10" s="3">
        <v>358</v>
      </c>
      <c r="W10" s="1">
        <f t="shared" si="7"/>
        <v>261.58600000000001</v>
      </c>
      <c r="X10" s="2">
        <f t="shared" si="8"/>
        <v>261.58600000000001</v>
      </c>
      <c r="AD10" s="1">
        <v>8.1</v>
      </c>
      <c r="AE10" s="2">
        <f t="shared" si="9"/>
        <v>-311.52966938896395</v>
      </c>
    </row>
    <row r="11" spans="1:31" s="2" customFormat="1" x14ac:dyDescent="0.2">
      <c r="A11" s="1" t="s">
        <v>20</v>
      </c>
      <c r="B11" s="3">
        <v>20</v>
      </c>
      <c r="C11" s="1">
        <v>8.1</v>
      </c>
      <c r="D11" s="3">
        <v>0.18</v>
      </c>
      <c r="E11" s="3">
        <v>343.93</v>
      </c>
      <c r="F11" s="3">
        <v>64.732500000000002</v>
      </c>
      <c r="G11" s="3">
        <v>262.476</v>
      </c>
      <c r="H11" s="3">
        <v>267.09800000000001</v>
      </c>
      <c r="I11" s="3">
        <v>293.52800000000002</v>
      </c>
      <c r="J11" s="3">
        <v>289.80200000000002</v>
      </c>
      <c r="K11" s="3">
        <v>119.01300000000001</v>
      </c>
      <c r="L11" s="3">
        <v>161.708</v>
      </c>
      <c r="N11" s="2">
        <f t="shared" si="0"/>
        <v>1393.625</v>
      </c>
      <c r="O11" s="2">
        <f t="shared" si="1"/>
        <v>267.09800000000001</v>
      </c>
      <c r="P11" s="2">
        <f t="shared" si="2"/>
        <v>293.52800000000002</v>
      </c>
      <c r="Q11" s="2">
        <f t="shared" si="3"/>
        <v>161.708</v>
      </c>
      <c r="R11" s="2">
        <f t="shared" si="4"/>
        <v>0.98269549004485235</v>
      </c>
      <c r="S11" s="2">
        <f t="shared" si="5"/>
        <v>0.98730615137227118</v>
      </c>
      <c r="T11" s="2">
        <f t="shared" si="6"/>
        <v>0.7359747198654365</v>
      </c>
      <c r="V11" s="3">
        <v>343.93</v>
      </c>
      <c r="W11" s="1">
        <f t="shared" si="7"/>
        <v>267.09800000000001</v>
      </c>
      <c r="X11" s="2">
        <f t="shared" si="8"/>
        <v>267.09800000000001</v>
      </c>
      <c r="AD11" s="1">
        <v>8.1</v>
      </c>
      <c r="AE11" s="2">
        <f t="shared" si="9"/>
        <v>-324.24509167297117</v>
      </c>
    </row>
    <row r="12" spans="1:31" s="2" customFormat="1" x14ac:dyDescent="0.2">
      <c r="A12" s="1" t="s">
        <v>20</v>
      </c>
      <c r="B12" s="3">
        <v>20</v>
      </c>
      <c r="C12" s="1">
        <v>7.95</v>
      </c>
      <c r="D12" s="3">
        <v>0.18</v>
      </c>
      <c r="E12" s="3">
        <v>384.98</v>
      </c>
      <c r="F12" s="3">
        <v>74.995000000000005</v>
      </c>
      <c r="G12" s="3">
        <v>263.017</v>
      </c>
      <c r="H12" s="3">
        <v>280.10199999999998</v>
      </c>
      <c r="I12" s="3">
        <v>265.32600000000002</v>
      </c>
      <c r="J12" s="3">
        <v>280.81</v>
      </c>
      <c r="K12" s="3">
        <v>189.422</v>
      </c>
      <c r="L12" s="3">
        <v>161.84200000000001</v>
      </c>
      <c r="N12" s="2">
        <f t="shared" si="0"/>
        <v>1440.519</v>
      </c>
      <c r="O12" s="2">
        <f t="shared" si="1"/>
        <v>280.10199999999998</v>
      </c>
      <c r="P12" s="2">
        <f t="shared" si="2"/>
        <v>280.81</v>
      </c>
      <c r="Q12" s="2">
        <f t="shared" si="3"/>
        <v>189.422</v>
      </c>
      <c r="R12" s="2">
        <f t="shared" si="4"/>
        <v>0.93900436269644638</v>
      </c>
      <c r="S12" s="2">
        <f t="shared" si="5"/>
        <v>0.94485951355008735</v>
      </c>
      <c r="T12" s="2">
        <f t="shared" si="6"/>
        <v>0.85439917221864414</v>
      </c>
      <c r="V12" s="3">
        <v>384.98</v>
      </c>
      <c r="W12" s="1">
        <f t="shared" si="7"/>
        <v>280.10199999999998</v>
      </c>
      <c r="Y12" s="2">
        <f>W12</f>
        <v>280.10199999999998</v>
      </c>
      <c r="AD12" s="1">
        <v>7.95</v>
      </c>
      <c r="AE12" s="2">
        <f t="shared" si="9"/>
        <v>-289.60986306695128</v>
      </c>
    </row>
    <row r="13" spans="1:31" s="2" customFormat="1" x14ac:dyDescent="0.2">
      <c r="A13" s="1" t="s">
        <v>20</v>
      </c>
      <c r="B13" s="3">
        <v>20</v>
      </c>
      <c r="C13" s="1">
        <v>7.95</v>
      </c>
      <c r="D13" s="3">
        <v>0.18</v>
      </c>
      <c r="E13" s="3">
        <v>405.67</v>
      </c>
      <c r="F13" s="3">
        <v>80.167500000000004</v>
      </c>
      <c r="G13" s="3">
        <v>261.733</v>
      </c>
      <c r="H13" s="3">
        <v>265.03399999999999</v>
      </c>
      <c r="I13" s="3">
        <v>258.411</v>
      </c>
      <c r="J13" s="3">
        <v>278.798</v>
      </c>
      <c r="K13" s="3">
        <v>229.589</v>
      </c>
      <c r="L13" s="3">
        <v>228.29900000000001</v>
      </c>
      <c r="N13" s="2">
        <f t="shared" si="0"/>
        <v>1521.864</v>
      </c>
      <c r="O13" s="2">
        <f t="shared" si="1"/>
        <v>265.03399999999999</v>
      </c>
      <c r="P13" s="2">
        <f t="shared" si="2"/>
        <v>278.798</v>
      </c>
      <c r="Q13" s="2">
        <f t="shared" si="3"/>
        <v>229.589</v>
      </c>
      <c r="R13" s="2">
        <f t="shared" si="4"/>
        <v>0.9875449942271558</v>
      </c>
      <c r="S13" s="2">
        <f t="shared" si="5"/>
        <v>0.92687537213322913</v>
      </c>
      <c r="T13" s="2">
        <f t="shared" si="6"/>
        <v>0.99438126391072745</v>
      </c>
      <c r="V13" s="3">
        <v>405.67</v>
      </c>
      <c r="W13" s="1">
        <f t="shared" si="7"/>
        <v>265.03399999999999</v>
      </c>
      <c r="Y13" s="2">
        <f t="shared" ref="Y13:Y19" si="10">W13</f>
        <v>265.03399999999999</v>
      </c>
      <c r="AD13" s="1">
        <v>7.95</v>
      </c>
      <c r="AE13" s="2">
        <f t="shared" si="9"/>
        <v>-274.90660304132285</v>
      </c>
    </row>
    <row r="14" spans="1:31" s="2" customFormat="1" x14ac:dyDescent="0.2">
      <c r="A14" s="1" t="s">
        <v>20</v>
      </c>
      <c r="B14" s="3">
        <v>20</v>
      </c>
      <c r="C14" s="1">
        <v>7.95</v>
      </c>
      <c r="D14" s="3">
        <v>0.18</v>
      </c>
      <c r="E14" s="3">
        <v>383.56</v>
      </c>
      <c r="F14" s="3">
        <v>74.64</v>
      </c>
      <c r="G14" s="3">
        <v>274.17700000000002</v>
      </c>
      <c r="H14" s="3">
        <v>271.89699999999999</v>
      </c>
      <c r="I14" s="3">
        <v>134.86799999999999</v>
      </c>
      <c r="J14" s="3">
        <v>108.69499999999999</v>
      </c>
      <c r="K14" s="3">
        <v>109.379</v>
      </c>
      <c r="L14" s="3">
        <v>116.35299999999999</v>
      </c>
      <c r="N14" s="2">
        <f t="shared" si="0"/>
        <v>1015.3689999999999</v>
      </c>
      <c r="O14" s="2">
        <f t="shared" si="1"/>
        <v>274.17700000000002</v>
      </c>
      <c r="P14" s="2">
        <f t="shared" si="2"/>
        <v>134.86799999999999</v>
      </c>
      <c r="Q14" s="2">
        <f t="shared" si="3"/>
        <v>116.35299999999999</v>
      </c>
      <c r="R14" s="2">
        <f t="shared" si="4"/>
        <v>0.991684203999606</v>
      </c>
      <c r="S14" s="2">
        <f t="shared" si="5"/>
        <v>0.80593617463000855</v>
      </c>
      <c r="T14" s="2">
        <f t="shared" si="6"/>
        <v>0.94006170876556694</v>
      </c>
      <c r="V14" s="3">
        <v>383.56</v>
      </c>
      <c r="W14" s="1">
        <f t="shared" si="7"/>
        <v>274.17700000000002</v>
      </c>
      <c r="Y14" s="2">
        <f t="shared" si="10"/>
        <v>274.17700000000002</v>
      </c>
      <c r="AD14" s="1">
        <v>7.95</v>
      </c>
      <c r="AE14" s="2">
        <f t="shared" si="9"/>
        <v>-290.71009011399758</v>
      </c>
    </row>
    <row r="15" spans="1:31" s="2" customFormat="1" x14ac:dyDescent="0.2">
      <c r="A15" s="1" t="s">
        <v>20</v>
      </c>
      <c r="B15" s="3">
        <v>20</v>
      </c>
      <c r="C15" s="1">
        <v>7.95</v>
      </c>
      <c r="D15" s="3">
        <v>0.18</v>
      </c>
      <c r="E15" s="3">
        <v>374.09</v>
      </c>
      <c r="F15" s="3">
        <v>72.272499999999994</v>
      </c>
      <c r="G15" s="3">
        <v>263.02199999999999</v>
      </c>
      <c r="H15" s="3">
        <v>259.30200000000002</v>
      </c>
      <c r="I15" s="3">
        <v>276.08499999999998</v>
      </c>
      <c r="J15" s="3">
        <v>304.18799999999999</v>
      </c>
      <c r="K15" s="3">
        <v>129.96700000000001</v>
      </c>
      <c r="L15" s="3">
        <v>157.33199999999999</v>
      </c>
      <c r="N15" s="2">
        <f t="shared" si="0"/>
        <v>1389.8960000000002</v>
      </c>
      <c r="O15" s="2">
        <f t="shared" si="1"/>
        <v>263.02199999999999</v>
      </c>
      <c r="P15" s="2">
        <f t="shared" si="2"/>
        <v>304.18799999999999</v>
      </c>
      <c r="Q15" s="2">
        <f t="shared" si="3"/>
        <v>157.33199999999999</v>
      </c>
      <c r="R15" s="2">
        <f t="shared" si="4"/>
        <v>0.98585669639802009</v>
      </c>
      <c r="S15" s="2">
        <f t="shared" si="5"/>
        <v>0.90761305508435575</v>
      </c>
      <c r="T15" s="2">
        <f t="shared" si="6"/>
        <v>0.82606844125797685</v>
      </c>
      <c r="V15" s="3">
        <v>374.09</v>
      </c>
      <c r="W15" s="1">
        <f t="shared" si="7"/>
        <v>263.02199999999999</v>
      </c>
      <c r="Y15" s="2">
        <f t="shared" si="10"/>
        <v>263.02199999999999</v>
      </c>
      <c r="AD15" s="1">
        <v>7.95</v>
      </c>
      <c r="AE15" s="2">
        <f t="shared" si="9"/>
        <v>-298.12348505527621</v>
      </c>
    </row>
    <row r="16" spans="1:31" s="2" customFormat="1" x14ac:dyDescent="0.2">
      <c r="A16" s="1" t="s">
        <v>20</v>
      </c>
      <c r="B16" s="3">
        <v>20</v>
      </c>
      <c r="C16" s="1">
        <v>7.95</v>
      </c>
      <c r="D16" s="3">
        <v>0.18</v>
      </c>
      <c r="E16" s="3">
        <v>370.11</v>
      </c>
      <c r="F16" s="3">
        <v>71.277500000000003</v>
      </c>
      <c r="G16" s="3">
        <v>270.38600000000002</v>
      </c>
      <c r="H16" s="3">
        <v>267.67899999999997</v>
      </c>
      <c r="I16" s="3">
        <v>190.76499999999999</v>
      </c>
      <c r="J16" s="3">
        <v>168.298</v>
      </c>
      <c r="K16" s="3">
        <v>100.872</v>
      </c>
      <c r="L16" s="3">
        <v>113.61199999999999</v>
      </c>
      <c r="N16" s="2">
        <f t="shared" si="0"/>
        <v>1111.6120000000001</v>
      </c>
      <c r="O16" s="2">
        <f t="shared" si="1"/>
        <v>270.38600000000002</v>
      </c>
      <c r="P16" s="2">
        <f t="shared" si="2"/>
        <v>190.76499999999999</v>
      </c>
      <c r="Q16" s="2">
        <f t="shared" si="3"/>
        <v>113.61199999999999</v>
      </c>
      <c r="R16" s="2">
        <f t="shared" si="4"/>
        <v>0.98998838697269809</v>
      </c>
      <c r="S16" s="2">
        <f t="shared" si="5"/>
        <v>0.88222682357874882</v>
      </c>
      <c r="T16" s="2">
        <f t="shared" si="6"/>
        <v>0.88786395803260221</v>
      </c>
      <c r="V16" s="3">
        <v>370.11</v>
      </c>
      <c r="W16" s="1">
        <f t="shared" si="7"/>
        <v>270.38600000000002</v>
      </c>
      <c r="Y16" s="2">
        <f t="shared" si="10"/>
        <v>270.38600000000002</v>
      </c>
      <c r="AD16" s="1">
        <v>7.95</v>
      </c>
      <c r="AE16" s="2">
        <f t="shared" si="9"/>
        <v>-301.29325033145363</v>
      </c>
    </row>
    <row r="17" spans="1:31" s="2" customFormat="1" x14ac:dyDescent="0.2">
      <c r="A17" s="1" t="s">
        <v>20</v>
      </c>
      <c r="B17" s="3">
        <v>20</v>
      </c>
      <c r="C17" s="1">
        <v>7.95</v>
      </c>
      <c r="D17" s="3">
        <v>0.18</v>
      </c>
      <c r="E17" s="3">
        <v>388.07</v>
      </c>
      <c r="F17" s="3">
        <v>75.767499999999998</v>
      </c>
      <c r="G17" s="3">
        <v>286.315</v>
      </c>
      <c r="H17" s="3">
        <v>289.245</v>
      </c>
      <c r="I17" s="3">
        <v>289.16899999999998</v>
      </c>
      <c r="J17" s="3">
        <v>305.38</v>
      </c>
      <c r="K17" s="3">
        <v>118.18</v>
      </c>
      <c r="L17" s="3">
        <v>120.88200000000001</v>
      </c>
      <c r="N17" s="2">
        <f t="shared" si="0"/>
        <v>1409.171</v>
      </c>
      <c r="O17" s="2">
        <f t="shared" si="1"/>
        <v>289.245</v>
      </c>
      <c r="P17" s="2">
        <f t="shared" si="2"/>
        <v>305.38</v>
      </c>
      <c r="Q17" s="2">
        <f t="shared" si="3"/>
        <v>120.88200000000001</v>
      </c>
      <c r="R17" s="2">
        <f t="shared" si="4"/>
        <v>0.98987017925979703</v>
      </c>
      <c r="S17" s="2">
        <f t="shared" si="5"/>
        <v>0.94691531861942491</v>
      </c>
      <c r="T17" s="2">
        <f t="shared" si="6"/>
        <v>0.97764762330206323</v>
      </c>
      <c r="V17" s="3">
        <v>388.07</v>
      </c>
      <c r="W17" s="1">
        <f t="shared" si="7"/>
        <v>289.245</v>
      </c>
      <c r="Y17" s="2">
        <f t="shared" si="10"/>
        <v>289.245</v>
      </c>
      <c r="AD17" s="1">
        <v>7.95</v>
      </c>
      <c r="AE17" s="2">
        <f t="shared" si="9"/>
        <v>-287.26107555818891</v>
      </c>
    </row>
    <row r="18" spans="1:31" s="2" customFormat="1" x14ac:dyDescent="0.2">
      <c r="A18" s="1" t="s">
        <v>20</v>
      </c>
      <c r="B18" s="3">
        <v>20</v>
      </c>
      <c r="C18" s="1">
        <v>7.95</v>
      </c>
      <c r="D18" s="3">
        <v>0.18</v>
      </c>
      <c r="E18" s="3">
        <v>377.1</v>
      </c>
      <c r="F18" s="3">
        <v>73.025000000000006</v>
      </c>
      <c r="G18" s="3">
        <v>276.56799999999998</v>
      </c>
      <c r="H18" s="3">
        <v>276.13499999999999</v>
      </c>
      <c r="I18" s="3">
        <v>317.67</v>
      </c>
      <c r="J18" s="3">
        <v>179.12100000000001</v>
      </c>
      <c r="K18" s="3">
        <v>125.791</v>
      </c>
      <c r="L18" s="3">
        <v>101.425</v>
      </c>
      <c r="N18" s="2">
        <f t="shared" si="0"/>
        <v>1276.71</v>
      </c>
      <c r="O18" s="2">
        <f t="shared" si="1"/>
        <v>276.56799999999998</v>
      </c>
      <c r="P18" s="2">
        <f t="shared" si="2"/>
        <v>317.67</v>
      </c>
      <c r="Q18" s="2">
        <f t="shared" si="3"/>
        <v>125.791</v>
      </c>
      <c r="R18" s="2">
        <f t="shared" si="4"/>
        <v>0.99843438141795149</v>
      </c>
      <c r="S18" s="2">
        <f t="shared" si="5"/>
        <v>0.56385872131457171</v>
      </c>
      <c r="T18" s="2">
        <f t="shared" si="6"/>
        <v>0.80629774785159514</v>
      </c>
      <c r="V18" s="3">
        <v>377.1</v>
      </c>
      <c r="W18" s="1">
        <f t="shared" si="7"/>
        <v>276.56799999999998</v>
      </c>
      <c r="Y18" s="2">
        <f t="shared" si="10"/>
        <v>276.56799999999998</v>
      </c>
      <c r="AD18" s="1">
        <v>7.95</v>
      </c>
      <c r="AE18" s="2">
        <f t="shared" si="9"/>
        <v>-295.67865607403672</v>
      </c>
    </row>
    <row r="19" spans="1:31" s="2" customFormat="1" x14ac:dyDescent="0.2">
      <c r="A19" s="1" t="s">
        <v>20</v>
      </c>
      <c r="B19" s="3">
        <v>20</v>
      </c>
      <c r="C19" s="1">
        <v>7.95</v>
      </c>
      <c r="D19" s="3">
        <v>0.18</v>
      </c>
      <c r="E19" s="3">
        <v>336.3</v>
      </c>
      <c r="F19" s="3">
        <v>62.825000000000003</v>
      </c>
      <c r="G19" s="3">
        <v>269.14800000000002</v>
      </c>
      <c r="H19" s="3">
        <v>275.30700000000002</v>
      </c>
      <c r="I19" s="3">
        <v>131.511</v>
      </c>
      <c r="J19" s="3">
        <v>142.80699999999999</v>
      </c>
      <c r="K19" s="3">
        <v>82.744</v>
      </c>
      <c r="L19" s="3">
        <v>85.475999999999999</v>
      </c>
      <c r="N19" s="2">
        <f t="shared" si="0"/>
        <v>986.99300000000005</v>
      </c>
      <c r="O19" s="2">
        <f t="shared" si="1"/>
        <v>275.30700000000002</v>
      </c>
      <c r="P19" s="2">
        <f t="shared" si="2"/>
        <v>142.80699999999999</v>
      </c>
      <c r="Q19" s="2">
        <f t="shared" si="3"/>
        <v>85.475999999999999</v>
      </c>
      <c r="R19" s="2">
        <f t="shared" si="4"/>
        <v>0.97762861096884568</v>
      </c>
      <c r="S19" s="2">
        <f t="shared" si="5"/>
        <v>0.92090023598283</v>
      </c>
      <c r="T19" s="2">
        <f t="shared" si="6"/>
        <v>0.96803781178342463</v>
      </c>
      <c r="V19" s="3">
        <v>336.3</v>
      </c>
      <c r="W19" s="1">
        <f t="shared" si="7"/>
        <v>275.30700000000002</v>
      </c>
      <c r="Y19" s="2">
        <f t="shared" si="10"/>
        <v>275.30700000000002</v>
      </c>
      <c r="AD19" s="1">
        <v>7.95</v>
      </c>
      <c r="AE19" s="2">
        <f t="shared" si="9"/>
        <v>-331.5572720867072</v>
      </c>
    </row>
    <row r="20" spans="1:31" s="2" customFormat="1" x14ac:dyDescent="0.2">
      <c r="A20" s="1" t="s">
        <v>20</v>
      </c>
      <c r="B20" s="3">
        <v>20</v>
      </c>
      <c r="C20" s="1">
        <v>7.7</v>
      </c>
      <c r="D20" s="3">
        <v>0.18</v>
      </c>
      <c r="E20" s="3">
        <v>377.84</v>
      </c>
      <c r="F20" s="3">
        <v>73.209999999999994</v>
      </c>
      <c r="G20" s="3">
        <v>278.27</v>
      </c>
      <c r="H20" s="3">
        <v>285.09699999999998</v>
      </c>
      <c r="I20" s="3">
        <v>361.90199999999999</v>
      </c>
      <c r="J20" s="3">
        <v>335.78100000000001</v>
      </c>
      <c r="K20" s="3">
        <v>197.93</v>
      </c>
      <c r="L20" s="3">
        <v>198.28399999999999</v>
      </c>
      <c r="N20" s="2">
        <f t="shared" si="0"/>
        <v>1657.2640000000001</v>
      </c>
      <c r="O20" s="2">
        <f t="shared" si="1"/>
        <v>285.09699999999998</v>
      </c>
      <c r="P20" s="2">
        <f t="shared" si="2"/>
        <v>361.90199999999999</v>
      </c>
      <c r="Q20" s="2">
        <f t="shared" si="3"/>
        <v>198.28399999999999</v>
      </c>
      <c r="R20" s="2">
        <f t="shared" si="4"/>
        <v>0.97605376415746226</v>
      </c>
      <c r="S20" s="2">
        <f t="shared" si="5"/>
        <v>0.92782300180711907</v>
      </c>
      <c r="T20" s="2">
        <f t="shared" si="6"/>
        <v>0.99821468197131391</v>
      </c>
      <c r="V20" s="3">
        <v>377.84</v>
      </c>
      <c r="W20" s="1">
        <f t="shared" si="7"/>
        <v>285.09699999999998</v>
      </c>
      <c r="Z20" s="2">
        <f>W20</f>
        <v>285.09699999999998</v>
      </c>
      <c r="AD20" s="1">
        <v>7.7</v>
      </c>
      <c r="AE20" s="2">
        <f t="shared" si="9"/>
        <v>-295.05858685174655</v>
      </c>
    </row>
    <row r="21" spans="1:31" s="2" customFormat="1" x14ac:dyDescent="0.2">
      <c r="A21" s="1" t="s">
        <v>20</v>
      </c>
      <c r="B21" s="3">
        <v>20</v>
      </c>
      <c r="C21" s="1">
        <v>7.7</v>
      </c>
      <c r="D21" s="3">
        <v>0.18</v>
      </c>
      <c r="E21" s="3">
        <v>335.41</v>
      </c>
      <c r="F21" s="3">
        <v>62.602500000000006</v>
      </c>
      <c r="G21" s="3">
        <v>226.876</v>
      </c>
      <c r="H21" s="3">
        <v>226.477</v>
      </c>
      <c r="I21" s="3">
        <v>132.43700000000001</v>
      </c>
      <c r="J21" s="3">
        <v>136.04499999999999</v>
      </c>
      <c r="K21" s="3">
        <v>116.821</v>
      </c>
      <c r="L21" s="3">
        <v>138.876</v>
      </c>
      <c r="N21" s="2">
        <f t="shared" si="0"/>
        <v>977.53199999999993</v>
      </c>
      <c r="O21" s="2">
        <f t="shared" si="1"/>
        <v>226.876</v>
      </c>
      <c r="P21" s="2">
        <f t="shared" si="2"/>
        <v>136.04499999999999</v>
      </c>
      <c r="Q21" s="2">
        <f t="shared" si="3"/>
        <v>138.876</v>
      </c>
      <c r="R21" s="2">
        <f t="shared" si="4"/>
        <v>0.99824133006576277</v>
      </c>
      <c r="S21" s="2">
        <f t="shared" si="5"/>
        <v>0.97347936344591879</v>
      </c>
      <c r="T21" s="2">
        <f t="shared" si="6"/>
        <v>0.8411892623635473</v>
      </c>
      <c r="V21" s="3">
        <v>335.41</v>
      </c>
      <c r="W21" s="1">
        <f t="shared" si="7"/>
        <v>226.876</v>
      </c>
      <c r="Z21" s="2">
        <f t="shared" ref="Z21:Z28" si="11">W21</f>
        <v>226.876</v>
      </c>
      <c r="AD21" s="1">
        <v>7.7</v>
      </c>
      <c r="AE21" s="2">
        <f t="shared" si="9"/>
        <v>-332.69920118792817</v>
      </c>
    </row>
    <row r="22" spans="1:31" s="2" customFormat="1" x14ac:dyDescent="0.2">
      <c r="A22" s="1" t="s">
        <v>20</v>
      </c>
      <c r="B22" s="3">
        <v>20</v>
      </c>
      <c r="C22" s="1">
        <v>7.7</v>
      </c>
      <c r="D22" s="3">
        <v>0.18</v>
      </c>
      <c r="E22" s="3">
        <v>290.43</v>
      </c>
      <c r="F22" s="3">
        <v>51.357500000000002</v>
      </c>
      <c r="G22" s="3">
        <v>178.65299999999999</v>
      </c>
      <c r="H22" s="3">
        <v>160.73400000000001</v>
      </c>
      <c r="I22" s="3">
        <v>190.64599999999999</v>
      </c>
      <c r="J22" s="3">
        <v>171.12</v>
      </c>
      <c r="K22" s="3">
        <v>195.25200000000001</v>
      </c>
      <c r="L22" s="3">
        <v>197.87100000000001</v>
      </c>
      <c r="N22" s="2">
        <f t="shared" si="0"/>
        <v>1094.2760000000001</v>
      </c>
      <c r="O22" s="2">
        <f t="shared" si="1"/>
        <v>178.65299999999999</v>
      </c>
      <c r="P22" s="2">
        <f t="shared" si="2"/>
        <v>190.64599999999999</v>
      </c>
      <c r="Q22" s="2">
        <f t="shared" si="3"/>
        <v>197.87100000000001</v>
      </c>
      <c r="R22" s="2">
        <f t="shared" si="4"/>
        <v>0.89969941730617464</v>
      </c>
      <c r="S22" s="2">
        <f t="shared" si="5"/>
        <v>0.89757980760152334</v>
      </c>
      <c r="T22" s="2">
        <f t="shared" si="6"/>
        <v>0.986764103885865</v>
      </c>
      <c r="V22" s="3">
        <v>290.43</v>
      </c>
      <c r="W22" s="1">
        <f t="shared" si="7"/>
        <v>178.65299999999999</v>
      </c>
      <c r="Z22" s="2">
        <f t="shared" si="11"/>
        <v>178.65299999999999</v>
      </c>
      <c r="AD22" s="1">
        <v>7.7</v>
      </c>
      <c r="AE22" s="2">
        <f t="shared" si="9"/>
        <v>-384.52704577898936</v>
      </c>
    </row>
    <row r="23" spans="1:31" s="2" customFormat="1" x14ac:dyDescent="0.2">
      <c r="A23" s="1" t="s">
        <v>20</v>
      </c>
      <c r="B23" s="3">
        <v>20</v>
      </c>
      <c r="C23" s="1">
        <v>7.7</v>
      </c>
      <c r="D23" s="3">
        <v>0.18</v>
      </c>
      <c r="E23" s="3">
        <v>301.79000000000002</v>
      </c>
      <c r="F23" s="3">
        <v>54.197500000000005</v>
      </c>
      <c r="G23" s="3">
        <v>254.76599999999999</v>
      </c>
      <c r="H23" s="3">
        <v>232.58</v>
      </c>
      <c r="I23" s="3">
        <v>369.90699999999998</v>
      </c>
      <c r="J23" s="3">
        <v>330.04199999999997</v>
      </c>
      <c r="K23" s="3">
        <v>261.73</v>
      </c>
      <c r="L23" s="3">
        <v>254.93100000000001</v>
      </c>
      <c r="N23" s="2">
        <f t="shared" si="0"/>
        <v>1703.9559999999999</v>
      </c>
      <c r="O23" s="2">
        <f t="shared" si="1"/>
        <v>254.76599999999999</v>
      </c>
      <c r="P23" s="2">
        <f t="shared" si="2"/>
        <v>369.90699999999998</v>
      </c>
      <c r="Q23" s="2">
        <f t="shared" si="3"/>
        <v>261.73</v>
      </c>
      <c r="R23" s="2">
        <f t="shared" si="4"/>
        <v>0.91291616620742178</v>
      </c>
      <c r="S23" s="2">
        <f t="shared" si="5"/>
        <v>0.89222966853830821</v>
      </c>
      <c r="T23" s="2">
        <f t="shared" si="6"/>
        <v>0.97402284797310201</v>
      </c>
      <c r="V23" s="3">
        <v>301.79000000000002</v>
      </c>
      <c r="W23" s="1">
        <f t="shared" si="7"/>
        <v>254.76599999999999</v>
      </c>
      <c r="Z23" s="2">
        <f t="shared" si="11"/>
        <v>254.76599999999999</v>
      </c>
      <c r="AD23" s="1">
        <v>7.7</v>
      </c>
      <c r="AE23" s="2">
        <f t="shared" si="9"/>
        <v>-369.59476334895805</v>
      </c>
    </row>
    <row r="24" spans="1:31" s="2" customFormat="1" x14ac:dyDescent="0.2">
      <c r="A24" s="1" t="s">
        <v>20</v>
      </c>
      <c r="B24" s="3">
        <v>20</v>
      </c>
      <c r="C24" s="1">
        <v>7.7</v>
      </c>
      <c r="D24" s="3">
        <v>0.18</v>
      </c>
      <c r="E24" s="3">
        <v>292.54000000000002</v>
      </c>
      <c r="F24" s="3">
        <v>51.885000000000005</v>
      </c>
      <c r="G24" s="3">
        <v>174.43899999999999</v>
      </c>
      <c r="H24" s="3">
        <v>178.33500000000001</v>
      </c>
      <c r="I24" s="3">
        <v>181.68799999999999</v>
      </c>
      <c r="J24" s="3">
        <v>188.929</v>
      </c>
      <c r="K24" s="3">
        <v>199.93100000000001</v>
      </c>
      <c r="L24" s="3">
        <v>196.636</v>
      </c>
      <c r="N24" s="2">
        <f t="shared" si="0"/>
        <v>1119.9580000000001</v>
      </c>
      <c r="O24" s="2">
        <f t="shared" si="1"/>
        <v>178.33500000000001</v>
      </c>
      <c r="P24" s="2">
        <f t="shared" si="2"/>
        <v>188.929</v>
      </c>
      <c r="Q24" s="2">
        <f t="shared" si="3"/>
        <v>199.93100000000001</v>
      </c>
      <c r="R24" s="2">
        <f t="shared" si="4"/>
        <v>0.97815347520116624</v>
      </c>
      <c r="S24" s="2">
        <f t="shared" si="5"/>
        <v>0.96167343287690077</v>
      </c>
      <c r="T24" s="2">
        <f t="shared" si="6"/>
        <v>0.98351931416338634</v>
      </c>
      <c r="V24" s="3">
        <v>292.54000000000002</v>
      </c>
      <c r="W24" s="1">
        <f t="shared" si="7"/>
        <v>178.33500000000001</v>
      </c>
      <c r="Z24" s="2">
        <f t="shared" si="11"/>
        <v>178.33500000000001</v>
      </c>
      <c r="AD24" s="1">
        <v>7.7</v>
      </c>
      <c r="AE24" s="2">
        <f t="shared" si="9"/>
        <v>-381.75554538743347</v>
      </c>
    </row>
    <row r="25" spans="1:31" s="2" customFormat="1" x14ac:dyDescent="0.2">
      <c r="A25" s="1" t="s">
        <v>20</v>
      </c>
      <c r="B25" s="3">
        <v>20</v>
      </c>
      <c r="C25" s="1">
        <v>7.7</v>
      </c>
      <c r="D25" s="3">
        <v>0.18</v>
      </c>
      <c r="E25" s="3">
        <v>376.17</v>
      </c>
      <c r="F25" s="3">
        <v>72.792500000000004</v>
      </c>
      <c r="G25" s="3">
        <v>291.387</v>
      </c>
      <c r="H25" s="3">
        <v>296.00799999999998</v>
      </c>
      <c r="I25" s="3">
        <v>237.363</v>
      </c>
      <c r="J25" s="3">
        <v>221.35300000000001</v>
      </c>
      <c r="K25" s="3">
        <v>168.33799999999999</v>
      </c>
      <c r="L25" s="3">
        <v>216.39099999999999</v>
      </c>
      <c r="N25" s="2">
        <f t="shared" si="0"/>
        <v>1430.8400000000001</v>
      </c>
      <c r="O25" s="2">
        <f t="shared" si="1"/>
        <v>296.00799999999998</v>
      </c>
      <c r="P25" s="2">
        <f t="shared" si="2"/>
        <v>237.363</v>
      </c>
      <c r="Q25" s="2">
        <f t="shared" si="3"/>
        <v>216.39099999999999</v>
      </c>
      <c r="R25" s="2">
        <f t="shared" si="4"/>
        <v>0.98438893543417749</v>
      </c>
      <c r="S25" s="2">
        <f t="shared" si="5"/>
        <v>0.9325505660107094</v>
      </c>
      <c r="T25" s="2">
        <f t="shared" si="6"/>
        <v>0.77793438728967468</v>
      </c>
      <c r="V25" s="3">
        <v>376.17</v>
      </c>
      <c r="W25" s="1">
        <f t="shared" si="7"/>
        <v>296.00799999999998</v>
      </c>
      <c r="Z25" s="2">
        <f t="shared" si="11"/>
        <v>296.00799999999998</v>
      </c>
      <c r="AD25" s="1">
        <v>7.7</v>
      </c>
      <c r="AE25" s="2">
        <f t="shared" si="9"/>
        <v>-296.315833500471</v>
      </c>
    </row>
    <row r="26" spans="1:31" s="2" customFormat="1" x14ac:dyDescent="0.2">
      <c r="A26" s="1" t="s">
        <v>20</v>
      </c>
      <c r="B26" s="3">
        <v>20</v>
      </c>
      <c r="C26" s="1">
        <v>7.7</v>
      </c>
      <c r="D26" s="3">
        <v>0.18</v>
      </c>
      <c r="E26" s="3">
        <v>339.27</v>
      </c>
      <c r="F26" s="3">
        <v>63.567499999999995</v>
      </c>
      <c r="G26" s="3">
        <v>278.37700000000001</v>
      </c>
      <c r="H26" s="3">
        <v>288.83</v>
      </c>
      <c r="I26" s="3">
        <v>303.69400000000002</v>
      </c>
      <c r="J26" s="3">
        <v>222.07900000000001</v>
      </c>
      <c r="K26" s="3">
        <v>141.12299999999999</v>
      </c>
      <c r="L26" s="3">
        <v>117.85899999999999</v>
      </c>
      <c r="N26" s="2">
        <f t="shared" si="0"/>
        <v>1351.962</v>
      </c>
      <c r="O26" s="2">
        <f t="shared" si="1"/>
        <v>288.83</v>
      </c>
      <c r="P26" s="2">
        <f t="shared" si="2"/>
        <v>303.69400000000002</v>
      </c>
      <c r="Q26" s="2">
        <f t="shared" si="3"/>
        <v>141.12299999999999</v>
      </c>
      <c r="R26" s="2">
        <f t="shared" si="4"/>
        <v>0.96380916109822401</v>
      </c>
      <c r="S26" s="2">
        <f t="shared" si="5"/>
        <v>0.73125909632722408</v>
      </c>
      <c r="T26" s="2">
        <f t="shared" si="6"/>
        <v>0.83515089673547194</v>
      </c>
      <c r="V26" s="3">
        <v>339.27</v>
      </c>
      <c r="W26" s="1">
        <f t="shared" si="7"/>
        <v>288.83</v>
      </c>
      <c r="Z26" s="2">
        <f t="shared" si="11"/>
        <v>288.83</v>
      </c>
      <c r="AD26" s="1">
        <v>7.7</v>
      </c>
      <c r="AE26" s="2">
        <f t="shared" si="9"/>
        <v>-328.58242415007027</v>
      </c>
    </row>
    <row r="27" spans="1:31" s="2" customFormat="1" x14ac:dyDescent="0.2">
      <c r="A27" s="1" t="s">
        <v>20</v>
      </c>
      <c r="B27" s="3">
        <v>20</v>
      </c>
      <c r="C27" s="1">
        <v>7.7</v>
      </c>
      <c r="D27" s="3">
        <v>0.18</v>
      </c>
      <c r="E27" s="3">
        <v>394.45</v>
      </c>
      <c r="F27" s="3">
        <v>77.362499999999997</v>
      </c>
      <c r="G27" s="3">
        <v>309.55399999999997</v>
      </c>
      <c r="H27" s="3">
        <v>306.86700000000002</v>
      </c>
      <c r="I27" s="3">
        <v>240.61099999999999</v>
      </c>
      <c r="J27" s="3">
        <v>256.23599999999999</v>
      </c>
      <c r="K27" s="3">
        <v>235.964</v>
      </c>
      <c r="L27" s="3">
        <v>240.292</v>
      </c>
      <c r="N27" s="2">
        <f t="shared" si="0"/>
        <v>1589.5239999999999</v>
      </c>
      <c r="O27" s="2">
        <f t="shared" si="1"/>
        <v>309.55399999999997</v>
      </c>
      <c r="P27" s="2">
        <f t="shared" si="2"/>
        <v>256.23599999999999</v>
      </c>
      <c r="Q27" s="2">
        <f t="shared" si="3"/>
        <v>240.292</v>
      </c>
      <c r="R27" s="2">
        <f t="shared" si="4"/>
        <v>0.99131976973322922</v>
      </c>
      <c r="S27" s="2">
        <f t="shared" si="5"/>
        <v>0.93902105871150032</v>
      </c>
      <c r="T27" s="2">
        <f t="shared" si="6"/>
        <v>0.98198858056031824</v>
      </c>
      <c r="V27" s="3">
        <v>394.45</v>
      </c>
      <c r="W27" s="1">
        <f t="shared" si="7"/>
        <v>309.55399999999997</v>
      </c>
      <c r="Z27" s="2">
        <f t="shared" si="11"/>
        <v>309.55399999999997</v>
      </c>
      <c r="AD27" s="1">
        <v>7.7</v>
      </c>
      <c r="AE27" s="2">
        <f t="shared" si="9"/>
        <v>-282.52131770582633</v>
      </c>
    </row>
    <row r="28" spans="1:31" s="2" customFormat="1" x14ac:dyDescent="0.2">
      <c r="A28" s="1" t="s">
        <v>20</v>
      </c>
      <c r="B28" s="3">
        <v>20</v>
      </c>
      <c r="C28" s="1">
        <v>7.7</v>
      </c>
      <c r="D28" s="3">
        <v>0.18</v>
      </c>
      <c r="E28" s="3">
        <v>381.53</v>
      </c>
      <c r="F28" s="3">
        <v>74.132499999999993</v>
      </c>
      <c r="G28" s="3">
        <v>294.51499999999999</v>
      </c>
      <c r="H28" s="3">
        <v>292.52499999999998</v>
      </c>
      <c r="I28" s="3">
        <v>222.28100000000001</v>
      </c>
      <c r="J28" s="3">
        <v>263.05900000000003</v>
      </c>
      <c r="K28" s="3">
        <v>145.92500000000001</v>
      </c>
      <c r="L28" s="3">
        <v>90.043999999999997</v>
      </c>
      <c r="N28" s="2">
        <f t="shared" si="0"/>
        <v>1308.3489999999999</v>
      </c>
      <c r="O28" s="2">
        <f t="shared" si="1"/>
        <v>294.51499999999999</v>
      </c>
      <c r="P28" s="2">
        <f t="shared" si="2"/>
        <v>263.05900000000003</v>
      </c>
      <c r="Q28" s="2">
        <f t="shared" si="3"/>
        <v>145.92500000000001</v>
      </c>
      <c r="R28" s="2">
        <f t="shared" si="4"/>
        <v>0.99324312853335139</v>
      </c>
      <c r="S28" s="2">
        <f t="shared" si="5"/>
        <v>0.8449853454928361</v>
      </c>
      <c r="T28" s="2">
        <f t="shared" si="6"/>
        <v>0.61705670721260919</v>
      </c>
      <c r="V28" s="3">
        <v>381.53</v>
      </c>
      <c r="W28" s="1">
        <f t="shared" si="7"/>
        <v>294.51499999999999</v>
      </c>
      <c r="Z28" s="2">
        <f t="shared" si="11"/>
        <v>294.51499999999999</v>
      </c>
      <c r="AD28" s="1">
        <v>7.7</v>
      </c>
      <c r="AE28" s="2">
        <f t="shared" si="9"/>
        <v>-292.16008620719685</v>
      </c>
    </row>
    <row r="29" spans="1:31" s="2" customFormat="1" x14ac:dyDescent="0.2">
      <c r="A29" s="1" t="s">
        <v>20</v>
      </c>
      <c r="B29" s="3">
        <v>20</v>
      </c>
      <c r="C29" s="1">
        <v>7.45</v>
      </c>
      <c r="D29" s="3">
        <v>0.18</v>
      </c>
      <c r="E29" s="3">
        <v>385.86</v>
      </c>
      <c r="F29" s="3">
        <v>75.215000000000003</v>
      </c>
      <c r="G29" s="3">
        <v>307.774</v>
      </c>
      <c r="H29" s="3">
        <v>303.43799999999999</v>
      </c>
      <c r="I29" s="3">
        <v>212.71299999999999</v>
      </c>
      <c r="J29" s="3">
        <v>208.74199999999999</v>
      </c>
      <c r="K29" s="3">
        <v>180.791</v>
      </c>
      <c r="L29" s="3">
        <v>197.18299999999999</v>
      </c>
      <c r="N29" s="2">
        <f t="shared" si="0"/>
        <v>1410.6409999999998</v>
      </c>
      <c r="O29" s="2">
        <f t="shared" si="1"/>
        <v>307.774</v>
      </c>
      <c r="P29" s="2">
        <f t="shared" si="2"/>
        <v>212.71299999999999</v>
      </c>
      <c r="Q29" s="2">
        <f t="shared" si="3"/>
        <v>197.18299999999999</v>
      </c>
      <c r="R29" s="2">
        <f t="shared" si="4"/>
        <v>0.98591174043291507</v>
      </c>
      <c r="S29" s="2">
        <f t="shared" si="5"/>
        <v>0.98133165344854334</v>
      </c>
      <c r="T29" s="2">
        <f t="shared" si="6"/>
        <v>0.91686910129169352</v>
      </c>
      <c r="V29" s="3">
        <v>385.86</v>
      </c>
      <c r="W29" s="1">
        <f t="shared" si="7"/>
        <v>307.774</v>
      </c>
      <c r="AA29" s="2">
        <f>W29</f>
        <v>307.774</v>
      </c>
      <c r="AD29" s="1">
        <v>7.45</v>
      </c>
      <c r="AE29" s="2">
        <f t="shared" si="9"/>
        <v>-288.81917128517796</v>
      </c>
    </row>
    <row r="30" spans="1:31" s="2" customFormat="1" x14ac:dyDescent="0.2">
      <c r="A30" s="1" t="s">
        <v>20</v>
      </c>
      <c r="B30" s="3">
        <v>20</v>
      </c>
      <c r="C30" s="1">
        <v>7.45</v>
      </c>
      <c r="D30" s="3">
        <v>0.18</v>
      </c>
      <c r="E30" s="3">
        <v>346.83</v>
      </c>
      <c r="F30" s="3">
        <v>65.457499999999996</v>
      </c>
      <c r="G30" s="3">
        <v>262.79000000000002</v>
      </c>
      <c r="H30" s="3">
        <v>283.80399999999997</v>
      </c>
      <c r="I30" s="3">
        <v>78.572999999999993</v>
      </c>
      <c r="J30" s="3">
        <v>93.966999999999999</v>
      </c>
      <c r="K30" s="3">
        <v>101.492</v>
      </c>
      <c r="L30" s="3">
        <v>108.97499999999999</v>
      </c>
      <c r="N30" s="2">
        <f t="shared" si="0"/>
        <v>929.601</v>
      </c>
      <c r="O30" s="2">
        <f t="shared" si="1"/>
        <v>283.80399999999997</v>
      </c>
      <c r="P30" s="2">
        <f t="shared" si="2"/>
        <v>93.966999999999999</v>
      </c>
      <c r="Q30" s="2">
        <f t="shared" si="3"/>
        <v>108.97499999999999</v>
      </c>
      <c r="R30" s="2">
        <f t="shared" si="4"/>
        <v>0.92595594142436344</v>
      </c>
      <c r="S30" s="2">
        <f t="shared" si="5"/>
        <v>0.83617653005842474</v>
      </c>
      <c r="T30" s="2">
        <f t="shared" si="6"/>
        <v>0.93133287451250291</v>
      </c>
      <c r="V30" s="3">
        <v>346.83</v>
      </c>
      <c r="W30" s="1">
        <f t="shared" si="7"/>
        <v>283.80399999999997</v>
      </c>
      <c r="AA30" s="2">
        <f t="shared" ref="AA30:AA38" si="12">W30</f>
        <v>283.80399999999997</v>
      </c>
      <c r="AD30" s="1">
        <v>7.45</v>
      </c>
      <c r="AE30" s="2">
        <f t="shared" si="9"/>
        <v>-321.44648372579451</v>
      </c>
    </row>
    <row r="31" spans="1:31" s="2" customFormat="1" x14ac:dyDescent="0.2">
      <c r="A31" s="1" t="s">
        <v>20</v>
      </c>
      <c r="B31" s="3">
        <v>20</v>
      </c>
      <c r="C31" s="1">
        <v>7.45</v>
      </c>
      <c r="D31" s="3">
        <v>0.18</v>
      </c>
      <c r="E31" s="3">
        <v>378.21</v>
      </c>
      <c r="F31" s="3">
        <v>73.302499999999995</v>
      </c>
      <c r="G31" s="3">
        <v>267.43700000000001</v>
      </c>
      <c r="H31" s="3">
        <v>311.57499999999999</v>
      </c>
      <c r="I31" s="3">
        <v>161.011</v>
      </c>
      <c r="J31" s="3">
        <v>184.12899999999999</v>
      </c>
      <c r="K31" s="3">
        <v>148.15899999999999</v>
      </c>
      <c r="L31" s="3">
        <v>177.25</v>
      </c>
      <c r="N31" s="2">
        <f t="shared" si="0"/>
        <v>1249.5609999999999</v>
      </c>
      <c r="O31" s="2">
        <f t="shared" si="1"/>
        <v>311.57499999999999</v>
      </c>
      <c r="P31" s="2">
        <f t="shared" si="2"/>
        <v>184.12899999999999</v>
      </c>
      <c r="Q31" s="2">
        <f t="shared" si="3"/>
        <v>177.25</v>
      </c>
      <c r="R31" s="2">
        <f t="shared" si="4"/>
        <v>0.85833908368771572</v>
      </c>
      <c r="S31" s="2">
        <f t="shared" si="5"/>
        <v>0.87444671941953744</v>
      </c>
      <c r="T31" s="2">
        <f t="shared" si="6"/>
        <v>0.83587588152327219</v>
      </c>
      <c r="V31" s="3">
        <v>378.21</v>
      </c>
      <c r="W31" s="1">
        <f t="shared" si="7"/>
        <v>311.57499999999999</v>
      </c>
      <c r="AA31" s="2">
        <f t="shared" si="12"/>
        <v>311.57499999999999</v>
      </c>
      <c r="AD31" s="1">
        <v>7.45</v>
      </c>
      <c r="AE31" s="2">
        <f t="shared" si="9"/>
        <v>-294.64282954083467</v>
      </c>
    </row>
    <row r="32" spans="1:31" s="2" customFormat="1" x14ac:dyDescent="0.2">
      <c r="A32" s="1" t="s">
        <v>20</v>
      </c>
      <c r="B32" s="3">
        <v>20</v>
      </c>
      <c r="C32" s="1">
        <v>7.45</v>
      </c>
      <c r="D32" s="3">
        <v>0.18</v>
      </c>
      <c r="E32" s="3">
        <v>306.06</v>
      </c>
      <c r="F32" s="3">
        <v>55.265000000000001</v>
      </c>
      <c r="G32" s="3">
        <v>238.83099999999999</v>
      </c>
      <c r="H32" s="3">
        <v>238.55500000000001</v>
      </c>
      <c r="I32" s="3">
        <v>54.889000000000003</v>
      </c>
      <c r="J32" s="3">
        <v>71.248000000000005</v>
      </c>
      <c r="K32" s="3">
        <v>98.834999999999994</v>
      </c>
      <c r="L32" s="3">
        <v>82.125</v>
      </c>
      <c r="N32" s="2">
        <f t="shared" si="0"/>
        <v>784.48300000000006</v>
      </c>
      <c r="O32" s="2">
        <f t="shared" si="1"/>
        <v>238.83099999999999</v>
      </c>
      <c r="P32" s="2">
        <f t="shared" si="2"/>
        <v>71.248000000000005</v>
      </c>
      <c r="Q32" s="2">
        <f t="shared" si="3"/>
        <v>98.834999999999994</v>
      </c>
      <c r="R32" s="2">
        <f t="shared" si="4"/>
        <v>0.99884437112435165</v>
      </c>
      <c r="S32" s="2">
        <f t="shared" si="5"/>
        <v>0.77039355490680439</v>
      </c>
      <c r="T32" s="2">
        <f t="shared" si="6"/>
        <v>0.83093033844285935</v>
      </c>
      <c r="V32" s="3">
        <v>306.06</v>
      </c>
      <c r="W32" s="1">
        <f t="shared" si="7"/>
        <v>238.83099999999999</v>
      </c>
      <c r="AA32" s="2">
        <f t="shared" si="12"/>
        <v>238.83099999999999</v>
      </c>
      <c r="AD32" s="1">
        <v>7.45</v>
      </c>
      <c r="AE32" s="2">
        <f t="shared" si="9"/>
        <v>-364.53288334775755</v>
      </c>
    </row>
    <row r="33" spans="1:31" s="2" customFormat="1" x14ac:dyDescent="0.2">
      <c r="A33" s="1" t="s">
        <v>20</v>
      </c>
      <c r="B33" s="3">
        <v>20</v>
      </c>
      <c r="C33" s="1">
        <v>7.45</v>
      </c>
      <c r="D33" s="3">
        <v>0.18</v>
      </c>
      <c r="E33" s="3">
        <v>302.5</v>
      </c>
      <c r="F33" s="3">
        <v>54.375</v>
      </c>
      <c r="G33" s="3">
        <v>219.31</v>
      </c>
      <c r="H33" s="3">
        <v>224.928</v>
      </c>
      <c r="I33" s="3">
        <v>127.18899999999999</v>
      </c>
      <c r="J33" s="3">
        <v>139.208</v>
      </c>
      <c r="K33" s="3">
        <v>105.042</v>
      </c>
      <c r="L33" s="3">
        <v>129.00299999999999</v>
      </c>
      <c r="N33" s="2">
        <f t="shared" si="0"/>
        <v>944.68000000000006</v>
      </c>
      <c r="O33" s="2">
        <f t="shared" si="1"/>
        <v>224.928</v>
      </c>
      <c r="P33" s="2">
        <f t="shared" si="2"/>
        <v>139.208</v>
      </c>
      <c r="Q33" s="2">
        <f t="shared" si="3"/>
        <v>129.00299999999999</v>
      </c>
      <c r="R33" s="2">
        <f t="shared" si="4"/>
        <v>0.975023118509034</v>
      </c>
      <c r="S33" s="2">
        <f t="shared" si="5"/>
        <v>0.91366157117407043</v>
      </c>
      <c r="T33" s="2">
        <f t="shared" si="6"/>
        <v>0.81426013348526793</v>
      </c>
      <c r="V33" s="3">
        <v>302.5</v>
      </c>
      <c r="W33" s="1">
        <f t="shared" si="7"/>
        <v>224.928</v>
      </c>
      <c r="AA33" s="2">
        <f t="shared" si="12"/>
        <v>224.928</v>
      </c>
      <c r="AD33" s="1">
        <v>7.45</v>
      </c>
      <c r="AE33" s="2">
        <f t="shared" si="9"/>
        <v>-368.90636609709696</v>
      </c>
    </row>
    <row r="34" spans="1:31" s="2" customFormat="1" x14ac:dyDescent="0.2">
      <c r="A34" s="1" t="s">
        <v>20</v>
      </c>
      <c r="B34" s="3">
        <v>20</v>
      </c>
      <c r="C34" s="1">
        <v>7.45</v>
      </c>
      <c r="D34" s="3">
        <v>0.18</v>
      </c>
      <c r="E34" s="3">
        <v>350.88</v>
      </c>
      <c r="F34" s="3">
        <v>66.47</v>
      </c>
      <c r="G34" s="3">
        <v>237.489</v>
      </c>
      <c r="H34" s="3">
        <v>239.50200000000001</v>
      </c>
      <c r="I34" s="3">
        <v>135.113</v>
      </c>
      <c r="J34" s="3">
        <v>142.25700000000001</v>
      </c>
      <c r="K34" s="3">
        <v>131.87700000000001</v>
      </c>
      <c r="L34" s="3">
        <v>137.59299999999999</v>
      </c>
      <c r="N34" s="2">
        <f t="shared" si="0"/>
        <v>1023.831</v>
      </c>
      <c r="O34" s="2">
        <f t="shared" si="1"/>
        <v>239.50200000000001</v>
      </c>
      <c r="P34" s="2">
        <f t="shared" si="2"/>
        <v>142.25700000000001</v>
      </c>
      <c r="Q34" s="2">
        <f t="shared" si="3"/>
        <v>137.59299999999999</v>
      </c>
      <c r="R34" s="2">
        <f t="shared" si="4"/>
        <v>0.9915950597489791</v>
      </c>
      <c r="S34" s="2">
        <f t="shared" si="5"/>
        <v>0.94978103010748149</v>
      </c>
      <c r="T34" s="2">
        <f t="shared" si="6"/>
        <v>0.95845718895583365</v>
      </c>
      <c r="V34" s="3">
        <v>350.88</v>
      </c>
      <c r="W34" s="1">
        <f t="shared" si="7"/>
        <v>239.50200000000001</v>
      </c>
      <c r="AA34" s="2">
        <f t="shared" si="12"/>
        <v>239.50200000000001</v>
      </c>
      <c r="AD34" s="1">
        <v>7.45</v>
      </c>
      <c r="AE34" s="2">
        <f t="shared" si="9"/>
        <v>-317.96544701716459</v>
      </c>
    </row>
    <row r="35" spans="1:31" s="2" customFormat="1" x14ac:dyDescent="0.2">
      <c r="A35" s="1" t="s">
        <v>20</v>
      </c>
      <c r="B35" s="3">
        <v>20</v>
      </c>
      <c r="C35" s="1">
        <v>7.45</v>
      </c>
      <c r="D35" s="3">
        <v>0.18</v>
      </c>
      <c r="E35" s="3">
        <v>300.23</v>
      </c>
      <c r="F35" s="3">
        <v>53.807500000000005</v>
      </c>
      <c r="G35" s="3">
        <v>212.15199999999999</v>
      </c>
      <c r="H35" s="3">
        <v>228.18799999999999</v>
      </c>
      <c r="I35" s="3">
        <v>70.950999999999993</v>
      </c>
      <c r="J35" s="3">
        <v>84.066999999999993</v>
      </c>
      <c r="K35" s="3">
        <v>90.197999999999993</v>
      </c>
      <c r="L35" s="3">
        <v>87.176000000000002</v>
      </c>
      <c r="N35" s="2">
        <f t="shared" si="0"/>
        <v>772.73199999999997</v>
      </c>
      <c r="O35" s="2">
        <f t="shared" si="1"/>
        <v>228.18799999999999</v>
      </c>
      <c r="P35" s="2">
        <f t="shared" si="2"/>
        <v>84.066999999999993</v>
      </c>
      <c r="Q35" s="2">
        <f t="shared" si="3"/>
        <v>90.197999999999993</v>
      </c>
      <c r="R35" s="2">
        <f t="shared" si="4"/>
        <v>0.92972461303837184</v>
      </c>
      <c r="S35" s="2">
        <f t="shared" si="5"/>
        <v>0.84398158611583618</v>
      </c>
      <c r="T35" s="2">
        <f t="shared" si="6"/>
        <v>0.9664959311736403</v>
      </c>
      <c r="V35" s="3">
        <v>300.23</v>
      </c>
      <c r="W35" s="1">
        <f t="shared" si="7"/>
        <v>228.18799999999999</v>
      </c>
      <c r="AA35" s="2">
        <f t="shared" si="12"/>
        <v>228.18799999999999</v>
      </c>
      <c r="AD35" s="1">
        <v>7.45</v>
      </c>
      <c r="AE35" s="2">
        <f t="shared" si="9"/>
        <v>-371.67590540788734</v>
      </c>
    </row>
    <row r="36" spans="1:31" s="2" customFormat="1" x14ac:dyDescent="0.2">
      <c r="A36" s="1" t="s">
        <v>20</v>
      </c>
      <c r="B36" s="3">
        <v>20</v>
      </c>
      <c r="C36" s="1">
        <v>7.45</v>
      </c>
      <c r="D36" s="3">
        <v>0.18</v>
      </c>
      <c r="E36" s="3">
        <v>320.39999999999998</v>
      </c>
      <c r="F36" s="3">
        <v>58.849999999999994</v>
      </c>
      <c r="G36" s="3">
        <v>211.202</v>
      </c>
      <c r="H36" s="3">
        <v>194.11099999999999</v>
      </c>
      <c r="I36" s="3">
        <v>122.80800000000001</v>
      </c>
      <c r="J36" s="3">
        <v>130.77199999999999</v>
      </c>
      <c r="K36" s="3">
        <v>154.9</v>
      </c>
      <c r="L36" s="3">
        <v>121.934</v>
      </c>
      <c r="N36" s="2">
        <f t="shared" si="0"/>
        <v>935.72699999999998</v>
      </c>
      <c r="O36" s="2">
        <f t="shared" si="1"/>
        <v>211.202</v>
      </c>
      <c r="P36" s="2">
        <f t="shared" si="2"/>
        <v>130.77199999999999</v>
      </c>
      <c r="Q36" s="2">
        <f t="shared" si="3"/>
        <v>154.9</v>
      </c>
      <c r="R36" s="2">
        <f t="shared" si="4"/>
        <v>0.91907747085728353</v>
      </c>
      <c r="S36" s="2">
        <f t="shared" si="5"/>
        <v>0.93910011317407405</v>
      </c>
      <c r="T36" s="2">
        <f t="shared" si="6"/>
        <v>0.7871788250484183</v>
      </c>
      <c r="V36" s="3">
        <v>320.39999999999998</v>
      </c>
      <c r="W36" s="1">
        <f t="shared" si="7"/>
        <v>211.202</v>
      </c>
      <c r="AA36" s="2">
        <f t="shared" si="12"/>
        <v>211.202</v>
      </c>
      <c r="AD36" s="1">
        <v>7.45</v>
      </c>
      <c r="AE36" s="2">
        <f t="shared" si="9"/>
        <v>-348.37420680576298</v>
      </c>
    </row>
    <row r="37" spans="1:31" s="2" customFormat="1" x14ac:dyDescent="0.2">
      <c r="A37" s="1" t="s">
        <v>20</v>
      </c>
      <c r="B37" s="3">
        <v>20</v>
      </c>
      <c r="C37" s="1">
        <v>7.45</v>
      </c>
      <c r="D37" s="3">
        <v>0.18</v>
      </c>
      <c r="E37" s="3">
        <v>316</v>
      </c>
      <c r="F37" s="3">
        <v>57.75</v>
      </c>
      <c r="G37" s="3">
        <v>222.36</v>
      </c>
      <c r="H37" s="3">
        <v>224.434</v>
      </c>
      <c r="I37" s="3">
        <v>107.967</v>
      </c>
      <c r="J37" s="3">
        <v>125.565</v>
      </c>
      <c r="K37" s="3">
        <v>116.86799999999999</v>
      </c>
      <c r="L37" s="3">
        <v>99.79</v>
      </c>
      <c r="N37" s="2">
        <f t="shared" si="0"/>
        <v>896.98399999999992</v>
      </c>
      <c r="O37" s="2">
        <f t="shared" si="1"/>
        <v>224.434</v>
      </c>
      <c r="P37" s="2">
        <f t="shared" si="2"/>
        <v>125.565</v>
      </c>
      <c r="Q37" s="2">
        <f t="shared" si="3"/>
        <v>116.86799999999999</v>
      </c>
      <c r="R37" s="2">
        <f t="shared" si="4"/>
        <v>0.99075897591274054</v>
      </c>
      <c r="S37" s="2">
        <f t="shared" si="5"/>
        <v>0.85984948034882336</v>
      </c>
      <c r="T37" s="2">
        <f t="shared" si="6"/>
        <v>0.85386932265461901</v>
      </c>
      <c r="V37" s="3">
        <v>316</v>
      </c>
      <c r="W37" s="1">
        <f t="shared" si="7"/>
        <v>224.434</v>
      </c>
      <c r="AA37" s="2">
        <f t="shared" si="12"/>
        <v>224.434</v>
      </c>
      <c r="AD37" s="1">
        <v>7.45</v>
      </c>
      <c r="AE37" s="2">
        <f t="shared" si="9"/>
        <v>-353.14896399253558</v>
      </c>
    </row>
    <row r="38" spans="1:31" s="2" customFormat="1" x14ac:dyDescent="0.2">
      <c r="A38" s="1" t="s">
        <v>20</v>
      </c>
      <c r="B38" s="3">
        <v>20</v>
      </c>
      <c r="C38" s="1">
        <v>7.45</v>
      </c>
      <c r="D38" s="3">
        <v>0.18</v>
      </c>
      <c r="E38" s="3">
        <v>369.94</v>
      </c>
      <c r="F38" s="3">
        <v>71.234999999999999</v>
      </c>
      <c r="G38" s="3">
        <v>271.13600000000002</v>
      </c>
      <c r="H38" s="3">
        <v>267.06700000000001</v>
      </c>
      <c r="I38" s="3">
        <v>151.71</v>
      </c>
      <c r="J38" s="3">
        <v>234.834</v>
      </c>
      <c r="K38" s="3">
        <v>192.607</v>
      </c>
      <c r="L38" s="3">
        <v>187.423</v>
      </c>
      <c r="N38" s="2">
        <f t="shared" si="0"/>
        <v>1304.777</v>
      </c>
      <c r="O38" s="2">
        <f t="shared" si="1"/>
        <v>271.13600000000002</v>
      </c>
      <c r="P38" s="2">
        <f t="shared" si="2"/>
        <v>234.834</v>
      </c>
      <c r="Q38" s="2">
        <f t="shared" si="3"/>
        <v>192.607</v>
      </c>
      <c r="R38" s="2">
        <f t="shared" si="4"/>
        <v>0.98499277115543482</v>
      </c>
      <c r="S38" s="2">
        <f t="shared" si="5"/>
        <v>0.64603081325532086</v>
      </c>
      <c r="T38" s="2">
        <f t="shared" si="6"/>
        <v>0.9730850903653554</v>
      </c>
      <c r="V38" s="3">
        <v>369.94</v>
      </c>
      <c r="W38" s="1">
        <f t="shared" si="7"/>
        <v>271.13600000000002</v>
      </c>
      <c r="AA38" s="2">
        <f t="shared" si="12"/>
        <v>271.13600000000002</v>
      </c>
      <c r="AD38" s="1">
        <v>7.45</v>
      </c>
      <c r="AE38" s="2">
        <f t="shared" si="9"/>
        <v>-301.42802406985157</v>
      </c>
    </row>
    <row r="39" spans="1:31" s="2" customFormat="1" x14ac:dyDescent="0.2">
      <c r="A39" s="1" t="s">
        <v>20</v>
      </c>
      <c r="B39" s="3">
        <v>20</v>
      </c>
      <c r="C39" s="1">
        <v>7.2</v>
      </c>
      <c r="D39" s="3">
        <v>0.18</v>
      </c>
      <c r="E39" s="3">
        <v>361.89</v>
      </c>
      <c r="F39" s="3">
        <v>69.222499999999997</v>
      </c>
      <c r="G39" s="3">
        <v>254.136</v>
      </c>
      <c r="H39" s="3">
        <v>265.86599999999999</v>
      </c>
      <c r="I39" s="3">
        <v>289.75900000000001</v>
      </c>
      <c r="J39" s="3">
        <v>201.63499999999999</v>
      </c>
      <c r="K39" s="3">
        <v>215.92599999999999</v>
      </c>
      <c r="L39" s="3">
        <v>166.43299999999999</v>
      </c>
      <c r="N39" s="2">
        <f t="shared" si="0"/>
        <v>1393.7549999999999</v>
      </c>
      <c r="O39" s="2">
        <f t="shared" si="1"/>
        <v>265.86599999999999</v>
      </c>
      <c r="P39" s="2">
        <f t="shared" si="2"/>
        <v>289.75900000000001</v>
      </c>
      <c r="Q39" s="2">
        <f t="shared" si="3"/>
        <v>215.92599999999999</v>
      </c>
      <c r="R39" s="2">
        <f t="shared" si="4"/>
        <v>0.95588002978944286</v>
      </c>
      <c r="S39" s="2">
        <f t="shared" si="5"/>
        <v>0.69587139657439456</v>
      </c>
      <c r="T39" s="2">
        <f t="shared" si="6"/>
        <v>0.77078721413817697</v>
      </c>
      <c r="V39" s="3">
        <v>361.89</v>
      </c>
      <c r="W39" s="1">
        <f t="shared" si="7"/>
        <v>265.86599999999999</v>
      </c>
      <c r="AB39" s="2">
        <f>W39</f>
        <v>265.86599999999999</v>
      </c>
      <c r="AD39" s="1">
        <v>7.2</v>
      </c>
      <c r="AE39" s="2">
        <f t="shared" si="9"/>
        <v>-308.15952672258271</v>
      </c>
    </row>
    <row r="40" spans="1:31" s="2" customFormat="1" x14ac:dyDescent="0.2">
      <c r="A40" s="1" t="s">
        <v>20</v>
      </c>
      <c r="B40" s="3">
        <v>20</v>
      </c>
      <c r="C40" s="1">
        <v>7.2</v>
      </c>
      <c r="D40" s="3">
        <v>0.18</v>
      </c>
      <c r="E40" s="3">
        <v>344.77</v>
      </c>
      <c r="F40" s="3">
        <v>64.942499999999995</v>
      </c>
      <c r="G40" s="3">
        <v>235.595</v>
      </c>
      <c r="H40" s="3">
        <v>241.46600000000001</v>
      </c>
      <c r="I40" s="3">
        <v>257.21300000000002</v>
      </c>
      <c r="J40" s="3">
        <v>238.684</v>
      </c>
      <c r="K40" s="3">
        <v>172.244</v>
      </c>
      <c r="L40" s="3">
        <v>170.78700000000001</v>
      </c>
      <c r="N40" s="2">
        <f t="shared" si="0"/>
        <v>1315.989</v>
      </c>
      <c r="O40" s="2">
        <f t="shared" si="1"/>
        <v>241.46600000000001</v>
      </c>
      <c r="P40" s="2">
        <f t="shared" si="2"/>
        <v>257.21300000000002</v>
      </c>
      <c r="Q40" s="2">
        <f t="shared" si="3"/>
        <v>172.244</v>
      </c>
      <c r="R40" s="2">
        <f t="shared" si="4"/>
        <v>0.97568601790728293</v>
      </c>
      <c r="S40" s="2">
        <f t="shared" si="5"/>
        <v>0.92796242802657714</v>
      </c>
      <c r="T40" s="2">
        <f t="shared" si="6"/>
        <v>0.9915410696453868</v>
      </c>
      <c r="V40" s="3">
        <v>344.77</v>
      </c>
      <c r="W40" s="1">
        <f t="shared" si="7"/>
        <v>241.46600000000001</v>
      </c>
      <c r="AB40" s="2">
        <f t="shared" ref="AB40:AB48" si="13">W40</f>
        <v>241.46600000000001</v>
      </c>
      <c r="AD40" s="1">
        <v>7.2</v>
      </c>
      <c r="AE40" s="2">
        <f t="shared" si="9"/>
        <v>-323.59007549031935</v>
      </c>
    </row>
    <row r="41" spans="1:31" s="2" customFormat="1" x14ac:dyDescent="0.2">
      <c r="A41" s="1" t="s">
        <v>20</v>
      </c>
      <c r="B41" s="3">
        <v>20</v>
      </c>
      <c r="C41" s="1">
        <v>7.2</v>
      </c>
      <c r="D41" s="3">
        <v>0.18</v>
      </c>
      <c r="E41" s="3">
        <v>334.85</v>
      </c>
      <c r="F41" s="3">
        <v>62.462500000000006</v>
      </c>
      <c r="G41" s="3">
        <v>261.82</v>
      </c>
      <c r="H41" s="3">
        <v>256.81299999999999</v>
      </c>
      <c r="I41" s="3">
        <v>246.565</v>
      </c>
      <c r="J41" s="3">
        <v>236.96600000000001</v>
      </c>
      <c r="K41" s="3">
        <v>153.172</v>
      </c>
      <c r="L41" s="3">
        <v>103.464</v>
      </c>
      <c r="N41" s="2">
        <f t="shared" si="0"/>
        <v>1258.8</v>
      </c>
      <c r="O41" s="2">
        <f t="shared" si="1"/>
        <v>261.82</v>
      </c>
      <c r="P41" s="2">
        <f t="shared" si="2"/>
        <v>246.565</v>
      </c>
      <c r="Q41" s="2">
        <f t="shared" si="3"/>
        <v>153.172</v>
      </c>
      <c r="R41" s="2">
        <f t="shared" si="4"/>
        <v>0.98087617447101061</v>
      </c>
      <c r="S41" s="2">
        <f t="shared" si="5"/>
        <v>0.96106908928680068</v>
      </c>
      <c r="T41" s="2">
        <f t="shared" si="6"/>
        <v>0.6754759355495783</v>
      </c>
      <c r="V41" s="3">
        <v>334.85</v>
      </c>
      <c r="W41" s="1">
        <f t="shared" si="7"/>
        <v>261.82</v>
      </c>
      <c r="AB41" s="2">
        <f t="shared" si="13"/>
        <v>261.82</v>
      </c>
      <c r="AD41" s="1">
        <v>7.2</v>
      </c>
      <c r="AE41" s="2">
        <f t="shared" si="9"/>
        <v>-333.06613947931248</v>
      </c>
    </row>
    <row r="42" spans="1:31" s="2" customFormat="1" x14ac:dyDescent="0.2">
      <c r="A42" s="1" t="s">
        <v>20</v>
      </c>
      <c r="B42" s="3">
        <v>20</v>
      </c>
      <c r="C42" s="1">
        <v>7.2</v>
      </c>
      <c r="D42" s="3">
        <v>0.18</v>
      </c>
      <c r="E42" s="3">
        <v>368.95</v>
      </c>
      <c r="F42" s="3">
        <v>70.987499999999997</v>
      </c>
      <c r="G42" s="3">
        <v>295.70400000000001</v>
      </c>
      <c r="H42" s="3">
        <v>306.39999999999998</v>
      </c>
      <c r="I42" s="3">
        <v>236.25200000000001</v>
      </c>
      <c r="J42" s="3">
        <v>244.69200000000001</v>
      </c>
      <c r="K42" s="3">
        <v>155.10599999999999</v>
      </c>
      <c r="L42" s="3">
        <v>158.63900000000001</v>
      </c>
      <c r="N42" s="2">
        <f t="shared" si="0"/>
        <v>1396.7930000000001</v>
      </c>
      <c r="O42" s="2">
        <f t="shared" si="1"/>
        <v>306.39999999999998</v>
      </c>
      <c r="P42" s="2">
        <f t="shared" si="2"/>
        <v>244.69200000000001</v>
      </c>
      <c r="Q42" s="2">
        <f t="shared" si="3"/>
        <v>158.63900000000001</v>
      </c>
      <c r="R42" s="2">
        <f t="shared" si="4"/>
        <v>0.96509138381201054</v>
      </c>
      <c r="S42" s="2">
        <f t="shared" si="5"/>
        <v>0.96550765860755561</v>
      </c>
      <c r="T42" s="2">
        <f t="shared" si="6"/>
        <v>0.97772930994270002</v>
      </c>
      <c r="V42" s="3">
        <v>368.95</v>
      </c>
      <c r="W42" s="1">
        <f t="shared" si="7"/>
        <v>306.39999999999998</v>
      </c>
      <c r="AB42" s="2">
        <f t="shared" si="13"/>
        <v>306.39999999999998</v>
      </c>
      <c r="AD42" s="1">
        <v>7.2</v>
      </c>
      <c r="AE42" s="2">
        <f t="shared" si="9"/>
        <v>-302.06331477293855</v>
      </c>
    </row>
    <row r="43" spans="1:31" s="2" customFormat="1" x14ac:dyDescent="0.2">
      <c r="A43" s="1" t="s">
        <v>20</v>
      </c>
      <c r="B43" s="3">
        <v>20</v>
      </c>
      <c r="C43" s="1">
        <v>7.2</v>
      </c>
      <c r="D43" s="3">
        <v>0.18</v>
      </c>
      <c r="E43" s="3">
        <v>292.37</v>
      </c>
      <c r="F43" s="3">
        <v>51.842500000000001</v>
      </c>
      <c r="G43" s="3">
        <v>234.435</v>
      </c>
      <c r="H43" s="3">
        <v>208.221</v>
      </c>
      <c r="I43" s="3">
        <v>257.20800000000003</v>
      </c>
      <c r="J43" s="3">
        <v>227.18799999999999</v>
      </c>
      <c r="K43" s="3">
        <v>162.32300000000001</v>
      </c>
      <c r="L43" s="3">
        <v>141.56</v>
      </c>
      <c r="N43" s="2">
        <f t="shared" si="0"/>
        <v>1230.9349999999999</v>
      </c>
      <c r="O43" s="2">
        <f t="shared" si="1"/>
        <v>234.435</v>
      </c>
      <c r="P43" s="2">
        <f t="shared" si="2"/>
        <v>257.20800000000003</v>
      </c>
      <c r="Q43" s="2">
        <f t="shared" si="3"/>
        <v>162.32300000000001</v>
      </c>
      <c r="R43" s="2">
        <f t="shared" si="4"/>
        <v>0.88818222535031033</v>
      </c>
      <c r="S43" s="2">
        <f t="shared" si="5"/>
        <v>0.8832851233243133</v>
      </c>
      <c r="T43" s="2">
        <f t="shared" si="6"/>
        <v>0.87208836702130932</v>
      </c>
      <c r="V43" s="3">
        <v>292.37</v>
      </c>
      <c r="W43" s="1">
        <f t="shared" si="7"/>
        <v>234.435</v>
      </c>
      <c r="AB43" s="2">
        <f t="shared" si="13"/>
        <v>234.435</v>
      </c>
      <c r="AD43" s="1">
        <v>7.2</v>
      </c>
      <c r="AE43" s="2">
        <f t="shared" si="9"/>
        <v>-381.62915277144697</v>
      </c>
    </row>
    <row r="44" spans="1:31" s="2" customFormat="1" x14ac:dyDescent="0.2">
      <c r="A44" s="1" t="s">
        <v>20</v>
      </c>
      <c r="B44" s="3">
        <v>20</v>
      </c>
      <c r="C44" s="1">
        <v>7.2</v>
      </c>
      <c r="D44" s="3">
        <v>0.18</v>
      </c>
      <c r="E44" s="3">
        <v>325.58999999999997</v>
      </c>
      <c r="F44" s="3">
        <v>60.147499999999994</v>
      </c>
      <c r="G44" s="3">
        <v>325.58800000000002</v>
      </c>
      <c r="H44" s="3">
        <v>229.23099999999999</v>
      </c>
      <c r="I44" s="3">
        <v>227.86500000000001</v>
      </c>
      <c r="J44" s="3">
        <v>210.607</v>
      </c>
      <c r="K44" s="3">
        <v>216.297</v>
      </c>
      <c r="L44" s="3">
        <v>144.24</v>
      </c>
      <c r="N44" s="2">
        <f t="shared" si="0"/>
        <v>1353.828</v>
      </c>
      <c r="O44" s="2">
        <f t="shared" si="1"/>
        <v>325.58800000000002</v>
      </c>
      <c r="P44" s="2">
        <f t="shared" si="2"/>
        <v>227.86500000000001</v>
      </c>
      <c r="Q44" s="2">
        <f t="shared" si="3"/>
        <v>216.297</v>
      </c>
      <c r="R44" s="2">
        <f t="shared" si="4"/>
        <v>0.70405236065211241</v>
      </c>
      <c r="S44" s="2">
        <f t="shared" si="5"/>
        <v>0.92426217277774114</v>
      </c>
      <c r="T44" s="2">
        <f t="shared" si="6"/>
        <v>0.66686084411711677</v>
      </c>
      <c r="V44" s="3">
        <v>325.58999999999997</v>
      </c>
      <c r="W44" s="1">
        <f t="shared" si="7"/>
        <v>325.58800000000002</v>
      </c>
      <c r="AB44" s="2">
        <f t="shared" si="13"/>
        <v>325.58800000000002</v>
      </c>
      <c r="AD44" s="1">
        <v>7.2</v>
      </c>
      <c r="AE44" s="2">
        <f t="shared" si="9"/>
        <v>-342.18318555289932</v>
      </c>
    </row>
    <row r="45" spans="1:31" s="2" customFormat="1" x14ac:dyDescent="0.2">
      <c r="A45" s="1" t="s">
        <v>20</v>
      </c>
      <c r="B45" s="3">
        <v>20</v>
      </c>
      <c r="C45" s="1">
        <v>7.2</v>
      </c>
      <c r="D45" s="3">
        <v>0.18</v>
      </c>
      <c r="E45" s="3">
        <v>346.97</v>
      </c>
      <c r="F45" s="3">
        <v>65.492500000000007</v>
      </c>
      <c r="G45" s="3">
        <v>274.71199999999999</v>
      </c>
      <c r="H45" s="3">
        <v>274.93299999999999</v>
      </c>
      <c r="I45" s="3">
        <v>224.17599999999999</v>
      </c>
      <c r="J45" s="3">
        <v>186.84299999999999</v>
      </c>
      <c r="K45" s="3">
        <v>134.07</v>
      </c>
      <c r="L45" s="3">
        <v>154.017</v>
      </c>
      <c r="N45" s="2">
        <f t="shared" si="0"/>
        <v>1248.751</v>
      </c>
      <c r="O45" s="2">
        <f t="shared" si="1"/>
        <v>274.93299999999999</v>
      </c>
      <c r="P45" s="2">
        <f t="shared" si="2"/>
        <v>224.17599999999999</v>
      </c>
      <c r="Q45" s="2">
        <f t="shared" si="3"/>
        <v>154.017</v>
      </c>
      <c r="R45" s="2">
        <f t="shared" si="4"/>
        <v>0.99919616779360787</v>
      </c>
      <c r="S45" s="2">
        <f t="shared" si="5"/>
        <v>0.83346566983084724</v>
      </c>
      <c r="T45" s="2">
        <f t="shared" si="6"/>
        <v>0.87048832271762211</v>
      </c>
      <c r="V45" s="3">
        <v>346.97</v>
      </c>
      <c r="W45" s="1">
        <f t="shared" si="7"/>
        <v>274.93299999999999</v>
      </c>
      <c r="AB45" s="2">
        <f t="shared" si="13"/>
        <v>274.93299999999999</v>
      </c>
      <c r="AD45" s="1">
        <v>7.2</v>
      </c>
      <c r="AE45" s="2">
        <f t="shared" si="9"/>
        <v>-321.36320032021587</v>
      </c>
    </row>
    <row r="46" spans="1:31" s="2" customFormat="1" x14ac:dyDescent="0.2">
      <c r="A46" s="1" t="s">
        <v>20</v>
      </c>
      <c r="B46" s="3">
        <v>20</v>
      </c>
      <c r="C46" s="1">
        <v>7.2</v>
      </c>
      <c r="D46" s="3">
        <v>0.18</v>
      </c>
      <c r="E46" s="3">
        <v>338.15</v>
      </c>
      <c r="F46" s="3">
        <v>63.287499999999994</v>
      </c>
      <c r="G46" s="3">
        <v>252.22800000000001</v>
      </c>
      <c r="H46" s="3">
        <v>243.66800000000001</v>
      </c>
      <c r="I46" s="3">
        <v>211.95599999999999</v>
      </c>
      <c r="J46" s="3">
        <v>222.054</v>
      </c>
      <c r="K46" s="3">
        <v>161.93100000000001</v>
      </c>
      <c r="L46" s="3">
        <v>166.155</v>
      </c>
      <c r="N46" s="2">
        <f t="shared" si="0"/>
        <v>1257.992</v>
      </c>
      <c r="O46" s="2">
        <f t="shared" si="1"/>
        <v>252.22800000000001</v>
      </c>
      <c r="P46" s="2">
        <f t="shared" si="2"/>
        <v>222.054</v>
      </c>
      <c r="Q46" s="2">
        <f t="shared" si="3"/>
        <v>166.155</v>
      </c>
      <c r="R46" s="2">
        <f t="shared" si="4"/>
        <v>0.96606245143283065</v>
      </c>
      <c r="S46" s="2">
        <f t="shared" si="5"/>
        <v>0.9545245751033532</v>
      </c>
      <c r="T46" s="2">
        <f t="shared" si="6"/>
        <v>0.97457795431976169</v>
      </c>
      <c r="V46" s="3">
        <v>338.15</v>
      </c>
      <c r="W46" s="1">
        <f t="shared" si="7"/>
        <v>252.22800000000001</v>
      </c>
      <c r="AB46" s="2">
        <f t="shared" si="13"/>
        <v>252.22800000000001</v>
      </c>
      <c r="AD46" s="1">
        <v>7.2</v>
      </c>
      <c r="AE46" s="2">
        <f t="shared" si="9"/>
        <v>-329.86725262226628</v>
      </c>
    </row>
    <row r="47" spans="1:31" s="2" customFormat="1" x14ac:dyDescent="0.2">
      <c r="A47" s="1" t="s">
        <v>20</v>
      </c>
      <c r="B47" s="3">
        <v>20</v>
      </c>
      <c r="C47" s="1">
        <v>7.2</v>
      </c>
      <c r="D47" s="3">
        <v>0.18</v>
      </c>
      <c r="E47" s="3">
        <v>356.37</v>
      </c>
      <c r="F47" s="3">
        <v>67.842500000000001</v>
      </c>
      <c r="G47" s="3">
        <v>278.226</v>
      </c>
      <c r="H47" s="3">
        <v>275.24599999999998</v>
      </c>
      <c r="I47" s="3">
        <v>239.73099999999999</v>
      </c>
      <c r="J47" s="3">
        <v>229.376</v>
      </c>
      <c r="K47" s="3">
        <v>170.58099999999999</v>
      </c>
      <c r="L47" s="3">
        <v>166.81800000000001</v>
      </c>
      <c r="N47" s="2">
        <f t="shared" si="0"/>
        <v>1359.9779999999998</v>
      </c>
      <c r="O47" s="2">
        <f t="shared" si="1"/>
        <v>278.226</v>
      </c>
      <c r="P47" s="2">
        <f t="shared" si="2"/>
        <v>239.73099999999999</v>
      </c>
      <c r="Q47" s="2">
        <f t="shared" si="3"/>
        <v>170.58099999999999</v>
      </c>
      <c r="R47" s="2">
        <f t="shared" si="4"/>
        <v>0.98928928281325246</v>
      </c>
      <c r="S47" s="2">
        <f t="shared" si="5"/>
        <v>0.95680575311494975</v>
      </c>
      <c r="T47" s="2">
        <f t="shared" si="6"/>
        <v>0.97794009883867505</v>
      </c>
      <c r="V47" s="3">
        <v>356.37</v>
      </c>
      <c r="W47" s="1">
        <f t="shared" si="7"/>
        <v>278.226</v>
      </c>
      <c r="AB47" s="2">
        <f t="shared" si="13"/>
        <v>278.226</v>
      </c>
      <c r="AD47" s="1">
        <v>7.2</v>
      </c>
      <c r="AE47" s="2">
        <f t="shared" si="9"/>
        <v>-312.86980115747531</v>
      </c>
    </row>
    <row r="48" spans="1:31" s="2" customFormat="1" x14ac:dyDescent="0.2">
      <c r="A48" s="1" t="s">
        <v>20</v>
      </c>
      <c r="B48" s="3">
        <v>20</v>
      </c>
      <c r="C48" s="1">
        <v>7.2</v>
      </c>
      <c r="D48" s="3">
        <v>0.18</v>
      </c>
      <c r="E48" s="3">
        <v>342.08</v>
      </c>
      <c r="F48" s="3">
        <v>64.27</v>
      </c>
      <c r="G48" s="3">
        <v>245.733</v>
      </c>
      <c r="H48" s="3">
        <v>253.77799999999999</v>
      </c>
      <c r="I48" s="3">
        <v>261.50799999999998</v>
      </c>
      <c r="J48" s="3">
        <v>187.97399999999999</v>
      </c>
      <c r="K48" s="3">
        <v>120.617</v>
      </c>
      <c r="L48" s="3">
        <v>127.97799999999999</v>
      </c>
      <c r="N48" s="2">
        <f t="shared" si="0"/>
        <v>1197.588</v>
      </c>
      <c r="O48" s="2">
        <f t="shared" si="1"/>
        <v>253.77799999999999</v>
      </c>
      <c r="P48" s="2">
        <f t="shared" si="2"/>
        <v>261.50799999999998</v>
      </c>
      <c r="Q48" s="2">
        <f t="shared" si="3"/>
        <v>127.97799999999999</v>
      </c>
      <c r="R48" s="2">
        <f t="shared" si="4"/>
        <v>0.9682990645367211</v>
      </c>
      <c r="S48" s="2">
        <f t="shared" si="5"/>
        <v>0.71880783761873446</v>
      </c>
      <c r="T48" s="2">
        <f t="shared" si="6"/>
        <v>0.94248230164559543</v>
      </c>
      <c r="V48" s="3">
        <v>342.08</v>
      </c>
      <c r="W48" s="1">
        <f t="shared" si="7"/>
        <v>253.77799999999999</v>
      </c>
      <c r="AB48" s="2">
        <f t="shared" si="13"/>
        <v>253.77799999999999</v>
      </c>
      <c r="AD48" s="1">
        <v>7.2</v>
      </c>
      <c r="AE48" s="2">
        <f t="shared" si="9"/>
        <v>-326.06933286254952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3ABA-A551-431A-B5DB-92C5B064318F}">
  <dimension ref="A1:AD42"/>
  <sheetViews>
    <sheetView workbookViewId="0">
      <selection activeCell="AH33" sqref="AH33"/>
    </sheetView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1" t="s">
        <v>4</v>
      </c>
      <c r="W1" s="1" t="s">
        <v>15</v>
      </c>
      <c r="X1" t="s">
        <v>29</v>
      </c>
      <c r="Y1" t="s">
        <v>30</v>
      </c>
      <c r="Z1" t="s">
        <v>31</v>
      </c>
      <c r="AA1" t="s">
        <v>32</v>
      </c>
      <c r="AC1" s="1" t="s">
        <v>21</v>
      </c>
      <c r="AD1" t="s">
        <v>39</v>
      </c>
    </row>
    <row r="2" spans="1:30" s="2" customFormat="1" x14ac:dyDescent="0.2">
      <c r="A2" s="1" t="s">
        <v>22</v>
      </c>
      <c r="B2" s="3">
        <v>12</v>
      </c>
      <c r="C2" s="1">
        <v>8.1</v>
      </c>
      <c r="D2" s="3">
        <v>0.18</v>
      </c>
      <c r="E2" s="3">
        <v>262.94</v>
      </c>
      <c r="F2" s="3">
        <v>44.484999999999999</v>
      </c>
      <c r="G2" s="3">
        <v>174.297</v>
      </c>
      <c r="H2" s="3">
        <v>176.25200000000001</v>
      </c>
      <c r="I2" s="3">
        <v>110.327</v>
      </c>
      <c r="J2" s="3">
        <v>98.662000000000006</v>
      </c>
      <c r="K2" s="3">
        <v>125.604</v>
      </c>
      <c r="L2" s="3">
        <v>125.965</v>
      </c>
      <c r="N2" s="2">
        <f t="shared" ref="N2:N38" si="0">SUM(G2:L2)</f>
        <v>811.10700000000008</v>
      </c>
      <c r="O2" s="2">
        <f t="shared" ref="O2:O38" si="1">MAX(G2:H2)</f>
        <v>176.25200000000001</v>
      </c>
      <c r="P2" s="2">
        <f t="shared" ref="P2:P38" si="2">MAX(I2:J2)</f>
        <v>110.327</v>
      </c>
      <c r="Q2" s="2">
        <f t="shared" ref="Q2:Q38" si="3">MAX(K2:L2)</f>
        <v>125.965</v>
      </c>
      <c r="R2" s="2">
        <f t="shared" ref="R2:R38" si="4">MIN(G2:H2)/MAX(G2:H2)</f>
        <v>0.98890792728593147</v>
      </c>
      <c r="S2" s="2">
        <f t="shared" ref="S2:S38" si="5">MIN(I2:J2)/MAX(I2:J2)</f>
        <v>0.89426885531193645</v>
      </c>
      <c r="T2" s="2">
        <f t="shared" ref="T2:T38" si="6">MIN(K2:L2)/MAX(K2:L2)</f>
        <v>0.997134124558409</v>
      </c>
      <c r="V2" s="3">
        <v>262.94</v>
      </c>
      <c r="W2" s="2">
        <f t="shared" ref="W2:W38" si="7">MAX(Q2:R2)</f>
        <v>125.965</v>
      </c>
      <c r="X2" s="2">
        <f>W2</f>
        <v>125.965</v>
      </c>
      <c r="AC2" s="3">
        <v>12</v>
      </c>
      <c r="AD2" s="2">
        <f>(W2-11.715)/(V2*0.4874)</f>
        <v>0.89148496941515987</v>
      </c>
    </row>
    <row r="3" spans="1:30" s="2" customFormat="1" x14ac:dyDescent="0.2">
      <c r="A3" s="1" t="s">
        <v>22</v>
      </c>
      <c r="B3" s="3">
        <v>12</v>
      </c>
      <c r="C3" s="1">
        <v>8.1</v>
      </c>
      <c r="D3" s="3">
        <v>0.18</v>
      </c>
      <c r="E3" s="3">
        <v>254.65</v>
      </c>
      <c r="F3" s="3">
        <v>42.412500000000001</v>
      </c>
      <c r="G3" s="3">
        <v>190.71899999999999</v>
      </c>
      <c r="H3" s="3">
        <v>195.96600000000001</v>
      </c>
      <c r="I3" s="3">
        <v>95.438999999999993</v>
      </c>
      <c r="J3" s="3">
        <v>110.425</v>
      </c>
      <c r="K3" s="3">
        <v>87.802999999999997</v>
      </c>
      <c r="L3" s="3">
        <v>88.430999999999997</v>
      </c>
      <c r="N3" s="2">
        <f t="shared" si="0"/>
        <v>768.78300000000002</v>
      </c>
      <c r="O3" s="2">
        <f t="shared" si="1"/>
        <v>195.96600000000001</v>
      </c>
      <c r="P3" s="2">
        <f t="shared" si="2"/>
        <v>110.425</v>
      </c>
      <c r="Q3" s="2">
        <f t="shared" si="3"/>
        <v>88.430999999999997</v>
      </c>
      <c r="R3" s="2">
        <f t="shared" si="4"/>
        <v>0.97322494718471564</v>
      </c>
      <c r="S3" s="2">
        <f t="shared" si="5"/>
        <v>0.86428797826579118</v>
      </c>
      <c r="T3" s="2">
        <f t="shared" si="6"/>
        <v>0.99289841797559675</v>
      </c>
      <c r="V3" s="3">
        <v>254.65</v>
      </c>
      <c r="W3" s="2">
        <f t="shared" si="7"/>
        <v>88.430999999999997</v>
      </c>
      <c r="X3" s="2">
        <f t="shared" ref="X3:X11" si="8">W3</f>
        <v>88.430999999999997</v>
      </c>
      <c r="AC3" s="3">
        <v>12</v>
      </c>
      <c r="AD3" s="2">
        <f t="shared" ref="AD3:AD37" si="9">(W3-11.715)/(V3*0.4874)</f>
        <v>0.61809715572662782</v>
      </c>
    </row>
    <row r="4" spans="1:30" s="2" customFormat="1" x14ac:dyDescent="0.2">
      <c r="A4" s="1" t="s">
        <v>22</v>
      </c>
      <c r="B4" s="3">
        <v>12</v>
      </c>
      <c r="C4" s="1">
        <v>8.1</v>
      </c>
      <c r="D4" s="3">
        <v>0.18</v>
      </c>
      <c r="E4" s="3">
        <v>274.92</v>
      </c>
      <c r="F4" s="3">
        <v>47.480000000000004</v>
      </c>
      <c r="G4" s="3">
        <v>219.471</v>
      </c>
      <c r="H4" s="3">
        <v>215.5</v>
      </c>
      <c r="I4" s="3">
        <v>128.37</v>
      </c>
      <c r="J4" s="3">
        <v>100.559</v>
      </c>
      <c r="K4" s="3">
        <v>77.084000000000003</v>
      </c>
      <c r="L4" s="3">
        <v>85.688999999999993</v>
      </c>
      <c r="N4" s="2">
        <f t="shared" si="0"/>
        <v>826.67299999999989</v>
      </c>
      <c r="O4" s="2">
        <f t="shared" si="1"/>
        <v>219.471</v>
      </c>
      <c r="P4" s="2">
        <f t="shared" si="2"/>
        <v>128.37</v>
      </c>
      <c r="Q4" s="2">
        <f t="shared" si="3"/>
        <v>85.688999999999993</v>
      </c>
      <c r="R4" s="2">
        <f t="shared" si="4"/>
        <v>0.98190649334080582</v>
      </c>
      <c r="S4" s="2">
        <f t="shared" si="5"/>
        <v>0.78335280828854092</v>
      </c>
      <c r="T4" s="2">
        <f t="shared" si="6"/>
        <v>0.89957870905250392</v>
      </c>
      <c r="V4" s="3">
        <v>274.92</v>
      </c>
      <c r="W4" s="2">
        <f t="shared" si="7"/>
        <v>85.688999999999993</v>
      </c>
      <c r="X4" s="2">
        <f t="shared" si="8"/>
        <v>85.688999999999993</v>
      </c>
      <c r="AC4" s="3">
        <v>12</v>
      </c>
      <c r="AD4" s="2">
        <f t="shared" si="9"/>
        <v>0.55206122260000445</v>
      </c>
    </row>
    <row r="5" spans="1:30" s="2" customFormat="1" x14ac:dyDescent="0.2">
      <c r="A5" s="1" t="s">
        <v>22</v>
      </c>
      <c r="B5" s="3">
        <v>12</v>
      </c>
      <c r="C5" s="1">
        <v>8.1</v>
      </c>
      <c r="D5" s="3">
        <v>0.18</v>
      </c>
      <c r="E5" s="3">
        <v>279.45999999999998</v>
      </c>
      <c r="F5" s="3">
        <v>48.614999999999995</v>
      </c>
      <c r="G5" s="3">
        <v>217.37</v>
      </c>
      <c r="H5" s="3">
        <v>214.63399999999999</v>
      </c>
      <c r="I5" s="3">
        <v>117.441</v>
      </c>
      <c r="J5" s="3">
        <v>130.673</v>
      </c>
      <c r="K5" s="3">
        <v>82.605000000000004</v>
      </c>
      <c r="L5" s="3">
        <v>82.462000000000003</v>
      </c>
      <c r="N5" s="2">
        <f t="shared" si="0"/>
        <v>845.18500000000006</v>
      </c>
      <c r="O5" s="2">
        <f t="shared" si="1"/>
        <v>217.37</v>
      </c>
      <c r="P5" s="2">
        <f t="shared" si="2"/>
        <v>130.673</v>
      </c>
      <c r="Q5" s="2">
        <f t="shared" si="3"/>
        <v>82.605000000000004</v>
      </c>
      <c r="R5" s="2">
        <f t="shared" si="4"/>
        <v>0.98741316649031596</v>
      </c>
      <c r="S5" s="2">
        <f t="shared" si="5"/>
        <v>0.89873960190705038</v>
      </c>
      <c r="T5" s="2">
        <f t="shared" si="6"/>
        <v>0.99826886992312813</v>
      </c>
      <c r="V5" s="3">
        <v>279.45999999999998</v>
      </c>
      <c r="W5" s="2">
        <f t="shared" si="7"/>
        <v>82.605000000000004</v>
      </c>
      <c r="X5" s="2">
        <f t="shared" si="8"/>
        <v>82.605000000000004</v>
      </c>
      <c r="AC5" s="3">
        <v>12</v>
      </c>
      <c r="AD5" s="2">
        <f t="shared" si="9"/>
        <v>0.52045093942679366</v>
      </c>
    </row>
    <row r="6" spans="1:30" s="2" customFormat="1" x14ac:dyDescent="0.2">
      <c r="A6" s="1" t="s">
        <v>22</v>
      </c>
      <c r="B6" s="3">
        <v>12</v>
      </c>
      <c r="C6" s="1">
        <v>8.1</v>
      </c>
      <c r="D6" s="3">
        <v>0.18</v>
      </c>
      <c r="E6" s="3">
        <v>275.61</v>
      </c>
      <c r="F6" s="3">
        <v>47.652500000000003</v>
      </c>
      <c r="G6" s="3">
        <v>198.43299999999999</v>
      </c>
      <c r="H6" s="3">
        <v>211.94800000000001</v>
      </c>
      <c r="I6" s="3">
        <v>88.486000000000004</v>
      </c>
      <c r="J6" s="3">
        <v>92.605000000000004</v>
      </c>
      <c r="K6" s="3">
        <v>96.277000000000001</v>
      </c>
      <c r="L6" s="3">
        <v>86.915999999999997</v>
      </c>
      <c r="N6" s="2">
        <f t="shared" si="0"/>
        <v>774.66499999999996</v>
      </c>
      <c r="O6" s="2">
        <f t="shared" si="1"/>
        <v>211.94800000000001</v>
      </c>
      <c r="P6" s="2">
        <f t="shared" si="2"/>
        <v>92.605000000000004</v>
      </c>
      <c r="Q6" s="2">
        <f t="shared" si="3"/>
        <v>96.277000000000001</v>
      </c>
      <c r="R6" s="2">
        <f t="shared" si="4"/>
        <v>0.93623435937116639</v>
      </c>
      <c r="S6" s="2">
        <f t="shared" si="5"/>
        <v>0.95552076021813082</v>
      </c>
      <c r="T6" s="2">
        <f t="shared" si="6"/>
        <v>0.90277013201491529</v>
      </c>
      <c r="V6" s="3">
        <v>275.61</v>
      </c>
      <c r="W6" s="2">
        <f t="shared" si="7"/>
        <v>96.277000000000001</v>
      </c>
      <c r="X6" s="2">
        <f t="shared" si="8"/>
        <v>96.277000000000001</v>
      </c>
      <c r="AC6" s="3">
        <v>12</v>
      </c>
      <c r="AD6" s="2">
        <f t="shared" si="9"/>
        <v>0.62949857321746128</v>
      </c>
    </row>
    <row r="7" spans="1:30" s="2" customFormat="1" x14ac:dyDescent="0.2">
      <c r="A7" s="1" t="s">
        <v>22</v>
      </c>
      <c r="B7" s="3">
        <v>12</v>
      </c>
      <c r="C7" s="1">
        <v>8.1</v>
      </c>
      <c r="D7" s="3">
        <v>0.18</v>
      </c>
      <c r="E7" s="3">
        <v>283.70999999999998</v>
      </c>
      <c r="F7" s="3">
        <v>49.677499999999995</v>
      </c>
      <c r="G7" s="3">
        <v>211.149</v>
      </c>
      <c r="H7" s="3">
        <v>213.126</v>
      </c>
      <c r="I7" s="3">
        <v>97.498000000000005</v>
      </c>
      <c r="J7" s="3">
        <v>109.992</v>
      </c>
      <c r="K7" s="3">
        <v>101.429</v>
      </c>
      <c r="L7" s="3">
        <v>110.645</v>
      </c>
      <c r="N7" s="2">
        <f t="shared" si="0"/>
        <v>843.83899999999994</v>
      </c>
      <c r="O7" s="2">
        <f t="shared" si="1"/>
        <v>213.126</v>
      </c>
      <c r="P7" s="2">
        <f t="shared" si="2"/>
        <v>109.992</v>
      </c>
      <c r="Q7" s="2">
        <f t="shared" si="3"/>
        <v>110.645</v>
      </c>
      <c r="R7" s="2">
        <f t="shared" si="4"/>
        <v>0.99072379719039438</v>
      </c>
      <c r="S7" s="2">
        <f t="shared" si="5"/>
        <v>0.88640992072150704</v>
      </c>
      <c r="T7" s="2">
        <f t="shared" si="6"/>
        <v>0.91670658412038508</v>
      </c>
      <c r="V7" s="3">
        <v>283.70999999999998</v>
      </c>
      <c r="W7" s="2">
        <f t="shared" si="7"/>
        <v>110.645</v>
      </c>
      <c r="X7" s="2">
        <f t="shared" si="8"/>
        <v>110.645</v>
      </c>
      <c r="AC7" s="3">
        <v>12</v>
      </c>
      <c r="AD7" s="2">
        <f t="shared" si="9"/>
        <v>0.71543114174493783</v>
      </c>
    </row>
    <row r="8" spans="1:30" s="2" customFormat="1" x14ac:dyDescent="0.2">
      <c r="A8" s="1" t="s">
        <v>22</v>
      </c>
      <c r="B8" s="3">
        <v>12</v>
      </c>
      <c r="C8" s="1">
        <v>8.1</v>
      </c>
      <c r="D8" s="3">
        <v>0.18</v>
      </c>
      <c r="E8" s="3">
        <v>277.16000000000003</v>
      </c>
      <c r="F8" s="3">
        <v>48.040000000000006</v>
      </c>
      <c r="G8" s="3">
        <v>184.072</v>
      </c>
      <c r="H8" s="3">
        <v>188.88900000000001</v>
      </c>
      <c r="I8" s="3">
        <v>79.06</v>
      </c>
      <c r="J8" s="3">
        <v>87.034999999999997</v>
      </c>
      <c r="K8" s="3">
        <v>126.71</v>
      </c>
      <c r="L8" s="3">
        <v>123.01300000000001</v>
      </c>
      <c r="N8" s="2">
        <f t="shared" si="0"/>
        <v>788.77900000000011</v>
      </c>
      <c r="O8" s="2">
        <f t="shared" si="1"/>
        <v>188.88900000000001</v>
      </c>
      <c r="P8" s="2">
        <f t="shared" si="2"/>
        <v>87.034999999999997</v>
      </c>
      <c r="Q8" s="2">
        <f t="shared" si="3"/>
        <v>126.71</v>
      </c>
      <c r="R8" s="2">
        <f t="shared" si="4"/>
        <v>0.97449825029514681</v>
      </c>
      <c r="S8" s="2">
        <f t="shared" si="5"/>
        <v>0.90837019589820189</v>
      </c>
      <c r="T8" s="2">
        <f t="shared" si="6"/>
        <v>0.9708231394522927</v>
      </c>
      <c r="V8" s="3">
        <v>277.16000000000003</v>
      </c>
      <c r="W8" s="2">
        <f t="shared" si="7"/>
        <v>126.71</v>
      </c>
      <c r="X8" s="2">
        <f t="shared" si="8"/>
        <v>126.71</v>
      </c>
      <c r="AC8" s="3">
        <v>12</v>
      </c>
      <c r="AD8" s="2">
        <f t="shared" si="9"/>
        <v>0.85126128059070083</v>
      </c>
    </row>
    <row r="9" spans="1:30" s="2" customFormat="1" x14ac:dyDescent="0.2">
      <c r="A9" s="1" t="s">
        <v>22</v>
      </c>
      <c r="B9" s="3">
        <v>12</v>
      </c>
      <c r="C9" s="1">
        <v>8.1</v>
      </c>
      <c r="D9" s="3">
        <v>0.18</v>
      </c>
      <c r="E9" s="3">
        <v>260.06</v>
      </c>
      <c r="F9" s="3">
        <v>43.765000000000001</v>
      </c>
      <c r="G9" s="3">
        <v>159.62299999999999</v>
      </c>
      <c r="H9" s="3">
        <v>163.54599999999999</v>
      </c>
      <c r="I9" s="3">
        <v>112.38200000000001</v>
      </c>
      <c r="J9" s="3">
        <v>118.70099999999999</v>
      </c>
      <c r="K9" s="3">
        <v>124.595</v>
      </c>
      <c r="L9" s="3">
        <v>111.28700000000001</v>
      </c>
      <c r="N9" s="2">
        <f t="shared" si="0"/>
        <v>790.13400000000001</v>
      </c>
      <c r="O9" s="2">
        <f t="shared" si="1"/>
        <v>163.54599999999999</v>
      </c>
      <c r="P9" s="2">
        <f t="shared" si="2"/>
        <v>118.70099999999999</v>
      </c>
      <c r="Q9" s="2">
        <f t="shared" si="3"/>
        <v>124.595</v>
      </c>
      <c r="R9" s="2">
        <f t="shared" si="4"/>
        <v>0.97601286488205152</v>
      </c>
      <c r="S9" s="2">
        <f t="shared" si="5"/>
        <v>0.94676540214488514</v>
      </c>
      <c r="T9" s="2">
        <f t="shared" si="6"/>
        <v>0.89318993539066582</v>
      </c>
      <c r="V9" s="3">
        <v>260.06</v>
      </c>
      <c r="W9" s="2">
        <f t="shared" si="7"/>
        <v>124.595</v>
      </c>
      <c r="X9" s="2">
        <f t="shared" si="8"/>
        <v>124.595</v>
      </c>
      <c r="AC9" s="3">
        <v>12</v>
      </c>
      <c r="AD9" s="2">
        <f t="shared" si="9"/>
        <v>0.89054919967176538</v>
      </c>
    </row>
    <row r="10" spans="1:30" s="2" customFormat="1" x14ac:dyDescent="0.2">
      <c r="A10" s="1" t="s">
        <v>22</v>
      </c>
      <c r="B10" s="3">
        <v>12</v>
      </c>
      <c r="C10" s="1">
        <v>8.1</v>
      </c>
      <c r="D10" s="3">
        <v>0.18</v>
      </c>
      <c r="E10" s="3">
        <v>265.97000000000003</v>
      </c>
      <c r="F10" s="3">
        <v>45.242500000000007</v>
      </c>
      <c r="G10" s="3">
        <v>189.31</v>
      </c>
      <c r="H10" s="3">
        <v>202.464</v>
      </c>
      <c r="I10" s="3">
        <v>113.773</v>
      </c>
      <c r="J10" s="3">
        <v>109.01600000000001</v>
      </c>
      <c r="K10" s="3">
        <v>93.076999999999998</v>
      </c>
      <c r="L10" s="3">
        <v>90.129000000000005</v>
      </c>
      <c r="N10" s="2">
        <f t="shared" si="0"/>
        <v>797.76900000000001</v>
      </c>
      <c r="O10" s="2">
        <f t="shared" si="1"/>
        <v>202.464</v>
      </c>
      <c r="P10" s="2">
        <f t="shared" si="2"/>
        <v>113.773</v>
      </c>
      <c r="Q10" s="2">
        <f t="shared" si="3"/>
        <v>93.076999999999998</v>
      </c>
      <c r="R10" s="2">
        <f t="shared" si="4"/>
        <v>0.93503042516200408</v>
      </c>
      <c r="S10" s="2">
        <f t="shared" si="5"/>
        <v>0.95818867393845653</v>
      </c>
      <c r="T10" s="2">
        <f t="shared" si="6"/>
        <v>0.9683272989030588</v>
      </c>
      <c r="V10" s="3">
        <v>265.97000000000003</v>
      </c>
      <c r="W10" s="2">
        <f t="shared" si="7"/>
        <v>93.076999999999998</v>
      </c>
      <c r="X10" s="2">
        <f t="shared" si="8"/>
        <v>93.076999999999998</v>
      </c>
      <c r="AC10" s="3">
        <v>12</v>
      </c>
      <c r="AD10" s="2">
        <f t="shared" si="9"/>
        <v>0.62762962906164776</v>
      </c>
    </row>
    <row r="11" spans="1:30" s="2" customFormat="1" x14ac:dyDescent="0.2">
      <c r="A11" s="1" t="s">
        <v>22</v>
      </c>
      <c r="B11" s="3">
        <v>12</v>
      </c>
      <c r="C11" s="1">
        <v>8.1</v>
      </c>
      <c r="D11" s="3">
        <v>0.18</v>
      </c>
      <c r="E11" s="3">
        <v>264.98</v>
      </c>
      <c r="F11" s="3">
        <v>44.995000000000005</v>
      </c>
      <c r="G11" s="3">
        <v>179.566</v>
      </c>
      <c r="H11" s="3">
        <v>185.107</v>
      </c>
      <c r="I11" s="3">
        <v>81.290999999999997</v>
      </c>
      <c r="J11" s="3">
        <v>103.771</v>
      </c>
      <c r="K11" s="3">
        <v>105.871</v>
      </c>
      <c r="L11" s="3">
        <v>110.51600000000001</v>
      </c>
      <c r="N11" s="2">
        <f t="shared" si="0"/>
        <v>766.12199999999996</v>
      </c>
      <c r="O11" s="2">
        <f t="shared" si="1"/>
        <v>185.107</v>
      </c>
      <c r="P11" s="2">
        <f t="shared" si="2"/>
        <v>103.771</v>
      </c>
      <c r="Q11" s="2">
        <f t="shared" si="3"/>
        <v>110.51600000000001</v>
      </c>
      <c r="R11" s="2">
        <f t="shared" si="4"/>
        <v>0.97006596184909266</v>
      </c>
      <c r="S11" s="2">
        <f t="shared" si="5"/>
        <v>0.78336914937699353</v>
      </c>
      <c r="T11" s="2">
        <f t="shared" si="6"/>
        <v>0.95796988671323602</v>
      </c>
      <c r="V11" s="3">
        <v>264.98</v>
      </c>
      <c r="W11" s="2">
        <f t="shared" si="7"/>
        <v>110.51600000000001</v>
      </c>
      <c r="X11" s="2">
        <f t="shared" si="8"/>
        <v>110.51600000000001</v>
      </c>
      <c r="AC11" s="3">
        <v>12</v>
      </c>
      <c r="AD11" s="2">
        <f t="shared" si="9"/>
        <v>0.76500226261840654</v>
      </c>
    </row>
    <row r="12" spans="1:30" s="2" customFormat="1" x14ac:dyDescent="0.2">
      <c r="A12" s="1" t="s">
        <v>22</v>
      </c>
      <c r="B12" s="3">
        <v>16</v>
      </c>
      <c r="C12" s="1">
        <v>8.1</v>
      </c>
      <c r="D12" s="3">
        <v>0.18</v>
      </c>
      <c r="E12" s="3">
        <v>377.65</v>
      </c>
      <c r="F12" s="3">
        <v>73.162499999999994</v>
      </c>
      <c r="G12" s="3">
        <v>264.96699999999998</v>
      </c>
      <c r="H12" s="3">
        <v>261.846</v>
      </c>
      <c r="I12" s="3">
        <v>167.41499999999999</v>
      </c>
      <c r="J12" s="3">
        <v>175.614</v>
      </c>
      <c r="K12" s="3">
        <v>133.48699999999999</v>
      </c>
      <c r="L12" s="3">
        <v>120.65</v>
      </c>
      <c r="N12" s="2">
        <f t="shared" si="0"/>
        <v>1123.979</v>
      </c>
      <c r="O12" s="2">
        <f t="shared" si="1"/>
        <v>264.96699999999998</v>
      </c>
      <c r="P12" s="2">
        <f t="shared" si="2"/>
        <v>175.614</v>
      </c>
      <c r="Q12" s="2">
        <f t="shared" si="3"/>
        <v>133.48699999999999</v>
      </c>
      <c r="R12" s="2">
        <f t="shared" si="4"/>
        <v>0.98822117471232274</v>
      </c>
      <c r="S12" s="2">
        <f t="shared" si="5"/>
        <v>0.95331237828419135</v>
      </c>
      <c r="T12" s="2">
        <f t="shared" si="6"/>
        <v>0.90383333208477235</v>
      </c>
      <c r="V12" s="3">
        <v>377.65</v>
      </c>
      <c r="W12" s="2">
        <f t="shared" si="7"/>
        <v>133.48699999999999</v>
      </c>
      <c r="Y12" s="2">
        <f>W12</f>
        <v>133.48699999999999</v>
      </c>
      <c r="AC12" s="3">
        <v>16</v>
      </c>
      <c r="AD12" s="2">
        <f t="shared" si="9"/>
        <v>0.6615648541579594</v>
      </c>
    </row>
    <row r="13" spans="1:30" s="2" customFormat="1" x14ac:dyDescent="0.2">
      <c r="A13" s="1" t="s">
        <v>22</v>
      </c>
      <c r="B13" s="3">
        <v>16</v>
      </c>
      <c r="C13" s="1">
        <v>8.1</v>
      </c>
      <c r="D13" s="3">
        <v>0.18</v>
      </c>
      <c r="E13" s="3">
        <v>389.99</v>
      </c>
      <c r="F13" s="3">
        <v>76.247500000000002</v>
      </c>
      <c r="G13" s="3">
        <v>286.17500000000001</v>
      </c>
      <c r="H13" s="3">
        <v>297.37700000000001</v>
      </c>
      <c r="I13" s="3">
        <v>176.01900000000001</v>
      </c>
      <c r="J13" s="3">
        <v>255.84700000000001</v>
      </c>
      <c r="K13" s="3">
        <v>103.596</v>
      </c>
      <c r="L13" s="3">
        <v>115.869</v>
      </c>
      <c r="N13" s="2">
        <f t="shared" si="0"/>
        <v>1234.883</v>
      </c>
      <c r="O13" s="2">
        <f t="shared" si="1"/>
        <v>297.37700000000001</v>
      </c>
      <c r="P13" s="2">
        <f t="shared" si="2"/>
        <v>255.84700000000001</v>
      </c>
      <c r="Q13" s="2">
        <f t="shared" si="3"/>
        <v>115.869</v>
      </c>
      <c r="R13" s="2">
        <f t="shared" si="4"/>
        <v>0.96233064426636894</v>
      </c>
      <c r="S13" s="2">
        <f t="shared" si="5"/>
        <v>0.68798539752273824</v>
      </c>
      <c r="T13" s="2">
        <f t="shared" si="6"/>
        <v>0.8940786577945784</v>
      </c>
      <c r="V13" s="3">
        <v>389.99</v>
      </c>
      <c r="W13" s="2">
        <f t="shared" si="7"/>
        <v>115.869</v>
      </c>
      <c r="Y13" s="2">
        <f t="shared" ref="Y13:Y21" si="10">W13</f>
        <v>115.869</v>
      </c>
      <c r="AC13" s="3">
        <v>16</v>
      </c>
      <c r="AD13" s="2">
        <f t="shared" si="9"/>
        <v>0.54794498639491429</v>
      </c>
    </row>
    <row r="14" spans="1:30" s="2" customFormat="1" x14ac:dyDescent="0.2">
      <c r="A14" s="1" t="s">
        <v>22</v>
      </c>
      <c r="B14" s="3">
        <v>16</v>
      </c>
      <c r="C14" s="1">
        <v>8.1</v>
      </c>
      <c r="D14" s="3">
        <v>0.18</v>
      </c>
      <c r="E14" s="3">
        <v>357</v>
      </c>
      <c r="F14" s="3">
        <v>68</v>
      </c>
      <c r="G14" s="3">
        <v>295.09699999999998</v>
      </c>
      <c r="H14" s="3">
        <v>300.08100000000002</v>
      </c>
      <c r="I14" s="3">
        <v>153.90199999999999</v>
      </c>
      <c r="J14" s="3">
        <v>299.37900000000002</v>
      </c>
      <c r="K14" s="3">
        <v>121.268</v>
      </c>
      <c r="L14" s="3">
        <v>100.58</v>
      </c>
      <c r="N14" s="2">
        <f t="shared" si="0"/>
        <v>1270.3069999999998</v>
      </c>
      <c r="O14" s="2">
        <f t="shared" si="1"/>
        <v>300.08100000000002</v>
      </c>
      <c r="P14" s="2">
        <f t="shared" si="2"/>
        <v>299.37900000000002</v>
      </c>
      <c r="Q14" s="2">
        <f t="shared" si="3"/>
        <v>121.268</v>
      </c>
      <c r="R14" s="2">
        <f t="shared" si="4"/>
        <v>0.98339115105588149</v>
      </c>
      <c r="S14" s="2">
        <f t="shared" si="5"/>
        <v>0.51407079320860838</v>
      </c>
      <c r="T14" s="2">
        <f t="shared" si="6"/>
        <v>0.82940264538047959</v>
      </c>
      <c r="V14" s="3">
        <v>357</v>
      </c>
      <c r="W14" s="2">
        <f t="shared" si="7"/>
        <v>121.268</v>
      </c>
      <c r="Y14" s="2">
        <f t="shared" si="10"/>
        <v>121.268</v>
      </c>
      <c r="AC14" s="3">
        <v>16</v>
      </c>
      <c r="AD14" s="2">
        <f t="shared" si="9"/>
        <v>0.62960842933808725</v>
      </c>
    </row>
    <row r="15" spans="1:30" s="2" customFormat="1" x14ac:dyDescent="0.2">
      <c r="A15" s="1" t="s">
        <v>22</v>
      </c>
      <c r="B15" s="3">
        <v>16</v>
      </c>
      <c r="C15" s="1">
        <v>8.1</v>
      </c>
      <c r="D15" s="3">
        <v>0.18</v>
      </c>
      <c r="E15" s="3">
        <v>397.92</v>
      </c>
      <c r="F15" s="3">
        <v>78.23</v>
      </c>
      <c r="G15" s="3">
        <v>287.88</v>
      </c>
      <c r="H15" s="3">
        <v>285.96899999999999</v>
      </c>
      <c r="I15" s="3">
        <v>299.03300000000002</v>
      </c>
      <c r="J15" s="3">
        <v>284.90600000000001</v>
      </c>
      <c r="K15" s="3">
        <v>140.91200000000001</v>
      </c>
      <c r="L15" s="3">
        <v>143.64699999999999</v>
      </c>
      <c r="N15" s="2">
        <f t="shared" si="0"/>
        <v>1442.347</v>
      </c>
      <c r="O15" s="2">
        <f t="shared" si="1"/>
        <v>287.88</v>
      </c>
      <c r="P15" s="2">
        <f t="shared" si="2"/>
        <v>299.03300000000002</v>
      </c>
      <c r="Q15" s="2">
        <f t="shared" si="3"/>
        <v>143.64699999999999</v>
      </c>
      <c r="R15" s="2">
        <f t="shared" si="4"/>
        <v>0.9933618174239266</v>
      </c>
      <c r="S15" s="2">
        <f t="shared" si="5"/>
        <v>0.95275772239184298</v>
      </c>
      <c r="T15" s="2">
        <f t="shared" si="6"/>
        <v>0.98096027066350155</v>
      </c>
      <c r="V15" s="3">
        <v>397.92</v>
      </c>
      <c r="W15" s="2">
        <f t="shared" si="7"/>
        <v>143.64699999999999</v>
      </c>
      <c r="Y15" s="2">
        <f t="shared" si="10"/>
        <v>143.64699999999999</v>
      </c>
      <c r="AC15" s="3">
        <v>16</v>
      </c>
      <c r="AD15" s="2">
        <f t="shared" si="9"/>
        <v>0.68025047439958186</v>
      </c>
    </row>
    <row r="16" spans="1:30" s="2" customFormat="1" x14ac:dyDescent="0.2">
      <c r="A16" s="1" t="s">
        <v>22</v>
      </c>
      <c r="B16" s="3">
        <v>16</v>
      </c>
      <c r="C16" s="1">
        <v>8.1</v>
      </c>
      <c r="D16" s="3">
        <v>0.18</v>
      </c>
      <c r="E16" s="3">
        <v>394.43</v>
      </c>
      <c r="F16" s="3">
        <v>77.357500000000002</v>
      </c>
      <c r="G16" s="3">
        <v>554.56100000000004</v>
      </c>
      <c r="H16" s="3">
        <v>498.44900000000001</v>
      </c>
      <c r="I16" s="3">
        <v>254.18600000000001</v>
      </c>
      <c r="J16" s="3">
        <v>206.64699999999999</v>
      </c>
      <c r="K16" s="3">
        <v>168.876</v>
      </c>
      <c r="L16" s="3">
        <v>142.93</v>
      </c>
      <c r="N16" s="2">
        <f t="shared" si="0"/>
        <v>1825.6489999999999</v>
      </c>
      <c r="P16" s="2">
        <f t="shared" si="2"/>
        <v>254.18600000000001</v>
      </c>
      <c r="Q16" s="2">
        <f t="shared" si="3"/>
        <v>168.876</v>
      </c>
      <c r="R16" s="2">
        <f t="shared" si="4"/>
        <v>0.89881726266362039</v>
      </c>
      <c r="S16" s="2">
        <f t="shared" si="5"/>
        <v>0.81297553759845143</v>
      </c>
      <c r="T16" s="2">
        <f t="shared" si="6"/>
        <v>0.8463606433122528</v>
      </c>
      <c r="V16" s="3">
        <v>394.43</v>
      </c>
      <c r="W16" s="2">
        <f t="shared" si="7"/>
        <v>168.876</v>
      </c>
      <c r="Y16" s="2">
        <f t="shared" si="10"/>
        <v>168.876</v>
      </c>
      <c r="AC16" s="3">
        <v>16</v>
      </c>
      <c r="AD16" s="2">
        <f t="shared" si="9"/>
        <v>0.81750293227114534</v>
      </c>
    </row>
    <row r="17" spans="1:30" s="2" customFormat="1" x14ac:dyDescent="0.2">
      <c r="A17" s="1" t="s">
        <v>22</v>
      </c>
      <c r="B17" s="3">
        <v>16</v>
      </c>
      <c r="C17" s="1">
        <v>8.1</v>
      </c>
      <c r="D17" s="3">
        <v>0.18</v>
      </c>
      <c r="E17" s="3">
        <v>376.38</v>
      </c>
      <c r="F17" s="3">
        <v>72.844999999999999</v>
      </c>
      <c r="G17" s="3">
        <v>281.73700000000002</v>
      </c>
      <c r="H17" s="3">
        <v>283.23599999999999</v>
      </c>
      <c r="I17" s="3">
        <v>184.166</v>
      </c>
      <c r="J17" s="3">
        <v>184.71</v>
      </c>
      <c r="K17" s="3">
        <v>133.46100000000001</v>
      </c>
      <c r="L17" s="3">
        <v>103.00700000000001</v>
      </c>
      <c r="N17" s="2">
        <f t="shared" si="0"/>
        <v>1170.317</v>
      </c>
      <c r="O17" s="2">
        <f t="shared" si="1"/>
        <v>283.23599999999999</v>
      </c>
      <c r="P17" s="2">
        <f t="shared" si="2"/>
        <v>184.71</v>
      </c>
      <c r="Q17" s="2">
        <f t="shared" si="3"/>
        <v>133.46100000000001</v>
      </c>
      <c r="R17" s="2">
        <f t="shared" si="4"/>
        <v>0.99470759366747175</v>
      </c>
      <c r="S17" s="2">
        <f t="shared" si="5"/>
        <v>0.99705484272643596</v>
      </c>
      <c r="T17" s="2">
        <f t="shared" si="6"/>
        <v>0.77181348858468013</v>
      </c>
      <c r="V17" s="3">
        <v>376.38</v>
      </c>
      <c r="W17" s="2">
        <f t="shared" si="7"/>
        <v>133.46100000000001</v>
      </c>
      <c r="Y17" s="2">
        <f t="shared" si="10"/>
        <v>133.46100000000001</v>
      </c>
      <c r="AC17" s="3">
        <v>16</v>
      </c>
      <c r="AD17" s="2">
        <f t="shared" si="9"/>
        <v>0.66365540915299581</v>
      </c>
    </row>
    <row r="18" spans="1:30" s="2" customFormat="1" x14ac:dyDescent="0.2">
      <c r="A18" s="1" t="s">
        <v>22</v>
      </c>
      <c r="B18" s="3">
        <v>16</v>
      </c>
      <c r="C18" s="1">
        <v>8.1</v>
      </c>
      <c r="D18" s="3">
        <v>0.18</v>
      </c>
      <c r="E18" s="3">
        <v>386.83</v>
      </c>
      <c r="F18" s="3">
        <v>75.457499999999996</v>
      </c>
      <c r="G18" s="3">
        <v>304.45699999999999</v>
      </c>
      <c r="H18" s="3">
        <v>286.541</v>
      </c>
      <c r="I18" s="3">
        <v>167.16300000000001</v>
      </c>
      <c r="J18" s="3">
        <v>203.91300000000001</v>
      </c>
      <c r="K18" s="3">
        <v>103.893</v>
      </c>
      <c r="L18" s="3">
        <v>96.736999999999995</v>
      </c>
      <c r="N18" s="2">
        <f t="shared" si="0"/>
        <v>1162.7040000000002</v>
      </c>
      <c r="O18" s="2">
        <f t="shared" si="1"/>
        <v>304.45699999999999</v>
      </c>
      <c r="P18" s="2">
        <f t="shared" si="2"/>
        <v>203.91300000000001</v>
      </c>
      <c r="Q18" s="2">
        <f t="shared" si="3"/>
        <v>103.893</v>
      </c>
      <c r="R18" s="2">
        <f t="shared" si="4"/>
        <v>0.94115425166772315</v>
      </c>
      <c r="S18" s="2">
        <f t="shared" si="5"/>
        <v>0.8197760809757102</v>
      </c>
      <c r="T18" s="2">
        <f t="shared" si="6"/>
        <v>0.93112144225308724</v>
      </c>
      <c r="V18" s="3">
        <v>386.83</v>
      </c>
      <c r="W18" s="2">
        <f t="shared" si="7"/>
        <v>103.893</v>
      </c>
      <c r="Y18" s="2">
        <f t="shared" si="10"/>
        <v>103.893</v>
      </c>
      <c r="AC18" s="3">
        <v>16</v>
      </c>
      <c r="AD18" s="2">
        <f t="shared" si="9"/>
        <v>0.48890176861426732</v>
      </c>
    </row>
    <row r="19" spans="1:30" s="2" customFormat="1" x14ac:dyDescent="0.2">
      <c r="A19" s="1" t="s">
        <v>22</v>
      </c>
      <c r="B19" s="3">
        <v>16</v>
      </c>
      <c r="C19" s="1">
        <v>8.1</v>
      </c>
      <c r="D19" s="3">
        <v>0.18</v>
      </c>
      <c r="E19" s="3">
        <v>406.46</v>
      </c>
      <c r="F19" s="3">
        <v>80.364999999999995</v>
      </c>
      <c r="G19" s="3">
        <v>295.81900000000002</v>
      </c>
      <c r="H19" s="3">
        <v>292.44900000000001</v>
      </c>
      <c r="I19" s="3">
        <v>281.80599999999998</v>
      </c>
      <c r="J19" s="3">
        <v>209.57400000000001</v>
      </c>
      <c r="K19" s="3">
        <v>210.93299999999999</v>
      </c>
      <c r="L19" s="3">
        <v>148.40299999999999</v>
      </c>
      <c r="N19" s="2">
        <f t="shared" si="0"/>
        <v>1438.9840000000002</v>
      </c>
      <c r="O19" s="2">
        <f t="shared" si="1"/>
        <v>295.81900000000002</v>
      </c>
      <c r="P19" s="2">
        <f t="shared" si="2"/>
        <v>281.80599999999998</v>
      </c>
      <c r="Q19" s="2">
        <f t="shared" si="3"/>
        <v>210.93299999999999</v>
      </c>
      <c r="R19" s="2">
        <f t="shared" si="4"/>
        <v>0.9886078987488971</v>
      </c>
      <c r="S19" s="2">
        <f t="shared" si="5"/>
        <v>0.74368182366592628</v>
      </c>
      <c r="T19" s="2">
        <f t="shared" si="6"/>
        <v>0.70355515732483775</v>
      </c>
      <c r="V19" s="3">
        <v>406.46</v>
      </c>
      <c r="W19" s="2">
        <f t="shared" si="7"/>
        <v>210.93299999999999</v>
      </c>
      <c r="Y19" s="2">
        <f t="shared" si="10"/>
        <v>210.93299999999999</v>
      </c>
      <c r="AC19" s="3">
        <v>16</v>
      </c>
      <c r="AD19" s="2">
        <f t="shared" si="9"/>
        <v>1.0055999385064569</v>
      </c>
    </row>
    <row r="20" spans="1:30" s="2" customFormat="1" x14ac:dyDescent="0.2">
      <c r="A20" s="1" t="s">
        <v>22</v>
      </c>
      <c r="B20" s="3">
        <v>16</v>
      </c>
      <c r="C20" s="1">
        <v>8.1</v>
      </c>
      <c r="D20" s="3">
        <v>0.18</v>
      </c>
      <c r="E20" s="3">
        <v>406.13</v>
      </c>
      <c r="F20" s="3">
        <v>80.282499999999999</v>
      </c>
      <c r="G20" s="3">
        <v>304.76</v>
      </c>
      <c r="H20" s="3">
        <v>301.43799999999999</v>
      </c>
      <c r="I20" s="3">
        <v>255.20699999999999</v>
      </c>
      <c r="J20" s="3">
        <v>247.339</v>
      </c>
      <c r="K20" s="3">
        <v>190.137</v>
      </c>
      <c r="L20" s="3">
        <v>206.04400000000001</v>
      </c>
      <c r="N20" s="2">
        <f t="shared" si="0"/>
        <v>1504.925</v>
      </c>
      <c r="O20" s="2">
        <f t="shared" si="1"/>
        <v>304.76</v>
      </c>
      <c r="P20" s="2">
        <f t="shared" si="2"/>
        <v>255.20699999999999</v>
      </c>
      <c r="Q20" s="2">
        <f t="shared" si="3"/>
        <v>206.04400000000001</v>
      </c>
      <c r="R20" s="2">
        <f t="shared" si="4"/>
        <v>0.98909961937262103</v>
      </c>
      <c r="S20" s="2">
        <f t="shared" si="5"/>
        <v>0.9691701246439165</v>
      </c>
      <c r="T20" s="2">
        <f t="shared" si="6"/>
        <v>0.92279804313641745</v>
      </c>
      <c r="V20" s="3">
        <v>406.13</v>
      </c>
      <c r="W20" s="2">
        <f t="shared" si="7"/>
        <v>206.04400000000001</v>
      </c>
      <c r="Y20" s="2">
        <f t="shared" si="10"/>
        <v>206.04400000000001</v>
      </c>
      <c r="AC20" s="3">
        <v>16</v>
      </c>
      <c r="AD20" s="2">
        <f t="shared" si="9"/>
        <v>0.98171860109234277</v>
      </c>
    </row>
    <row r="21" spans="1:30" s="2" customFormat="1" x14ac:dyDescent="0.2">
      <c r="A21" s="1" t="s">
        <v>22</v>
      </c>
      <c r="B21" s="3">
        <v>16</v>
      </c>
      <c r="C21" s="1">
        <v>8.1</v>
      </c>
      <c r="D21" s="3">
        <v>0.18</v>
      </c>
      <c r="E21" s="3">
        <v>385.14</v>
      </c>
      <c r="F21" s="3">
        <v>75.034999999999997</v>
      </c>
      <c r="G21" s="3">
        <v>276.84100000000001</v>
      </c>
      <c r="H21" s="3">
        <v>278.17</v>
      </c>
      <c r="I21" s="3">
        <v>254.727</v>
      </c>
      <c r="J21" s="3">
        <v>274.56900000000002</v>
      </c>
      <c r="K21" s="3">
        <v>131.07499999999999</v>
      </c>
      <c r="L21" s="3">
        <v>130.636</v>
      </c>
      <c r="N21" s="2">
        <f t="shared" si="0"/>
        <v>1346.018</v>
      </c>
      <c r="O21" s="2">
        <f t="shared" si="1"/>
        <v>278.17</v>
      </c>
      <c r="P21" s="2">
        <f t="shared" si="2"/>
        <v>274.56900000000002</v>
      </c>
      <c r="Q21" s="2">
        <f t="shared" si="3"/>
        <v>131.07499999999999</v>
      </c>
      <c r="R21" s="2">
        <f t="shared" si="4"/>
        <v>0.99522234604738102</v>
      </c>
      <c r="S21" s="2">
        <f t="shared" si="5"/>
        <v>0.92773401221550866</v>
      </c>
      <c r="T21" s="2">
        <f t="shared" si="6"/>
        <v>0.99665077245851619</v>
      </c>
      <c r="V21" s="3">
        <v>385.14</v>
      </c>
      <c r="W21" s="2">
        <f t="shared" si="7"/>
        <v>131.07499999999999</v>
      </c>
      <c r="Y21" s="2">
        <f t="shared" si="10"/>
        <v>131.07499999999999</v>
      </c>
      <c r="AC21" s="3">
        <v>16</v>
      </c>
      <c r="AD21" s="2">
        <f t="shared" si="9"/>
        <v>0.6358499759713061</v>
      </c>
    </row>
    <row r="22" spans="1:30" s="2" customFormat="1" x14ac:dyDescent="0.2">
      <c r="A22" s="1" t="s">
        <v>22</v>
      </c>
      <c r="B22" s="3">
        <v>20</v>
      </c>
      <c r="C22" s="1">
        <v>8.1</v>
      </c>
      <c r="D22" s="3">
        <v>0.18</v>
      </c>
      <c r="E22" s="3">
        <v>384.07</v>
      </c>
      <c r="F22" s="3">
        <v>74.767499999999998</v>
      </c>
      <c r="G22" s="3">
        <v>269.91500000000002</v>
      </c>
      <c r="H22" s="3">
        <v>267.26900000000001</v>
      </c>
      <c r="I22" s="3">
        <v>256.92599999999999</v>
      </c>
      <c r="J22" s="3">
        <v>263.70299999999997</v>
      </c>
      <c r="K22" s="3">
        <v>191.096</v>
      </c>
      <c r="L22" s="3">
        <v>195.38300000000001</v>
      </c>
      <c r="N22" s="2">
        <f t="shared" si="0"/>
        <v>1444.2919999999999</v>
      </c>
      <c r="O22" s="2">
        <f t="shared" si="1"/>
        <v>269.91500000000002</v>
      </c>
      <c r="P22" s="2">
        <f t="shared" si="2"/>
        <v>263.70299999999997</v>
      </c>
      <c r="Q22" s="2">
        <f t="shared" si="3"/>
        <v>195.38300000000001</v>
      </c>
      <c r="R22" s="2">
        <f t="shared" si="4"/>
        <v>0.99019691384324693</v>
      </c>
      <c r="S22" s="2">
        <f t="shared" si="5"/>
        <v>0.97430063366742137</v>
      </c>
      <c r="T22" s="2">
        <f t="shared" si="6"/>
        <v>0.97805848001105522</v>
      </c>
      <c r="V22" s="3">
        <v>384.07</v>
      </c>
      <c r="W22" s="2">
        <f t="shared" si="7"/>
        <v>195.38300000000001</v>
      </c>
      <c r="Z22" s="2">
        <f>W22</f>
        <v>195.38300000000001</v>
      </c>
      <c r="AC22" s="3">
        <v>20</v>
      </c>
      <c r="AD22" s="2">
        <f t="shared" si="9"/>
        <v>0.9811549215030656</v>
      </c>
    </row>
    <row r="23" spans="1:30" s="2" customFormat="1" x14ac:dyDescent="0.2">
      <c r="A23" s="1" t="s">
        <v>22</v>
      </c>
      <c r="B23" s="3">
        <v>20</v>
      </c>
      <c r="C23" s="1">
        <v>8.1</v>
      </c>
      <c r="D23" s="3">
        <v>0.18</v>
      </c>
      <c r="E23" s="3">
        <v>321.63</v>
      </c>
      <c r="F23" s="3">
        <v>59.157499999999999</v>
      </c>
      <c r="G23" s="3">
        <v>210.601</v>
      </c>
      <c r="H23" s="3">
        <v>213.48599999999999</v>
      </c>
      <c r="I23" s="3">
        <v>250.63200000000001</v>
      </c>
      <c r="J23" s="3">
        <v>248.06800000000001</v>
      </c>
      <c r="K23" s="3">
        <v>165.649</v>
      </c>
      <c r="L23" s="3">
        <v>164.86099999999999</v>
      </c>
      <c r="N23" s="2">
        <f t="shared" si="0"/>
        <v>1253.297</v>
      </c>
      <c r="O23" s="2">
        <f t="shared" si="1"/>
        <v>213.48599999999999</v>
      </c>
      <c r="P23" s="2">
        <f t="shared" si="2"/>
        <v>250.63200000000001</v>
      </c>
      <c r="Q23" s="2">
        <f t="shared" si="3"/>
        <v>165.649</v>
      </c>
      <c r="R23" s="2">
        <f t="shared" si="4"/>
        <v>0.98648623328930241</v>
      </c>
      <c r="S23" s="2">
        <f t="shared" si="5"/>
        <v>0.98976986178939641</v>
      </c>
      <c r="T23" s="2">
        <f t="shared" si="6"/>
        <v>0.99524295347391167</v>
      </c>
      <c r="V23" s="3">
        <v>321.63</v>
      </c>
      <c r="W23" s="2">
        <f t="shared" si="7"/>
        <v>165.649</v>
      </c>
      <c r="Z23" s="2">
        <f t="shared" ref="Z23:Z31" si="11">W23</f>
        <v>165.649</v>
      </c>
      <c r="AC23" s="3">
        <v>20</v>
      </c>
      <c r="AD23" s="2">
        <f t="shared" si="9"/>
        <v>0.98195701978704564</v>
      </c>
    </row>
    <row r="24" spans="1:30" s="2" customFormat="1" x14ac:dyDescent="0.2">
      <c r="A24" s="1" t="s">
        <v>22</v>
      </c>
      <c r="B24" s="3">
        <v>20</v>
      </c>
      <c r="C24" s="1">
        <v>8.1</v>
      </c>
      <c r="D24" s="3">
        <v>0.18</v>
      </c>
      <c r="E24" s="3">
        <v>398.77</v>
      </c>
      <c r="F24" s="3">
        <v>78.442499999999995</v>
      </c>
      <c r="G24" s="3">
        <v>295.37799999999999</v>
      </c>
      <c r="H24" s="3">
        <v>296.62</v>
      </c>
      <c r="I24" s="3">
        <v>295.77199999999999</v>
      </c>
      <c r="J24" s="3">
        <v>300.92099999999999</v>
      </c>
      <c r="K24" s="3">
        <v>177.19499999999999</v>
      </c>
      <c r="L24" s="3">
        <v>193.09200000000001</v>
      </c>
      <c r="N24" s="2">
        <f t="shared" si="0"/>
        <v>1558.9780000000001</v>
      </c>
      <c r="O24" s="2">
        <f t="shared" si="1"/>
        <v>296.62</v>
      </c>
      <c r="P24" s="2">
        <f t="shared" si="2"/>
        <v>300.92099999999999</v>
      </c>
      <c r="Q24" s="2">
        <f t="shared" si="3"/>
        <v>193.09200000000001</v>
      </c>
      <c r="R24" s="2">
        <f t="shared" si="4"/>
        <v>0.99581282448924546</v>
      </c>
      <c r="S24" s="2">
        <f t="shared" si="5"/>
        <v>0.98288919683239118</v>
      </c>
      <c r="T24" s="2">
        <f t="shared" si="6"/>
        <v>0.91767136908831015</v>
      </c>
      <c r="V24" s="3">
        <v>398.77</v>
      </c>
      <c r="W24" s="2">
        <f t="shared" si="7"/>
        <v>193.09200000000001</v>
      </c>
      <c r="Z24" s="2">
        <f t="shared" si="11"/>
        <v>193.09200000000001</v>
      </c>
      <c r="AC24" s="3">
        <v>20</v>
      </c>
      <c r="AD24" s="2">
        <f t="shared" si="9"/>
        <v>0.93319888488863634</v>
      </c>
    </row>
    <row r="25" spans="1:30" s="2" customFormat="1" x14ac:dyDescent="0.2">
      <c r="A25" s="1" t="s">
        <v>22</v>
      </c>
      <c r="B25" s="3">
        <v>20</v>
      </c>
      <c r="C25" s="1">
        <v>8.1</v>
      </c>
      <c r="D25" s="3">
        <v>0.18</v>
      </c>
      <c r="E25" s="3">
        <v>365.19</v>
      </c>
      <c r="F25" s="3">
        <v>70.047499999999999</v>
      </c>
      <c r="G25" s="3">
        <v>253.18199999999999</v>
      </c>
      <c r="H25" s="3">
        <v>254.36</v>
      </c>
      <c r="I25" s="3">
        <v>315.87700000000001</v>
      </c>
      <c r="J25" s="3">
        <v>321.85700000000003</v>
      </c>
      <c r="K25" s="3">
        <v>200.98699999999999</v>
      </c>
      <c r="L25" s="3">
        <v>200.49799999999999</v>
      </c>
      <c r="N25" s="2">
        <f t="shared" si="0"/>
        <v>1546.7610000000002</v>
      </c>
      <c r="O25" s="2">
        <f t="shared" si="1"/>
        <v>254.36</v>
      </c>
      <c r="P25" s="2">
        <f t="shared" si="2"/>
        <v>321.85700000000003</v>
      </c>
      <c r="Q25" s="2">
        <f t="shared" si="3"/>
        <v>200.98699999999999</v>
      </c>
      <c r="R25" s="2">
        <f t="shared" si="4"/>
        <v>0.99536876867431978</v>
      </c>
      <c r="S25" s="2">
        <f t="shared" si="5"/>
        <v>0.98142032020431424</v>
      </c>
      <c r="T25" s="2">
        <f t="shared" si="6"/>
        <v>0.9975670068213367</v>
      </c>
      <c r="V25" s="3">
        <v>365.19</v>
      </c>
      <c r="W25" s="2">
        <f t="shared" si="7"/>
        <v>200.98699999999999</v>
      </c>
      <c r="Z25" s="2">
        <f t="shared" si="11"/>
        <v>200.98699999999999</v>
      </c>
      <c r="AC25" s="3">
        <v>20</v>
      </c>
      <c r="AD25" s="2">
        <f t="shared" si="9"/>
        <v>1.0633640401667013</v>
      </c>
    </row>
    <row r="26" spans="1:30" s="2" customFormat="1" x14ac:dyDescent="0.2">
      <c r="A26" s="1" t="s">
        <v>22</v>
      </c>
      <c r="B26" s="3">
        <v>20</v>
      </c>
      <c r="C26" s="1">
        <v>8.1</v>
      </c>
      <c r="D26" s="3">
        <v>0.18</v>
      </c>
      <c r="E26" s="3">
        <v>386.85</v>
      </c>
      <c r="F26" s="3">
        <v>75.462500000000006</v>
      </c>
      <c r="G26" s="3">
        <v>291.75</v>
      </c>
      <c r="H26" s="3">
        <v>283.88099999999997</v>
      </c>
      <c r="I26" s="3">
        <v>291.67500000000001</v>
      </c>
      <c r="J26" s="3">
        <v>289.98</v>
      </c>
      <c r="K26" s="3">
        <v>193.375</v>
      </c>
      <c r="L26" s="3">
        <v>206.554</v>
      </c>
      <c r="N26" s="2">
        <f t="shared" si="0"/>
        <v>1557.2150000000001</v>
      </c>
      <c r="O26" s="2">
        <f t="shared" si="1"/>
        <v>291.75</v>
      </c>
      <c r="P26" s="2">
        <f t="shared" si="2"/>
        <v>291.67500000000001</v>
      </c>
      <c r="Q26" s="2">
        <f t="shared" si="3"/>
        <v>206.554</v>
      </c>
      <c r="R26" s="2">
        <f t="shared" si="4"/>
        <v>0.97302827763496136</v>
      </c>
      <c r="S26" s="2">
        <f t="shared" si="5"/>
        <v>0.99418873746464387</v>
      </c>
      <c r="T26" s="2">
        <f t="shared" si="6"/>
        <v>0.93619586161488033</v>
      </c>
      <c r="V26" s="3">
        <v>386.85</v>
      </c>
      <c r="W26" s="2">
        <f t="shared" si="7"/>
        <v>206.554</v>
      </c>
      <c r="Z26" s="2">
        <f t="shared" si="11"/>
        <v>206.554</v>
      </c>
      <c r="AC26" s="3">
        <v>20</v>
      </c>
      <c r="AD26" s="2">
        <f t="shared" si="9"/>
        <v>1.0333507663111707</v>
      </c>
    </row>
    <row r="27" spans="1:30" s="2" customFormat="1" x14ac:dyDescent="0.2">
      <c r="A27" s="1" t="s">
        <v>22</v>
      </c>
      <c r="B27" s="3">
        <v>20</v>
      </c>
      <c r="C27" s="1">
        <v>8.1</v>
      </c>
      <c r="D27" s="3">
        <v>0.18</v>
      </c>
      <c r="E27" s="3">
        <v>372.05</v>
      </c>
      <c r="F27" s="3">
        <v>71.762500000000003</v>
      </c>
      <c r="G27" s="3">
        <v>255.392</v>
      </c>
      <c r="H27" s="3">
        <v>265.92399999999998</v>
      </c>
      <c r="I27" s="3">
        <v>241.78399999999999</v>
      </c>
      <c r="J27" s="3">
        <v>229.77600000000001</v>
      </c>
      <c r="K27" s="3">
        <v>198.59700000000001</v>
      </c>
      <c r="L27" s="3">
        <v>176.56899999999999</v>
      </c>
      <c r="N27" s="2">
        <f t="shared" si="0"/>
        <v>1368.0419999999999</v>
      </c>
      <c r="O27" s="2">
        <f t="shared" si="1"/>
        <v>265.92399999999998</v>
      </c>
      <c r="P27" s="2">
        <f t="shared" si="2"/>
        <v>241.78399999999999</v>
      </c>
      <c r="Q27" s="2">
        <f t="shared" si="3"/>
        <v>198.59700000000001</v>
      </c>
      <c r="R27" s="2">
        <f t="shared" si="4"/>
        <v>0.96039469923737619</v>
      </c>
      <c r="S27" s="2">
        <f t="shared" si="5"/>
        <v>0.95033583694537282</v>
      </c>
      <c r="T27" s="2">
        <f t="shared" si="6"/>
        <v>0.88908190959581457</v>
      </c>
      <c r="V27" s="3">
        <v>372.05</v>
      </c>
      <c r="W27" s="2">
        <f t="shared" si="7"/>
        <v>198.59700000000001</v>
      </c>
      <c r="Z27" s="2">
        <f t="shared" si="11"/>
        <v>198.59700000000001</v>
      </c>
      <c r="AC27" s="3">
        <v>20</v>
      </c>
      <c r="AD27" s="2">
        <f t="shared" si="9"/>
        <v>1.0305774596570576</v>
      </c>
    </row>
    <row r="28" spans="1:30" s="2" customFormat="1" x14ac:dyDescent="0.2">
      <c r="A28" s="1" t="s">
        <v>22</v>
      </c>
      <c r="B28" s="3">
        <v>20</v>
      </c>
      <c r="C28" s="1">
        <v>8.1</v>
      </c>
      <c r="D28" s="3">
        <v>0.18</v>
      </c>
      <c r="E28" s="3">
        <v>403.28</v>
      </c>
      <c r="F28" s="3">
        <v>79.569999999999993</v>
      </c>
      <c r="G28" s="3">
        <v>276.86099999999999</v>
      </c>
      <c r="H28" s="3">
        <v>277.33300000000003</v>
      </c>
      <c r="I28" s="3">
        <v>265.166</v>
      </c>
      <c r="J28" s="3">
        <v>295.81900000000002</v>
      </c>
      <c r="K28" s="3">
        <v>218.02799999999999</v>
      </c>
      <c r="L28" s="3">
        <v>241.821</v>
      </c>
      <c r="N28" s="2">
        <f t="shared" si="0"/>
        <v>1575.0279999999998</v>
      </c>
      <c r="O28" s="2">
        <f t="shared" si="1"/>
        <v>277.33300000000003</v>
      </c>
      <c r="P28" s="2">
        <f t="shared" si="2"/>
        <v>295.81900000000002</v>
      </c>
      <c r="Q28" s="2">
        <f t="shared" si="3"/>
        <v>241.821</v>
      </c>
      <c r="R28" s="2">
        <f t="shared" si="4"/>
        <v>0.99829807487749367</v>
      </c>
      <c r="S28" s="2">
        <f t="shared" si="5"/>
        <v>0.89637920485161526</v>
      </c>
      <c r="T28" s="2">
        <f t="shared" si="6"/>
        <v>0.90160904139838971</v>
      </c>
      <c r="V28" s="3">
        <v>403.28</v>
      </c>
      <c r="W28" s="2">
        <f t="shared" si="7"/>
        <v>241.821</v>
      </c>
      <c r="Z28" s="2">
        <f t="shared" si="11"/>
        <v>241.821</v>
      </c>
      <c r="AC28" s="3">
        <v>20</v>
      </c>
      <c r="AD28" s="2">
        <f t="shared" si="9"/>
        <v>1.1706733549766759</v>
      </c>
    </row>
    <row r="29" spans="1:30" s="2" customFormat="1" x14ac:dyDescent="0.2">
      <c r="A29" s="1" t="s">
        <v>22</v>
      </c>
      <c r="B29" s="3">
        <v>20</v>
      </c>
      <c r="C29" s="1">
        <v>8.1</v>
      </c>
      <c r="D29" s="3">
        <v>0.18</v>
      </c>
      <c r="E29" s="3">
        <v>376.91</v>
      </c>
      <c r="F29" s="3">
        <v>72.977500000000006</v>
      </c>
      <c r="G29" s="3">
        <v>261.928</v>
      </c>
      <c r="H29" s="3">
        <v>257.13400000000001</v>
      </c>
      <c r="I29" s="3">
        <v>243.73099999999999</v>
      </c>
      <c r="J29" s="3">
        <v>224.04</v>
      </c>
      <c r="K29" s="3">
        <v>206.738</v>
      </c>
      <c r="L29" s="3">
        <v>209.17699999999999</v>
      </c>
      <c r="N29" s="2">
        <f t="shared" si="0"/>
        <v>1402.7479999999998</v>
      </c>
      <c r="O29" s="2">
        <f t="shared" si="1"/>
        <v>261.928</v>
      </c>
      <c r="P29" s="2">
        <f t="shared" si="2"/>
        <v>243.73099999999999</v>
      </c>
      <c r="Q29" s="2">
        <f t="shared" si="3"/>
        <v>209.17699999999999</v>
      </c>
      <c r="R29" s="2">
        <f t="shared" si="4"/>
        <v>0.98169726031581206</v>
      </c>
      <c r="S29" s="2">
        <f t="shared" si="5"/>
        <v>0.91921011278827891</v>
      </c>
      <c r="T29" s="2">
        <f t="shared" si="6"/>
        <v>0.98834001826204609</v>
      </c>
      <c r="V29" s="3">
        <v>376.91</v>
      </c>
      <c r="W29" s="2">
        <f t="shared" si="7"/>
        <v>209.17699999999999</v>
      </c>
      <c r="Z29" s="2">
        <f t="shared" si="11"/>
        <v>209.17699999999999</v>
      </c>
      <c r="AC29" s="3">
        <v>20</v>
      </c>
      <c r="AD29" s="2">
        <f t="shared" si="9"/>
        <v>1.0748809017786001</v>
      </c>
    </row>
    <row r="30" spans="1:30" s="2" customFormat="1" x14ac:dyDescent="0.2">
      <c r="A30" s="1" t="s">
        <v>22</v>
      </c>
      <c r="B30" s="3">
        <v>20</v>
      </c>
      <c r="C30" s="1">
        <v>8.1</v>
      </c>
      <c r="D30" s="3">
        <v>0.18</v>
      </c>
      <c r="E30" s="3">
        <v>387.6</v>
      </c>
      <c r="F30" s="3">
        <v>75.650000000000006</v>
      </c>
      <c r="G30" s="3">
        <v>288.315</v>
      </c>
      <c r="H30" s="3">
        <v>315.48700000000002</v>
      </c>
      <c r="I30" s="3">
        <v>342.029</v>
      </c>
      <c r="J30" s="3">
        <v>313.18200000000002</v>
      </c>
      <c r="K30" s="3">
        <v>175.21100000000001</v>
      </c>
      <c r="L30" s="3">
        <v>150.16499999999999</v>
      </c>
      <c r="N30" s="2">
        <f t="shared" si="0"/>
        <v>1584.3889999999999</v>
      </c>
      <c r="O30" s="2">
        <f t="shared" si="1"/>
        <v>315.48700000000002</v>
      </c>
      <c r="P30" s="2">
        <f t="shared" si="2"/>
        <v>342.029</v>
      </c>
      <c r="Q30" s="2">
        <f t="shared" si="3"/>
        <v>175.21100000000001</v>
      </c>
      <c r="R30" s="2">
        <f t="shared" si="4"/>
        <v>0.91387283786653639</v>
      </c>
      <c r="S30" s="2">
        <f t="shared" si="5"/>
        <v>0.91565919848901711</v>
      </c>
      <c r="T30" s="2">
        <f t="shared" si="6"/>
        <v>0.85705235401886859</v>
      </c>
      <c r="V30" s="3">
        <v>387.6</v>
      </c>
      <c r="W30" s="2">
        <f t="shared" si="7"/>
        <v>175.21100000000001</v>
      </c>
      <c r="Z30" s="2">
        <f t="shared" si="11"/>
        <v>175.21100000000001</v>
      </c>
      <c r="AC30" s="3">
        <v>20</v>
      </c>
      <c r="AD30" s="2">
        <f t="shared" si="9"/>
        <v>0.86544174285916342</v>
      </c>
    </row>
    <row r="31" spans="1:30" s="2" customFormat="1" x14ac:dyDescent="0.2">
      <c r="A31" s="1" t="s">
        <v>22</v>
      </c>
      <c r="B31" s="3">
        <v>20</v>
      </c>
      <c r="C31" s="1">
        <v>8.1</v>
      </c>
      <c r="D31" s="3">
        <v>0.18</v>
      </c>
      <c r="E31" s="3">
        <v>391.15</v>
      </c>
      <c r="F31" s="3">
        <v>76.537499999999994</v>
      </c>
      <c r="G31" s="3">
        <v>266.96600000000001</v>
      </c>
      <c r="H31" s="3">
        <v>264.08800000000002</v>
      </c>
      <c r="I31" s="3">
        <v>197.16</v>
      </c>
      <c r="J31" s="3">
        <v>159.80099999999999</v>
      </c>
      <c r="K31" s="3">
        <v>176.86600000000001</v>
      </c>
      <c r="L31" s="3">
        <v>135.089</v>
      </c>
      <c r="N31" s="2">
        <f t="shared" si="0"/>
        <v>1199.97</v>
      </c>
      <c r="O31" s="2">
        <f t="shared" si="1"/>
        <v>266.96600000000001</v>
      </c>
      <c r="P31" s="2">
        <f t="shared" si="2"/>
        <v>197.16</v>
      </c>
      <c r="Q31" s="2">
        <f t="shared" si="3"/>
        <v>176.86600000000001</v>
      </c>
      <c r="R31" s="2">
        <f t="shared" si="4"/>
        <v>0.98921960099787998</v>
      </c>
      <c r="S31" s="2">
        <f t="shared" si="5"/>
        <v>0.8105143031040779</v>
      </c>
      <c r="T31" s="2">
        <f t="shared" si="6"/>
        <v>0.76379292797937415</v>
      </c>
      <c r="V31" s="3">
        <v>391.15</v>
      </c>
      <c r="W31" s="2">
        <f t="shared" si="7"/>
        <v>176.86600000000001</v>
      </c>
      <c r="Z31" s="2">
        <f t="shared" si="11"/>
        <v>176.86600000000001</v>
      </c>
      <c r="AC31" s="3">
        <v>20</v>
      </c>
      <c r="AD31" s="2">
        <f t="shared" si="9"/>
        <v>0.86626815250905997</v>
      </c>
    </row>
    <row r="32" spans="1:30" s="2" customFormat="1" x14ac:dyDescent="0.2">
      <c r="A32" s="1" t="s">
        <v>22</v>
      </c>
      <c r="B32" s="3">
        <v>24</v>
      </c>
      <c r="C32" s="1">
        <v>8.1</v>
      </c>
      <c r="D32" s="3">
        <v>0.18</v>
      </c>
      <c r="E32" s="3">
        <v>379.92</v>
      </c>
      <c r="F32" s="3">
        <v>73.73</v>
      </c>
      <c r="G32" s="3">
        <v>266.47300000000001</v>
      </c>
      <c r="H32" s="3">
        <v>276.58600000000001</v>
      </c>
      <c r="I32" s="3">
        <v>139.232</v>
      </c>
      <c r="J32" s="3">
        <v>145.624</v>
      </c>
      <c r="K32" s="3">
        <v>156.27099999999999</v>
      </c>
      <c r="L32" s="3">
        <v>154.9</v>
      </c>
      <c r="N32" s="2">
        <f t="shared" si="0"/>
        <v>1139.086</v>
      </c>
      <c r="O32" s="2">
        <f t="shared" si="1"/>
        <v>276.58600000000001</v>
      </c>
      <c r="P32" s="2">
        <f t="shared" si="2"/>
        <v>145.624</v>
      </c>
      <c r="Q32" s="2">
        <f t="shared" si="3"/>
        <v>156.27099999999999</v>
      </c>
      <c r="R32" s="2">
        <f t="shared" si="4"/>
        <v>0.96343632721829742</v>
      </c>
      <c r="S32" s="2">
        <f t="shared" si="5"/>
        <v>0.95610613635115094</v>
      </c>
      <c r="T32" s="2">
        <f t="shared" si="6"/>
        <v>0.9912267791208863</v>
      </c>
      <c r="V32" s="3">
        <v>379.92</v>
      </c>
      <c r="W32" s="2">
        <f t="shared" si="7"/>
        <v>156.27099999999999</v>
      </c>
      <c r="AA32" s="2">
        <f>W32</f>
        <v>156.27099999999999</v>
      </c>
      <c r="AC32" s="3">
        <v>24</v>
      </c>
      <c r="AD32" s="2">
        <f t="shared" si="9"/>
        <v>0.78065373329140919</v>
      </c>
    </row>
    <row r="33" spans="1:30" s="2" customFormat="1" x14ac:dyDescent="0.2">
      <c r="A33" s="1" t="s">
        <v>22</v>
      </c>
      <c r="B33" s="3">
        <v>24</v>
      </c>
      <c r="C33" s="1">
        <v>8.1</v>
      </c>
      <c r="D33" s="3">
        <v>0.18</v>
      </c>
      <c r="E33" s="3">
        <v>357.88</v>
      </c>
      <c r="F33" s="3">
        <v>68.22</v>
      </c>
      <c r="G33" s="3">
        <v>260.03500000000003</v>
      </c>
      <c r="H33" s="3">
        <v>261.85700000000003</v>
      </c>
      <c r="I33" s="3">
        <v>106.36499999999999</v>
      </c>
      <c r="J33" s="3">
        <v>109.623</v>
      </c>
      <c r="K33" s="3">
        <v>135.46799999999999</v>
      </c>
      <c r="L33" s="3">
        <v>149.75399999999999</v>
      </c>
      <c r="N33" s="2">
        <f t="shared" si="0"/>
        <v>1023.1020000000001</v>
      </c>
      <c r="O33" s="2">
        <f t="shared" si="1"/>
        <v>261.85700000000003</v>
      </c>
      <c r="P33" s="2">
        <f t="shared" si="2"/>
        <v>109.623</v>
      </c>
      <c r="Q33" s="2">
        <f t="shared" si="3"/>
        <v>149.75399999999999</v>
      </c>
      <c r="R33" s="2">
        <f t="shared" si="4"/>
        <v>0.99304200384179153</v>
      </c>
      <c r="S33" s="2">
        <f t="shared" si="5"/>
        <v>0.97027995949755064</v>
      </c>
      <c r="T33" s="2">
        <f t="shared" si="6"/>
        <v>0.90460354982170754</v>
      </c>
      <c r="V33" s="3">
        <v>357.88</v>
      </c>
      <c r="W33" s="2">
        <f t="shared" si="7"/>
        <v>149.75399999999999</v>
      </c>
      <c r="AA33" s="2">
        <f t="shared" ref="AA33:AA37" si="12">W33</f>
        <v>149.75399999999999</v>
      </c>
      <c r="AC33" s="3">
        <v>24</v>
      </c>
      <c r="AD33" s="2">
        <f t="shared" si="9"/>
        <v>0.79136866677469042</v>
      </c>
    </row>
    <row r="34" spans="1:30" s="2" customFormat="1" x14ac:dyDescent="0.2">
      <c r="A34" s="1" t="s">
        <v>22</v>
      </c>
      <c r="B34" s="3">
        <v>24</v>
      </c>
      <c r="C34" s="1">
        <v>8.1</v>
      </c>
      <c r="D34" s="3">
        <v>0.18</v>
      </c>
      <c r="E34" s="3">
        <v>343.37</v>
      </c>
      <c r="F34" s="3">
        <v>64.592500000000001</v>
      </c>
      <c r="G34" s="3">
        <v>250.08099999999999</v>
      </c>
      <c r="H34" s="3">
        <v>254.291</v>
      </c>
      <c r="I34" s="3">
        <v>101.387</v>
      </c>
      <c r="J34" s="3">
        <v>105.71</v>
      </c>
      <c r="K34" s="3">
        <v>118.187</v>
      </c>
      <c r="L34" s="3">
        <v>99.528000000000006</v>
      </c>
      <c r="N34" s="2">
        <f t="shared" si="0"/>
        <v>929.18400000000008</v>
      </c>
      <c r="O34" s="2">
        <f t="shared" si="1"/>
        <v>254.291</v>
      </c>
      <c r="P34" s="2">
        <f t="shared" si="2"/>
        <v>105.71</v>
      </c>
      <c r="Q34" s="2">
        <f t="shared" si="3"/>
        <v>118.187</v>
      </c>
      <c r="R34" s="2">
        <f t="shared" si="4"/>
        <v>0.98344416436287552</v>
      </c>
      <c r="S34" s="2">
        <f t="shared" si="5"/>
        <v>0.95910509885535911</v>
      </c>
      <c r="T34" s="2">
        <f t="shared" si="6"/>
        <v>0.84212307614204618</v>
      </c>
      <c r="V34" s="3">
        <v>343.37</v>
      </c>
      <c r="W34" s="2">
        <f t="shared" si="7"/>
        <v>118.187</v>
      </c>
      <c r="AA34" s="2">
        <f t="shared" si="12"/>
        <v>118.187</v>
      </c>
      <c r="AC34" s="3">
        <v>24</v>
      </c>
      <c r="AD34" s="2">
        <f t="shared" si="9"/>
        <v>0.63619102599952193</v>
      </c>
    </row>
    <row r="35" spans="1:30" s="2" customFormat="1" x14ac:dyDescent="0.2">
      <c r="A35" s="1" t="s">
        <v>22</v>
      </c>
      <c r="B35" s="3">
        <v>24</v>
      </c>
      <c r="C35" s="1">
        <v>8.1</v>
      </c>
      <c r="D35" s="3">
        <v>0.18</v>
      </c>
      <c r="E35" s="3">
        <v>337.54</v>
      </c>
      <c r="F35" s="3">
        <v>63.135000000000005</v>
      </c>
      <c r="G35" s="3">
        <v>250.04499999999999</v>
      </c>
      <c r="H35" s="3">
        <v>251.80600000000001</v>
      </c>
      <c r="I35" s="3">
        <v>84.463999999999999</v>
      </c>
      <c r="J35" s="3">
        <v>113.151</v>
      </c>
      <c r="K35" s="3">
        <v>98.501000000000005</v>
      </c>
      <c r="L35" s="3">
        <v>97.83</v>
      </c>
      <c r="N35" s="2">
        <f t="shared" si="0"/>
        <v>895.79700000000003</v>
      </c>
      <c r="O35" s="2">
        <f t="shared" si="1"/>
        <v>251.80600000000001</v>
      </c>
      <c r="P35" s="2">
        <f t="shared" si="2"/>
        <v>113.151</v>
      </c>
      <c r="Q35" s="2">
        <f t="shared" si="3"/>
        <v>98.501000000000005</v>
      </c>
      <c r="R35" s="2">
        <f t="shared" si="4"/>
        <v>0.9930065208930684</v>
      </c>
      <c r="S35" s="2">
        <f t="shared" si="5"/>
        <v>0.74647152919549986</v>
      </c>
      <c r="T35" s="2">
        <f t="shared" si="6"/>
        <v>0.99318788641739675</v>
      </c>
      <c r="V35" s="3">
        <v>337.54</v>
      </c>
      <c r="W35" s="2">
        <f t="shared" si="7"/>
        <v>98.501000000000005</v>
      </c>
      <c r="AA35" s="2">
        <f t="shared" si="12"/>
        <v>98.501000000000005</v>
      </c>
      <c r="AC35" s="3">
        <v>24</v>
      </c>
      <c r="AD35" s="2">
        <f t="shared" si="9"/>
        <v>0.52751996517125799</v>
      </c>
    </row>
    <row r="36" spans="1:30" s="2" customFormat="1" x14ac:dyDescent="0.2">
      <c r="A36" s="1" t="s">
        <v>22</v>
      </c>
      <c r="B36" s="3">
        <v>24</v>
      </c>
      <c r="C36" s="1">
        <v>8.1</v>
      </c>
      <c r="D36" s="3">
        <v>0.18</v>
      </c>
      <c r="E36" s="3">
        <v>363.07</v>
      </c>
      <c r="F36" s="3">
        <v>69.517499999999998</v>
      </c>
      <c r="G36" s="3">
        <v>275.52300000000002</v>
      </c>
      <c r="H36" s="3">
        <v>279.75299999999999</v>
      </c>
      <c r="I36" s="3">
        <v>119.473</v>
      </c>
      <c r="J36" s="3">
        <v>111.76</v>
      </c>
      <c r="K36" s="3">
        <v>112.56699999999999</v>
      </c>
      <c r="L36" s="3">
        <v>117.621</v>
      </c>
      <c r="N36" s="2">
        <f t="shared" si="0"/>
        <v>1016.697</v>
      </c>
      <c r="O36" s="2">
        <f t="shared" si="1"/>
        <v>279.75299999999999</v>
      </c>
      <c r="P36" s="2">
        <f t="shared" si="2"/>
        <v>119.473</v>
      </c>
      <c r="Q36" s="2">
        <f t="shared" si="3"/>
        <v>117.621</v>
      </c>
      <c r="R36" s="2">
        <f t="shared" si="4"/>
        <v>0.98487951871829804</v>
      </c>
      <c r="S36" s="2">
        <f t="shared" si="5"/>
        <v>0.93544148050187081</v>
      </c>
      <c r="T36" s="2">
        <f t="shared" si="6"/>
        <v>0.95703148247336778</v>
      </c>
      <c r="V36" s="3">
        <v>363.07</v>
      </c>
      <c r="W36" s="2">
        <f t="shared" si="7"/>
        <v>117.621</v>
      </c>
      <c r="AA36" s="2">
        <f t="shared" si="12"/>
        <v>117.621</v>
      </c>
      <c r="AC36" s="3">
        <v>24</v>
      </c>
      <c r="AD36" s="2">
        <f t="shared" si="9"/>
        <v>0.59847315599873629</v>
      </c>
    </row>
    <row r="37" spans="1:30" s="2" customFormat="1" x14ac:dyDescent="0.2">
      <c r="A37" s="1" t="s">
        <v>22</v>
      </c>
      <c r="B37" s="3">
        <v>24</v>
      </c>
      <c r="C37" s="1">
        <v>8.1</v>
      </c>
      <c r="D37" s="3">
        <v>0.18</v>
      </c>
      <c r="E37" s="3">
        <v>385.96</v>
      </c>
      <c r="F37" s="3">
        <v>75.239999999999995</v>
      </c>
      <c r="G37" s="3">
        <v>298.83600000000001</v>
      </c>
      <c r="H37" s="3">
        <v>277.12099999999998</v>
      </c>
      <c r="I37" s="3">
        <v>93.528000000000006</v>
      </c>
      <c r="J37" s="3">
        <v>87.180999999999997</v>
      </c>
      <c r="K37" s="3">
        <v>139.16300000000001</v>
      </c>
      <c r="L37" s="3">
        <v>176.95599999999999</v>
      </c>
      <c r="N37" s="2">
        <f t="shared" si="0"/>
        <v>1072.7850000000001</v>
      </c>
      <c r="O37" s="2">
        <f t="shared" si="1"/>
        <v>298.83600000000001</v>
      </c>
      <c r="P37" s="2">
        <f t="shared" si="2"/>
        <v>93.528000000000006</v>
      </c>
      <c r="Q37" s="2">
        <f t="shared" si="3"/>
        <v>176.95599999999999</v>
      </c>
      <c r="R37" s="2">
        <f t="shared" si="4"/>
        <v>0.9273347254012233</v>
      </c>
      <c r="S37" s="2">
        <f t="shared" si="5"/>
        <v>0.93213796937815407</v>
      </c>
      <c r="T37" s="2">
        <f t="shared" si="6"/>
        <v>0.78642713442889767</v>
      </c>
      <c r="V37" s="3">
        <v>385.96</v>
      </c>
      <c r="W37" s="2">
        <f t="shared" si="7"/>
        <v>176.95599999999999</v>
      </c>
      <c r="AA37" s="2">
        <f t="shared" si="12"/>
        <v>176.95599999999999</v>
      </c>
      <c r="AC37" s="3">
        <v>24</v>
      </c>
      <c r="AD37" s="2">
        <f t="shared" si="9"/>
        <v>0.87839527701348952</v>
      </c>
    </row>
    <row r="38" spans="1:30" s="2" customFormat="1" x14ac:dyDescent="0.2">
      <c r="A38" s="1" t="s">
        <v>22</v>
      </c>
      <c r="B38" s="3">
        <v>30</v>
      </c>
      <c r="C38" s="1">
        <v>8.1</v>
      </c>
      <c r="D38" s="3">
        <v>0.18</v>
      </c>
      <c r="E38" s="3">
        <v>374.42</v>
      </c>
      <c r="F38" s="3">
        <v>72.355000000000004</v>
      </c>
      <c r="G38" s="3">
        <v>284.93299999999999</v>
      </c>
      <c r="H38" s="3">
        <v>287.416</v>
      </c>
      <c r="I38" s="3">
        <v>152.989</v>
      </c>
      <c r="J38" s="3">
        <v>173.495</v>
      </c>
      <c r="K38" s="3">
        <v>99.278000000000006</v>
      </c>
      <c r="L38" s="3">
        <v>107.989</v>
      </c>
      <c r="N38" s="2">
        <f t="shared" si="0"/>
        <v>1106.0999999999999</v>
      </c>
      <c r="O38" s="2">
        <f t="shared" si="1"/>
        <v>287.416</v>
      </c>
      <c r="P38" s="2">
        <f t="shared" si="2"/>
        <v>173.495</v>
      </c>
      <c r="Q38" s="2">
        <f t="shared" si="3"/>
        <v>107.989</v>
      </c>
      <c r="R38" s="2">
        <f t="shared" si="4"/>
        <v>0.99136095415704062</v>
      </c>
      <c r="S38" s="2">
        <f t="shared" si="5"/>
        <v>0.88180639211504652</v>
      </c>
      <c r="T38" s="2">
        <f t="shared" si="6"/>
        <v>0.91933437664947359</v>
      </c>
      <c r="V38" s="3">
        <v>374.42</v>
      </c>
      <c r="W38" s="2">
        <f t="shared" si="7"/>
        <v>107.989</v>
      </c>
      <c r="AC38" s="3">
        <v>30</v>
      </c>
      <c r="AD38" s="2">
        <f t="shared" ref="AD38" si="13">(W38-11.715)/(V38*0.4874)</f>
        <v>0.5275510023140263</v>
      </c>
    </row>
    <row r="39" spans="1:30" s="2" customFormat="1" ht="15.75" customHeight="1" x14ac:dyDescent="0.2">
      <c r="A39" s="1"/>
      <c r="B39" s="3"/>
      <c r="C39" s="1"/>
      <c r="D39" s="3"/>
      <c r="F39" s="3"/>
      <c r="AC39" s="3"/>
    </row>
    <row r="40" spans="1:30" s="2" customFormat="1" ht="15.75" customHeight="1" x14ac:dyDescent="0.2">
      <c r="A40" s="1"/>
      <c r="B40" s="3"/>
      <c r="C40" s="1"/>
      <c r="D40" s="3"/>
      <c r="F40" s="3"/>
      <c r="AC40" s="3"/>
    </row>
    <row r="41" spans="1:30" s="2" customFormat="1" ht="15.75" customHeight="1" x14ac:dyDescent="0.2">
      <c r="A41" s="1"/>
      <c r="B41" s="3"/>
      <c r="C41" s="1"/>
      <c r="D41" s="3"/>
      <c r="F41" s="3"/>
      <c r="AC41" s="3"/>
    </row>
    <row r="42" spans="1:30" s="2" customFormat="1" ht="15.75" customHeight="1" x14ac:dyDescent="0.2">
      <c r="A42" s="1"/>
      <c r="B42" s="3"/>
      <c r="C42" s="1"/>
      <c r="D42" s="3"/>
      <c r="F42" s="3"/>
      <c r="AC42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71E6-8CB8-024A-8820-991591E37F81}">
  <dimension ref="A1:AD42"/>
  <sheetViews>
    <sheetView tabSelected="1" zoomScale="125" workbookViewId="0">
      <selection activeCell="P3" sqref="P3"/>
    </sheetView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1" t="s">
        <v>4</v>
      </c>
      <c r="W1" s="1" t="s">
        <v>14</v>
      </c>
      <c r="X1" t="s">
        <v>29</v>
      </c>
      <c r="Y1" t="s">
        <v>30</v>
      </c>
      <c r="Z1" t="s">
        <v>31</v>
      </c>
      <c r="AA1" t="s">
        <v>32</v>
      </c>
      <c r="AC1" s="1" t="s">
        <v>21</v>
      </c>
      <c r="AD1" t="s">
        <v>39</v>
      </c>
    </row>
    <row r="2" spans="1:30" s="2" customFormat="1" x14ac:dyDescent="0.2">
      <c r="A2" s="1" t="s">
        <v>22</v>
      </c>
      <c r="B2" s="3">
        <v>12</v>
      </c>
      <c r="C2" s="1">
        <v>8.1</v>
      </c>
      <c r="D2" s="3">
        <v>0.18</v>
      </c>
      <c r="E2" s="3">
        <v>262.94</v>
      </c>
      <c r="F2" s="3">
        <v>44.484999999999999</v>
      </c>
      <c r="G2" s="3">
        <v>174.297</v>
      </c>
      <c r="H2" s="3">
        <v>176.25200000000001</v>
      </c>
      <c r="I2" s="3">
        <v>110.327</v>
      </c>
      <c r="J2" s="3">
        <v>98.662000000000006</v>
      </c>
      <c r="K2" s="3">
        <v>125.604</v>
      </c>
      <c r="L2" s="3">
        <v>125.965</v>
      </c>
      <c r="N2" s="2">
        <f t="shared" ref="N2:N38" si="0">SUM(G2:L2)</f>
        <v>811.10700000000008</v>
      </c>
      <c r="O2" s="2">
        <f t="shared" ref="O2:O38" si="1">MAX(G2:H2)</f>
        <v>176.25200000000001</v>
      </c>
      <c r="P2" s="2">
        <f t="shared" ref="P2:P38" si="2">MAX(I2:J2)</f>
        <v>110.327</v>
      </c>
      <c r="Q2" s="2">
        <f t="shared" ref="Q2:Q38" si="3">MAX(K2:L2)</f>
        <v>125.965</v>
      </c>
      <c r="R2" s="2">
        <f t="shared" ref="R2:R38" si="4">MIN(G2:H2)/MAX(G2:H2)</f>
        <v>0.98890792728593147</v>
      </c>
      <c r="S2" s="2">
        <f t="shared" ref="S2:S38" si="5">MIN(I2:J2)/MAX(I2:J2)</f>
        <v>0.89426885531193645</v>
      </c>
      <c r="T2" s="2">
        <f t="shared" ref="T2:T38" si="6">MIN(K2:L2)/MAX(K2:L2)</f>
        <v>0.997134124558409</v>
      </c>
      <c r="V2" s="3">
        <v>262.94</v>
      </c>
      <c r="W2" s="2">
        <f>P2</f>
        <v>110.327</v>
      </c>
      <c r="X2" s="2">
        <f>W2</f>
        <v>110.327</v>
      </c>
      <c r="AC2" s="3">
        <v>12</v>
      </c>
      <c r="AD2" s="2">
        <f>(W2+136.01)/(V2*0.3668)</f>
        <v>2.5541339068443327</v>
      </c>
    </row>
    <row r="3" spans="1:30" s="2" customFormat="1" x14ac:dyDescent="0.2">
      <c r="A3" s="1" t="s">
        <v>22</v>
      </c>
      <c r="B3" s="3">
        <v>12</v>
      </c>
      <c r="C3" s="1">
        <v>8.1</v>
      </c>
      <c r="D3" s="3">
        <v>0.18</v>
      </c>
      <c r="E3" s="3">
        <v>254.65</v>
      </c>
      <c r="F3" s="3">
        <v>42.412500000000001</v>
      </c>
      <c r="G3" s="3">
        <v>190.71899999999999</v>
      </c>
      <c r="H3" s="3">
        <v>195.96600000000001</v>
      </c>
      <c r="I3" s="3">
        <v>95.438999999999993</v>
      </c>
      <c r="J3" s="3">
        <v>110.425</v>
      </c>
      <c r="K3" s="3">
        <v>87.802999999999997</v>
      </c>
      <c r="L3" s="3">
        <v>88.430999999999997</v>
      </c>
      <c r="N3" s="2">
        <f t="shared" si="0"/>
        <v>768.78300000000002</v>
      </c>
      <c r="O3" s="2">
        <f t="shared" si="1"/>
        <v>195.96600000000001</v>
      </c>
      <c r="P3" s="2">
        <f t="shared" si="2"/>
        <v>110.425</v>
      </c>
      <c r="Q3" s="2">
        <f t="shared" si="3"/>
        <v>88.430999999999997</v>
      </c>
      <c r="R3" s="2">
        <f t="shared" si="4"/>
        <v>0.97322494718471564</v>
      </c>
      <c r="S3" s="2">
        <f t="shared" si="5"/>
        <v>0.86428797826579118</v>
      </c>
      <c r="T3" s="2">
        <f t="shared" si="6"/>
        <v>0.99289841797559675</v>
      </c>
      <c r="V3" s="3">
        <v>254.65</v>
      </c>
      <c r="W3" s="2">
        <f t="shared" ref="W3:W38" si="7">P3</f>
        <v>110.425</v>
      </c>
      <c r="X3" s="2">
        <f t="shared" ref="X3:X11" si="8">W3</f>
        <v>110.425</v>
      </c>
      <c r="AC3" s="3">
        <v>12</v>
      </c>
      <c r="AD3" s="2">
        <f>(W3+136.01)/(V3*0.3668)</f>
        <v>2.6383316121663771</v>
      </c>
    </row>
    <row r="4" spans="1:30" s="2" customFormat="1" x14ac:dyDescent="0.2">
      <c r="A4" s="1" t="s">
        <v>22</v>
      </c>
      <c r="B4" s="3">
        <v>12</v>
      </c>
      <c r="C4" s="1">
        <v>8.1</v>
      </c>
      <c r="D4" s="3">
        <v>0.18</v>
      </c>
      <c r="E4" s="3">
        <v>274.92</v>
      </c>
      <c r="F4" s="3">
        <v>47.480000000000004</v>
      </c>
      <c r="G4" s="3">
        <v>219.471</v>
      </c>
      <c r="H4" s="3">
        <v>215.5</v>
      </c>
      <c r="I4" s="3">
        <v>128.37</v>
      </c>
      <c r="J4" s="3">
        <v>100.559</v>
      </c>
      <c r="K4" s="3">
        <v>77.084000000000003</v>
      </c>
      <c r="L4" s="3">
        <v>85.688999999999993</v>
      </c>
      <c r="N4" s="2">
        <f t="shared" si="0"/>
        <v>826.67299999999989</v>
      </c>
      <c r="O4" s="2">
        <f t="shared" si="1"/>
        <v>219.471</v>
      </c>
      <c r="P4" s="2">
        <f t="shared" si="2"/>
        <v>128.37</v>
      </c>
      <c r="Q4" s="2">
        <f t="shared" si="3"/>
        <v>85.688999999999993</v>
      </c>
      <c r="R4" s="2">
        <f t="shared" si="4"/>
        <v>0.98190649334080582</v>
      </c>
      <c r="S4" s="2">
        <f t="shared" si="5"/>
        <v>0.78335280828854092</v>
      </c>
      <c r="T4" s="2">
        <f t="shared" si="6"/>
        <v>0.89957870905250392</v>
      </c>
      <c r="V4" s="3">
        <v>274.92</v>
      </c>
      <c r="W4" s="2">
        <f t="shared" si="7"/>
        <v>128.37</v>
      </c>
      <c r="X4" s="2">
        <f t="shared" si="8"/>
        <v>128.37</v>
      </c>
      <c r="AC4" s="3">
        <v>12</v>
      </c>
      <c r="AD4" s="2">
        <f t="shared" ref="AD4:AD38" si="9">(W4+136.01)/(V4*0.3668)</f>
        <v>2.6217600171105588</v>
      </c>
    </row>
    <row r="5" spans="1:30" s="2" customFormat="1" x14ac:dyDescent="0.2">
      <c r="A5" s="1" t="s">
        <v>22</v>
      </c>
      <c r="B5" s="3">
        <v>12</v>
      </c>
      <c r="C5" s="1">
        <v>8.1</v>
      </c>
      <c r="D5" s="3">
        <v>0.18</v>
      </c>
      <c r="E5" s="3">
        <v>279.45999999999998</v>
      </c>
      <c r="F5" s="3">
        <v>48.614999999999995</v>
      </c>
      <c r="G5" s="3">
        <v>217.37</v>
      </c>
      <c r="H5" s="3">
        <v>214.63399999999999</v>
      </c>
      <c r="I5" s="3">
        <v>117.441</v>
      </c>
      <c r="J5" s="3">
        <v>130.673</v>
      </c>
      <c r="K5" s="3">
        <v>82.605000000000004</v>
      </c>
      <c r="L5" s="3">
        <v>82.462000000000003</v>
      </c>
      <c r="N5" s="2">
        <f t="shared" si="0"/>
        <v>845.18500000000006</v>
      </c>
      <c r="O5" s="2">
        <f t="shared" si="1"/>
        <v>217.37</v>
      </c>
      <c r="P5" s="2">
        <f t="shared" si="2"/>
        <v>130.673</v>
      </c>
      <c r="Q5" s="2">
        <f t="shared" si="3"/>
        <v>82.605000000000004</v>
      </c>
      <c r="R5" s="2">
        <f t="shared" si="4"/>
        <v>0.98741316649031596</v>
      </c>
      <c r="S5" s="2">
        <f t="shared" si="5"/>
        <v>0.89873960190705038</v>
      </c>
      <c r="T5" s="2">
        <f t="shared" si="6"/>
        <v>0.99826886992312813</v>
      </c>
      <c r="V5" s="3">
        <v>279.45999999999998</v>
      </c>
      <c r="W5" s="2">
        <f t="shared" si="7"/>
        <v>130.673</v>
      </c>
      <c r="X5" s="2">
        <f t="shared" si="8"/>
        <v>130.673</v>
      </c>
      <c r="AC5" s="3">
        <v>12</v>
      </c>
      <c r="AD5" s="2">
        <f t="shared" si="9"/>
        <v>2.601634902519979</v>
      </c>
    </row>
    <row r="6" spans="1:30" s="2" customFormat="1" x14ac:dyDescent="0.2">
      <c r="A6" s="1" t="s">
        <v>22</v>
      </c>
      <c r="B6" s="3">
        <v>12</v>
      </c>
      <c r="C6" s="1">
        <v>8.1</v>
      </c>
      <c r="D6" s="3">
        <v>0.18</v>
      </c>
      <c r="E6" s="3">
        <v>275.61</v>
      </c>
      <c r="F6" s="3">
        <v>47.652500000000003</v>
      </c>
      <c r="G6" s="3">
        <v>198.43299999999999</v>
      </c>
      <c r="H6" s="3">
        <v>211.94800000000001</v>
      </c>
      <c r="I6" s="3">
        <v>88.486000000000004</v>
      </c>
      <c r="J6" s="3">
        <v>92.605000000000004</v>
      </c>
      <c r="K6" s="3">
        <v>96.277000000000001</v>
      </c>
      <c r="L6" s="3">
        <v>86.915999999999997</v>
      </c>
      <c r="N6" s="2">
        <f t="shared" si="0"/>
        <v>774.66499999999996</v>
      </c>
      <c r="O6" s="2">
        <f t="shared" si="1"/>
        <v>211.94800000000001</v>
      </c>
      <c r="P6" s="2">
        <f t="shared" si="2"/>
        <v>92.605000000000004</v>
      </c>
      <c r="Q6" s="2">
        <f t="shared" si="3"/>
        <v>96.277000000000001</v>
      </c>
      <c r="R6" s="2">
        <f t="shared" si="4"/>
        <v>0.93623435937116639</v>
      </c>
      <c r="S6" s="2">
        <f t="shared" si="5"/>
        <v>0.95552076021813082</v>
      </c>
      <c r="T6" s="2">
        <f t="shared" si="6"/>
        <v>0.90277013201491529</v>
      </c>
      <c r="V6" s="3">
        <v>275.61</v>
      </c>
      <c r="W6" s="2">
        <f t="shared" si="7"/>
        <v>92.605000000000004</v>
      </c>
      <c r="X6" s="2">
        <f t="shared" si="8"/>
        <v>92.605000000000004</v>
      </c>
      <c r="AC6" s="3">
        <v>12</v>
      </c>
      <c r="AD6" s="2">
        <f t="shared" si="9"/>
        <v>2.2614158098085353</v>
      </c>
    </row>
    <row r="7" spans="1:30" s="2" customFormat="1" x14ac:dyDescent="0.2">
      <c r="A7" s="1" t="s">
        <v>22</v>
      </c>
      <c r="B7" s="3">
        <v>12</v>
      </c>
      <c r="C7" s="1">
        <v>8.1</v>
      </c>
      <c r="D7" s="3">
        <v>0.18</v>
      </c>
      <c r="E7" s="3">
        <v>283.70999999999998</v>
      </c>
      <c r="F7" s="3">
        <v>49.677499999999995</v>
      </c>
      <c r="G7" s="3">
        <v>211.149</v>
      </c>
      <c r="H7" s="3">
        <v>213.126</v>
      </c>
      <c r="I7" s="3">
        <v>97.498000000000005</v>
      </c>
      <c r="J7" s="3">
        <v>109.992</v>
      </c>
      <c r="K7" s="3">
        <v>101.429</v>
      </c>
      <c r="L7" s="3">
        <v>110.645</v>
      </c>
      <c r="N7" s="2">
        <f t="shared" si="0"/>
        <v>843.83899999999994</v>
      </c>
      <c r="O7" s="2">
        <f t="shared" si="1"/>
        <v>213.126</v>
      </c>
      <c r="P7" s="2">
        <f t="shared" si="2"/>
        <v>109.992</v>
      </c>
      <c r="Q7" s="2">
        <f t="shared" si="3"/>
        <v>110.645</v>
      </c>
      <c r="R7" s="2">
        <f t="shared" si="4"/>
        <v>0.99072379719039438</v>
      </c>
      <c r="S7" s="2">
        <f t="shared" si="5"/>
        <v>0.88640992072150704</v>
      </c>
      <c r="T7" s="2">
        <f t="shared" si="6"/>
        <v>0.91670658412038508</v>
      </c>
      <c r="V7" s="3">
        <v>283.70999999999998</v>
      </c>
      <c r="W7" s="2">
        <f t="shared" si="7"/>
        <v>109.992</v>
      </c>
      <c r="X7" s="2">
        <f t="shared" si="8"/>
        <v>109.992</v>
      </c>
      <c r="AC7" s="3">
        <v>12</v>
      </c>
      <c r="AD7" s="2">
        <f t="shared" si="9"/>
        <v>2.3639302992938211</v>
      </c>
    </row>
    <row r="8" spans="1:30" s="2" customFormat="1" x14ac:dyDescent="0.2">
      <c r="A8" s="1" t="s">
        <v>22</v>
      </c>
      <c r="B8" s="3">
        <v>12</v>
      </c>
      <c r="C8" s="1">
        <v>8.1</v>
      </c>
      <c r="D8" s="3">
        <v>0.18</v>
      </c>
      <c r="E8" s="3">
        <v>277.16000000000003</v>
      </c>
      <c r="F8" s="3">
        <v>48.040000000000006</v>
      </c>
      <c r="G8" s="3">
        <v>184.072</v>
      </c>
      <c r="H8" s="3">
        <v>188.88900000000001</v>
      </c>
      <c r="I8" s="3">
        <v>79.06</v>
      </c>
      <c r="J8" s="3">
        <v>87.034999999999997</v>
      </c>
      <c r="K8" s="3">
        <v>126.71</v>
      </c>
      <c r="L8" s="3">
        <v>123.01300000000001</v>
      </c>
      <c r="N8" s="2">
        <f t="shared" si="0"/>
        <v>788.77900000000011</v>
      </c>
      <c r="O8" s="2">
        <f t="shared" si="1"/>
        <v>188.88900000000001</v>
      </c>
      <c r="P8" s="2">
        <f t="shared" si="2"/>
        <v>87.034999999999997</v>
      </c>
      <c r="Q8" s="2">
        <f t="shared" si="3"/>
        <v>126.71</v>
      </c>
      <c r="R8" s="2">
        <f t="shared" si="4"/>
        <v>0.97449825029514681</v>
      </c>
      <c r="S8" s="2">
        <f t="shared" si="5"/>
        <v>0.90837019589820189</v>
      </c>
      <c r="T8" s="2">
        <f t="shared" si="6"/>
        <v>0.9708231394522927</v>
      </c>
      <c r="V8" s="3">
        <v>277.16000000000003</v>
      </c>
      <c r="W8" s="2">
        <f t="shared" si="7"/>
        <v>87.034999999999997</v>
      </c>
      <c r="X8" s="2">
        <f t="shared" si="8"/>
        <v>87.034999999999997</v>
      </c>
      <c r="AC8" s="3">
        <v>12</v>
      </c>
      <c r="AD8" s="2">
        <f t="shared" si="9"/>
        <v>2.1939797380912767</v>
      </c>
    </row>
    <row r="9" spans="1:30" s="2" customFormat="1" x14ac:dyDescent="0.2">
      <c r="A9" s="1" t="s">
        <v>22</v>
      </c>
      <c r="B9" s="3">
        <v>12</v>
      </c>
      <c r="C9" s="1">
        <v>8.1</v>
      </c>
      <c r="D9" s="3">
        <v>0.18</v>
      </c>
      <c r="E9" s="3">
        <v>260.06</v>
      </c>
      <c r="F9" s="3">
        <v>43.765000000000001</v>
      </c>
      <c r="G9" s="3">
        <v>159.62299999999999</v>
      </c>
      <c r="H9" s="3">
        <v>163.54599999999999</v>
      </c>
      <c r="I9" s="3">
        <v>112.38200000000001</v>
      </c>
      <c r="J9" s="3">
        <v>118.70099999999999</v>
      </c>
      <c r="K9" s="3">
        <v>124.595</v>
      </c>
      <c r="L9" s="3">
        <v>111.28700000000001</v>
      </c>
      <c r="N9" s="2">
        <f t="shared" si="0"/>
        <v>790.13400000000001</v>
      </c>
      <c r="O9" s="2">
        <f t="shared" si="1"/>
        <v>163.54599999999999</v>
      </c>
      <c r="P9" s="2">
        <f t="shared" si="2"/>
        <v>118.70099999999999</v>
      </c>
      <c r="Q9" s="2">
        <f t="shared" si="3"/>
        <v>124.595</v>
      </c>
      <c r="R9" s="2">
        <f t="shared" si="4"/>
        <v>0.97601286488205152</v>
      </c>
      <c r="S9" s="2">
        <f t="shared" si="5"/>
        <v>0.94676540214488514</v>
      </c>
      <c r="T9" s="2">
        <f t="shared" si="6"/>
        <v>0.89318993539066582</v>
      </c>
      <c r="V9" s="3">
        <v>260.06</v>
      </c>
      <c r="W9" s="2">
        <f t="shared" si="7"/>
        <v>118.70099999999999</v>
      </c>
      <c r="X9" s="2">
        <f t="shared" si="8"/>
        <v>118.70099999999999</v>
      </c>
      <c r="AC9" s="3">
        <v>12</v>
      </c>
      <c r="AD9" s="2">
        <f t="shared" si="9"/>
        <v>2.6702062966594986</v>
      </c>
    </row>
    <row r="10" spans="1:30" s="2" customFormat="1" x14ac:dyDescent="0.2">
      <c r="A10" s="1" t="s">
        <v>22</v>
      </c>
      <c r="B10" s="3">
        <v>12</v>
      </c>
      <c r="C10" s="1">
        <v>8.1</v>
      </c>
      <c r="D10" s="3">
        <v>0.18</v>
      </c>
      <c r="E10" s="3">
        <v>265.97000000000003</v>
      </c>
      <c r="F10" s="3">
        <v>45.242500000000007</v>
      </c>
      <c r="G10" s="3">
        <v>189.31</v>
      </c>
      <c r="H10" s="3">
        <v>202.464</v>
      </c>
      <c r="I10" s="3">
        <v>113.773</v>
      </c>
      <c r="J10" s="3">
        <v>109.01600000000001</v>
      </c>
      <c r="K10" s="3">
        <v>93.076999999999998</v>
      </c>
      <c r="L10" s="3">
        <v>90.129000000000005</v>
      </c>
      <c r="N10" s="2">
        <f t="shared" si="0"/>
        <v>797.76900000000001</v>
      </c>
      <c r="O10" s="2">
        <f t="shared" si="1"/>
        <v>202.464</v>
      </c>
      <c r="P10" s="2">
        <f t="shared" si="2"/>
        <v>113.773</v>
      </c>
      <c r="Q10" s="2">
        <f t="shared" si="3"/>
        <v>93.076999999999998</v>
      </c>
      <c r="R10" s="2">
        <f t="shared" si="4"/>
        <v>0.93503042516200408</v>
      </c>
      <c r="S10" s="2">
        <f t="shared" si="5"/>
        <v>0.95818867393845653</v>
      </c>
      <c r="T10" s="2">
        <f t="shared" si="6"/>
        <v>0.9683272989030588</v>
      </c>
      <c r="V10" s="3">
        <v>265.97000000000003</v>
      </c>
      <c r="W10" s="2">
        <f t="shared" si="7"/>
        <v>113.773</v>
      </c>
      <c r="X10" s="2">
        <f t="shared" si="8"/>
        <v>113.773</v>
      </c>
      <c r="AC10" s="3">
        <v>12</v>
      </c>
      <c r="AD10" s="2">
        <f t="shared" si="9"/>
        <v>2.5603591946665132</v>
      </c>
    </row>
    <row r="11" spans="1:30" s="2" customFormat="1" x14ac:dyDescent="0.2">
      <c r="A11" s="1" t="s">
        <v>22</v>
      </c>
      <c r="B11" s="3">
        <v>12</v>
      </c>
      <c r="C11" s="1">
        <v>8.1</v>
      </c>
      <c r="D11" s="3">
        <v>0.18</v>
      </c>
      <c r="E11" s="3">
        <v>264.98</v>
      </c>
      <c r="F11" s="3">
        <v>44.995000000000005</v>
      </c>
      <c r="G11" s="3">
        <v>179.566</v>
      </c>
      <c r="H11" s="3">
        <v>185.107</v>
      </c>
      <c r="I11" s="3">
        <v>81.290999999999997</v>
      </c>
      <c r="J11" s="3">
        <v>103.771</v>
      </c>
      <c r="K11" s="3">
        <v>105.871</v>
      </c>
      <c r="L11" s="3">
        <v>110.51600000000001</v>
      </c>
      <c r="N11" s="2">
        <f t="shared" si="0"/>
        <v>766.12199999999996</v>
      </c>
      <c r="O11" s="2">
        <f t="shared" si="1"/>
        <v>185.107</v>
      </c>
      <c r="P11" s="2">
        <f t="shared" si="2"/>
        <v>103.771</v>
      </c>
      <c r="Q11" s="2">
        <f t="shared" si="3"/>
        <v>110.51600000000001</v>
      </c>
      <c r="R11" s="2">
        <f t="shared" si="4"/>
        <v>0.97006596184909266</v>
      </c>
      <c r="S11" s="2">
        <f t="shared" si="5"/>
        <v>0.78336914937699353</v>
      </c>
      <c r="T11" s="2">
        <f t="shared" si="6"/>
        <v>0.95796988671323602</v>
      </c>
      <c r="V11" s="3">
        <v>264.98</v>
      </c>
      <c r="W11" s="2">
        <f t="shared" si="7"/>
        <v>103.771</v>
      </c>
      <c r="X11" s="2">
        <f t="shared" si="8"/>
        <v>103.771</v>
      </c>
      <c r="AC11" s="3">
        <v>12</v>
      </c>
      <c r="AD11" s="2">
        <f t="shared" si="9"/>
        <v>2.4670181482390841</v>
      </c>
    </row>
    <row r="12" spans="1:30" s="2" customFormat="1" x14ac:dyDescent="0.2">
      <c r="A12" s="1" t="s">
        <v>22</v>
      </c>
      <c r="B12" s="3">
        <v>16</v>
      </c>
      <c r="C12" s="1">
        <v>8.1</v>
      </c>
      <c r="D12" s="3">
        <v>0.18</v>
      </c>
      <c r="E12" s="3">
        <v>377.65</v>
      </c>
      <c r="F12" s="3">
        <v>73.162499999999994</v>
      </c>
      <c r="G12" s="3">
        <v>264.96699999999998</v>
      </c>
      <c r="H12" s="3">
        <v>261.846</v>
      </c>
      <c r="I12" s="3">
        <v>167.41499999999999</v>
      </c>
      <c r="J12" s="3">
        <v>175.614</v>
      </c>
      <c r="K12" s="3">
        <v>133.48699999999999</v>
      </c>
      <c r="L12" s="3">
        <v>120.65</v>
      </c>
      <c r="N12" s="2">
        <f t="shared" si="0"/>
        <v>1123.979</v>
      </c>
      <c r="O12" s="2">
        <f t="shared" si="1"/>
        <v>264.96699999999998</v>
      </c>
      <c r="P12" s="2">
        <f t="shared" si="2"/>
        <v>175.614</v>
      </c>
      <c r="Q12" s="2">
        <f t="shared" si="3"/>
        <v>133.48699999999999</v>
      </c>
      <c r="R12" s="2">
        <f t="shared" si="4"/>
        <v>0.98822117471232274</v>
      </c>
      <c r="S12" s="2">
        <f t="shared" si="5"/>
        <v>0.95331237828419135</v>
      </c>
      <c r="T12" s="2">
        <f t="shared" si="6"/>
        <v>0.90383333208477235</v>
      </c>
      <c r="V12" s="3">
        <v>377.65</v>
      </c>
      <c r="W12" s="2">
        <f t="shared" si="7"/>
        <v>175.614</v>
      </c>
      <c r="Y12" s="2">
        <f>W12</f>
        <v>175.614</v>
      </c>
      <c r="AC12" s="3">
        <v>16</v>
      </c>
      <c r="AD12" s="2">
        <f t="shared" si="9"/>
        <v>2.2496351121648388</v>
      </c>
    </row>
    <row r="13" spans="1:30" s="2" customFormat="1" x14ac:dyDescent="0.2">
      <c r="A13" s="1" t="s">
        <v>22</v>
      </c>
      <c r="B13" s="3">
        <v>16</v>
      </c>
      <c r="C13" s="1">
        <v>8.1</v>
      </c>
      <c r="D13" s="3">
        <v>0.18</v>
      </c>
      <c r="E13" s="3">
        <v>389.99</v>
      </c>
      <c r="F13" s="3">
        <v>76.247500000000002</v>
      </c>
      <c r="G13" s="3">
        <v>286.17500000000001</v>
      </c>
      <c r="H13" s="3">
        <v>297.37700000000001</v>
      </c>
      <c r="I13" s="3">
        <v>176.01900000000001</v>
      </c>
      <c r="J13" s="3">
        <v>255.84700000000001</v>
      </c>
      <c r="K13" s="3">
        <v>103.596</v>
      </c>
      <c r="L13" s="3">
        <v>115.869</v>
      </c>
      <c r="N13" s="2">
        <f t="shared" si="0"/>
        <v>1234.883</v>
      </c>
      <c r="O13" s="2">
        <f t="shared" si="1"/>
        <v>297.37700000000001</v>
      </c>
      <c r="P13" s="2">
        <f t="shared" si="2"/>
        <v>255.84700000000001</v>
      </c>
      <c r="Q13" s="2">
        <f t="shared" si="3"/>
        <v>115.869</v>
      </c>
      <c r="R13" s="2">
        <f t="shared" si="4"/>
        <v>0.96233064426636894</v>
      </c>
      <c r="S13" s="2">
        <f t="shared" si="5"/>
        <v>0.68798539752273824</v>
      </c>
      <c r="T13" s="2">
        <f t="shared" si="6"/>
        <v>0.8940786577945784</v>
      </c>
      <c r="V13" s="3">
        <v>389.99</v>
      </c>
      <c r="W13" s="2">
        <f t="shared" si="7"/>
        <v>255.84700000000001</v>
      </c>
      <c r="Y13" s="2">
        <f t="shared" ref="Y13:Y21" si="10">W13</f>
        <v>255.84700000000001</v>
      </c>
      <c r="AC13" s="3">
        <v>16</v>
      </c>
      <c r="AD13" s="2">
        <f t="shared" si="9"/>
        <v>2.7393328850559397</v>
      </c>
    </row>
    <row r="14" spans="1:30" s="2" customFormat="1" x14ac:dyDescent="0.2">
      <c r="A14" s="1" t="s">
        <v>22</v>
      </c>
      <c r="B14" s="3">
        <v>16</v>
      </c>
      <c r="C14" s="1">
        <v>8.1</v>
      </c>
      <c r="D14" s="3">
        <v>0.18</v>
      </c>
      <c r="E14" s="3">
        <v>357</v>
      </c>
      <c r="F14" s="3">
        <v>68</v>
      </c>
      <c r="G14" s="3">
        <v>295.09699999999998</v>
      </c>
      <c r="H14" s="3">
        <v>300.08100000000002</v>
      </c>
      <c r="I14" s="3">
        <v>153.90199999999999</v>
      </c>
      <c r="J14" s="3">
        <v>299.37900000000002</v>
      </c>
      <c r="K14" s="3">
        <v>121.268</v>
      </c>
      <c r="L14" s="3">
        <v>100.58</v>
      </c>
      <c r="N14" s="2">
        <f t="shared" si="0"/>
        <v>1270.3069999999998</v>
      </c>
      <c r="O14" s="2">
        <f t="shared" si="1"/>
        <v>300.08100000000002</v>
      </c>
      <c r="P14" s="2">
        <f t="shared" si="2"/>
        <v>299.37900000000002</v>
      </c>
      <c r="Q14" s="2">
        <f t="shared" si="3"/>
        <v>121.268</v>
      </c>
      <c r="R14" s="2">
        <f t="shared" si="4"/>
        <v>0.98339115105588149</v>
      </c>
      <c r="S14" s="2">
        <f t="shared" si="5"/>
        <v>0.51407079320860838</v>
      </c>
      <c r="T14" s="2">
        <f t="shared" si="6"/>
        <v>0.82940264538047959</v>
      </c>
      <c r="V14" s="3">
        <v>357</v>
      </c>
      <c r="W14" s="2">
        <f t="shared" si="7"/>
        <v>299.37900000000002</v>
      </c>
      <c r="Y14" s="2">
        <f t="shared" si="10"/>
        <v>299.37900000000002</v>
      </c>
      <c r="AC14" s="3">
        <v>16</v>
      </c>
      <c r="AD14" s="2">
        <f t="shared" si="9"/>
        <v>3.3249101167184434</v>
      </c>
    </row>
    <row r="15" spans="1:30" s="2" customFormat="1" x14ac:dyDescent="0.2">
      <c r="A15" s="1" t="s">
        <v>22</v>
      </c>
      <c r="B15" s="3">
        <v>16</v>
      </c>
      <c r="C15" s="1">
        <v>8.1</v>
      </c>
      <c r="D15" s="3">
        <v>0.18</v>
      </c>
      <c r="E15" s="3">
        <v>397.92</v>
      </c>
      <c r="F15" s="3">
        <v>78.23</v>
      </c>
      <c r="G15" s="3">
        <v>287.88</v>
      </c>
      <c r="H15" s="3">
        <v>285.96899999999999</v>
      </c>
      <c r="I15" s="3">
        <v>299.03300000000002</v>
      </c>
      <c r="J15" s="3">
        <v>284.90600000000001</v>
      </c>
      <c r="K15" s="3">
        <v>140.91200000000001</v>
      </c>
      <c r="L15" s="3">
        <v>143.64699999999999</v>
      </c>
      <c r="N15" s="2">
        <f t="shared" si="0"/>
        <v>1442.347</v>
      </c>
      <c r="O15" s="2">
        <f t="shared" si="1"/>
        <v>287.88</v>
      </c>
      <c r="P15" s="2">
        <f t="shared" si="2"/>
        <v>299.03300000000002</v>
      </c>
      <c r="Q15" s="2">
        <f t="shared" si="3"/>
        <v>143.64699999999999</v>
      </c>
      <c r="R15" s="2">
        <f t="shared" si="4"/>
        <v>0.9933618174239266</v>
      </c>
      <c r="S15" s="2">
        <f t="shared" si="5"/>
        <v>0.95275772239184298</v>
      </c>
      <c r="T15" s="2">
        <f t="shared" si="6"/>
        <v>0.98096027066350155</v>
      </c>
      <c r="V15" s="3">
        <v>397.92</v>
      </c>
      <c r="W15" s="2">
        <f t="shared" si="7"/>
        <v>299.03300000000002</v>
      </c>
      <c r="Y15" s="2">
        <f t="shared" si="10"/>
        <v>299.03300000000002</v>
      </c>
      <c r="AC15" s="3">
        <v>16</v>
      </c>
      <c r="AD15" s="2">
        <f t="shared" si="9"/>
        <v>2.9806232868933717</v>
      </c>
    </row>
    <row r="16" spans="1:30" s="2" customFormat="1" x14ac:dyDescent="0.2">
      <c r="A16" s="1" t="s">
        <v>22</v>
      </c>
      <c r="B16" s="3">
        <v>16</v>
      </c>
      <c r="C16" s="1">
        <v>8.1</v>
      </c>
      <c r="D16" s="3">
        <v>0.18</v>
      </c>
      <c r="E16" s="3">
        <v>394.43</v>
      </c>
      <c r="F16" s="3">
        <v>77.357500000000002</v>
      </c>
      <c r="G16" s="3">
        <v>554.56100000000004</v>
      </c>
      <c r="H16" s="3">
        <v>498.44900000000001</v>
      </c>
      <c r="I16" s="3">
        <v>254.18600000000001</v>
      </c>
      <c r="J16" s="3">
        <v>206.64699999999999</v>
      </c>
      <c r="K16" s="3">
        <v>168.876</v>
      </c>
      <c r="L16" s="3">
        <v>142.93</v>
      </c>
      <c r="N16" s="2">
        <f t="shared" si="0"/>
        <v>1825.6489999999999</v>
      </c>
      <c r="P16" s="2">
        <f t="shared" si="2"/>
        <v>254.18600000000001</v>
      </c>
      <c r="Q16" s="2">
        <f t="shared" si="3"/>
        <v>168.876</v>
      </c>
      <c r="R16" s="2">
        <f t="shared" si="4"/>
        <v>0.89881726266362039</v>
      </c>
      <c r="S16" s="2">
        <f t="shared" si="5"/>
        <v>0.81297553759845143</v>
      </c>
      <c r="T16" s="2">
        <f t="shared" si="6"/>
        <v>0.8463606433122528</v>
      </c>
      <c r="V16" s="3">
        <v>394.43</v>
      </c>
      <c r="W16" s="2">
        <f t="shared" si="7"/>
        <v>254.18600000000001</v>
      </c>
      <c r="Y16" s="2">
        <f t="shared" si="10"/>
        <v>254.18600000000001</v>
      </c>
      <c r="AC16" s="3">
        <v>16</v>
      </c>
      <c r="AD16" s="2">
        <f t="shared" si="9"/>
        <v>2.6970161461270767</v>
      </c>
    </row>
    <row r="17" spans="1:30" s="2" customFormat="1" x14ac:dyDescent="0.2">
      <c r="A17" s="1" t="s">
        <v>22</v>
      </c>
      <c r="B17" s="3">
        <v>16</v>
      </c>
      <c r="C17" s="1">
        <v>8.1</v>
      </c>
      <c r="D17" s="3">
        <v>0.18</v>
      </c>
      <c r="E17" s="3">
        <v>376.38</v>
      </c>
      <c r="F17" s="3">
        <v>72.844999999999999</v>
      </c>
      <c r="G17" s="3">
        <v>281.73700000000002</v>
      </c>
      <c r="H17" s="3">
        <v>283.23599999999999</v>
      </c>
      <c r="I17" s="3">
        <v>184.166</v>
      </c>
      <c r="J17" s="3">
        <v>184.71</v>
      </c>
      <c r="K17" s="3">
        <v>133.46100000000001</v>
      </c>
      <c r="L17" s="3">
        <v>103.00700000000001</v>
      </c>
      <c r="N17" s="2">
        <f t="shared" si="0"/>
        <v>1170.317</v>
      </c>
      <c r="O17" s="2">
        <f t="shared" si="1"/>
        <v>283.23599999999999</v>
      </c>
      <c r="P17" s="2">
        <f t="shared" si="2"/>
        <v>184.71</v>
      </c>
      <c r="Q17" s="2">
        <f t="shared" si="3"/>
        <v>133.46100000000001</v>
      </c>
      <c r="R17" s="2">
        <f t="shared" si="4"/>
        <v>0.99470759366747175</v>
      </c>
      <c r="S17" s="2">
        <f t="shared" si="5"/>
        <v>0.99705484272643596</v>
      </c>
      <c r="T17" s="2">
        <f t="shared" si="6"/>
        <v>0.77181348858468013</v>
      </c>
      <c r="V17" s="3">
        <v>376.38</v>
      </c>
      <c r="W17" s="2">
        <f t="shared" si="7"/>
        <v>184.71</v>
      </c>
      <c r="Y17" s="2">
        <f t="shared" si="10"/>
        <v>184.71</v>
      </c>
      <c r="AC17" s="3">
        <v>16</v>
      </c>
      <c r="AD17" s="2">
        <f t="shared" si="9"/>
        <v>2.3231121613501937</v>
      </c>
    </row>
    <row r="18" spans="1:30" s="2" customFormat="1" x14ac:dyDescent="0.2">
      <c r="A18" s="1" t="s">
        <v>22</v>
      </c>
      <c r="B18" s="3">
        <v>16</v>
      </c>
      <c r="C18" s="1">
        <v>8.1</v>
      </c>
      <c r="D18" s="3">
        <v>0.18</v>
      </c>
      <c r="E18" s="3">
        <v>386.83</v>
      </c>
      <c r="F18" s="3">
        <v>75.457499999999996</v>
      </c>
      <c r="G18" s="3">
        <v>304.45699999999999</v>
      </c>
      <c r="H18" s="3">
        <v>286.541</v>
      </c>
      <c r="I18" s="3">
        <v>167.16300000000001</v>
      </c>
      <c r="J18" s="3">
        <v>203.91300000000001</v>
      </c>
      <c r="K18" s="3">
        <v>103.893</v>
      </c>
      <c r="L18" s="3">
        <v>96.736999999999995</v>
      </c>
      <c r="N18" s="2">
        <f t="shared" si="0"/>
        <v>1162.7040000000002</v>
      </c>
      <c r="O18" s="2">
        <f t="shared" si="1"/>
        <v>304.45699999999999</v>
      </c>
      <c r="P18" s="2">
        <f t="shared" si="2"/>
        <v>203.91300000000001</v>
      </c>
      <c r="Q18" s="2">
        <f t="shared" si="3"/>
        <v>103.893</v>
      </c>
      <c r="R18" s="2">
        <f t="shared" si="4"/>
        <v>0.94115425166772315</v>
      </c>
      <c r="S18" s="2">
        <f t="shared" si="5"/>
        <v>0.8197760809757102</v>
      </c>
      <c r="T18" s="2">
        <f t="shared" si="6"/>
        <v>0.93112144225308724</v>
      </c>
      <c r="V18" s="3">
        <v>386.83</v>
      </c>
      <c r="W18" s="2">
        <f t="shared" si="7"/>
        <v>203.91300000000001</v>
      </c>
      <c r="Y18" s="2">
        <f t="shared" si="10"/>
        <v>203.91300000000001</v>
      </c>
      <c r="AC18" s="3">
        <v>16</v>
      </c>
      <c r="AD18" s="2">
        <f t="shared" si="9"/>
        <v>2.3956925163404215</v>
      </c>
    </row>
    <row r="19" spans="1:30" s="2" customFormat="1" x14ac:dyDescent="0.2">
      <c r="A19" s="1" t="s">
        <v>22</v>
      </c>
      <c r="B19" s="3">
        <v>16</v>
      </c>
      <c r="C19" s="1">
        <v>8.1</v>
      </c>
      <c r="D19" s="3">
        <v>0.18</v>
      </c>
      <c r="E19" s="3">
        <v>406.46</v>
      </c>
      <c r="F19" s="3">
        <v>80.364999999999995</v>
      </c>
      <c r="G19" s="3">
        <v>295.81900000000002</v>
      </c>
      <c r="H19" s="3">
        <v>292.44900000000001</v>
      </c>
      <c r="I19" s="3">
        <v>281.80599999999998</v>
      </c>
      <c r="J19" s="3">
        <v>209.57400000000001</v>
      </c>
      <c r="K19" s="3">
        <v>210.93299999999999</v>
      </c>
      <c r="L19" s="3">
        <v>148.40299999999999</v>
      </c>
      <c r="N19" s="2">
        <f t="shared" si="0"/>
        <v>1438.9840000000002</v>
      </c>
      <c r="O19" s="2">
        <f t="shared" si="1"/>
        <v>295.81900000000002</v>
      </c>
      <c r="P19" s="2">
        <f t="shared" si="2"/>
        <v>281.80599999999998</v>
      </c>
      <c r="Q19" s="2">
        <f t="shared" si="3"/>
        <v>210.93299999999999</v>
      </c>
      <c r="R19" s="2">
        <f t="shared" si="4"/>
        <v>0.9886078987488971</v>
      </c>
      <c r="S19" s="2">
        <f t="shared" si="5"/>
        <v>0.74368182366592628</v>
      </c>
      <c r="T19" s="2">
        <f t="shared" si="6"/>
        <v>0.70355515732483775</v>
      </c>
      <c r="V19" s="3">
        <v>406.46</v>
      </c>
      <c r="W19" s="2">
        <f t="shared" si="7"/>
        <v>281.80599999999998</v>
      </c>
      <c r="Y19" s="2">
        <f t="shared" si="10"/>
        <v>281.80599999999998</v>
      </c>
      <c r="AC19" s="3">
        <v>16</v>
      </c>
      <c r="AD19" s="2">
        <f t="shared" si="9"/>
        <v>2.8024503505034906</v>
      </c>
    </row>
    <row r="20" spans="1:30" s="2" customFormat="1" x14ac:dyDescent="0.2">
      <c r="A20" s="1" t="s">
        <v>22</v>
      </c>
      <c r="B20" s="3">
        <v>16</v>
      </c>
      <c r="C20" s="1">
        <v>8.1</v>
      </c>
      <c r="D20" s="3">
        <v>0.18</v>
      </c>
      <c r="E20" s="3">
        <v>406.13</v>
      </c>
      <c r="F20" s="3">
        <v>80.282499999999999</v>
      </c>
      <c r="G20" s="3">
        <v>304.76</v>
      </c>
      <c r="H20" s="3">
        <v>301.43799999999999</v>
      </c>
      <c r="I20" s="3">
        <v>255.20699999999999</v>
      </c>
      <c r="J20" s="3">
        <v>247.339</v>
      </c>
      <c r="K20" s="3">
        <v>190.137</v>
      </c>
      <c r="L20" s="3">
        <v>206.04400000000001</v>
      </c>
      <c r="N20" s="2">
        <f t="shared" si="0"/>
        <v>1504.925</v>
      </c>
      <c r="O20" s="2">
        <f t="shared" si="1"/>
        <v>304.76</v>
      </c>
      <c r="P20" s="2">
        <f t="shared" si="2"/>
        <v>255.20699999999999</v>
      </c>
      <c r="Q20" s="2">
        <f t="shared" si="3"/>
        <v>206.04400000000001</v>
      </c>
      <c r="R20" s="2">
        <f t="shared" si="4"/>
        <v>0.98909961937262103</v>
      </c>
      <c r="S20" s="2">
        <f t="shared" si="5"/>
        <v>0.9691701246439165</v>
      </c>
      <c r="T20" s="2">
        <f t="shared" si="6"/>
        <v>0.92279804313641745</v>
      </c>
      <c r="V20" s="3">
        <v>406.13</v>
      </c>
      <c r="W20" s="2">
        <f t="shared" si="7"/>
        <v>255.20699999999999</v>
      </c>
      <c r="Y20" s="2">
        <f t="shared" si="10"/>
        <v>255.20699999999999</v>
      </c>
      <c r="AC20" s="3">
        <v>16</v>
      </c>
      <c r="AD20" s="2">
        <f t="shared" si="9"/>
        <v>2.6261729293022809</v>
      </c>
    </row>
    <row r="21" spans="1:30" s="2" customFormat="1" x14ac:dyDescent="0.2">
      <c r="A21" s="1" t="s">
        <v>22</v>
      </c>
      <c r="B21" s="3">
        <v>16</v>
      </c>
      <c r="C21" s="1">
        <v>8.1</v>
      </c>
      <c r="D21" s="3">
        <v>0.18</v>
      </c>
      <c r="E21" s="3">
        <v>385.14</v>
      </c>
      <c r="F21" s="3">
        <v>75.034999999999997</v>
      </c>
      <c r="G21" s="3">
        <v>276.84100000000001</v>
      </c>
      <c r="H21" s="3">
        <v>278.17</v>
      </c>
      <c r="I21" s="3">
        <v>254.727</v>
      </c>
      <c r="J21" s="3">
        <v>274.56900000000002</v>
      </c>
      <c r="K21" s="3">
        <v>131.07499999999999</v>
      </c>
      <c r="L21" s="3">
        <v>130.636</v>
      </c>
      <c r="N21" s="2">
        <f t="shared" si="0"/>
        <v>1346.018</v>
      </c>
      <c r="O21" s="2">
        <f t="shared" si="1"/>
        <v>278.17</v>
      </c>
      <c r="P21" s="2">
        <f t="shared" si="2"/>
        <v>274.56900000000002</v>
      </c>
      <c r="Q21" s="2">
        <f t="shared" si="3"/>
        <v>131.07499999999999</v>
      </c>
      <c r="R21" s="2">
        <f t="shared" si="4"/>
        <v>0.99522234604738102</v>
      </c>
      <c r="S21" s="2">
        <f t="shared" si="5"/>
        <v>0.92773401221550866</v>
      </c>
      <c r="T21" s="2">
        <f t="shared" si="6"/>
        <v>0.99665077245851619</v>
      </c>
      <c r="V21" s="3">
        <v>385.14</v>
      </c>
      <c r="W21" s="2">
        <f t="shared" si="7"/>
        <v>274.56900000000002</v>
      </c>
      <c r="Y21" s="2">
        <f t="shared" si="10"/>
        <v>274.56900000000002</v>
      </c>
      <c r="AC21" s="3">
        <v>16</v>
      </c>
      <c r="AD21" s="2">
        <f t="shared" si="9"/>
        <v>2.9063557961248381</v>
      </c>
    </row>
    <row r="22" spans="1:30" s="2" customFormat="1" x14ac:dyDescent="0.2">
      <c r="A22" s="1" t="s">
        <v>22</v>
      </c>
      <c r="B22" s="3">
        <v>20</v>
      </c>
      <c r="C22" s="1">
        <v>8.1</v>
      </c>
      <c r="D22" s="3">
        <v>0.18</v>
      </c>
      <c r="E22" s="3">
        <v>384.07</v>
      </c>
      <c r="F22" s="3">
        <v>74.767499999999998</v>
      </c>
      <c r="G22" s="3">
        <v>269.91500000000002</v>
      </c>
      <c r="H22" s="3">
        <v>267.26900000000001</v>
      </c>
      <c r="I22" s="3">
        <v>256.92599999999999</v>
      </c>
      <c r="J22" s="3">
        <v>263.70299999999997</v>
      </c>
      <c r="K22" s="3">
        <v>191.096</v>
      </c>
      <c r="L22" s="3">
        <v>195.38300000000001</v>
      </c>
      <c r="N22" s="2">
        <f t="shared" si="0"/>
        <v>1444.2919999999999</v>
      </c>
      <c r="O22" s="2">
        <f t="shared" si="1"/>
        <v>269.91500000000002</v>
      </c>
      <c r="P22" s="2">
        <f t="shared" si="2"/>
        <v>263.70299999999997</v>
      </c>
      <c r="Q22" s="2">
        <f t="shared" si="3"/>
        <v>195.38300000000001</v>
      </c>
      <c r="R22" s="2">
        <f t="shared" si="4"/>
        <v>0.99019691384324693</v>
      </c>
      <c r="S22" s="2">
        <f t="shared" si="5"/>
        <v>0.97430063366742137</v>
      </c>
      <c r="T22" s="2">
        <f t="shared" si="6"/>
        <v>0.97805848001105522</v>
      </c>
      <c r="V22" s="3">
        <v>384.07</v>
      </c>
      <c r="W22" s="2">
        <f t="shared" si="7"/>
        <v>263.70299999999997</v>
      </c>
      <c r="Z22" s="2">
        <f>W22</f>
        <v>263.70299999999997</v>
      </c>
      <c r="AC22" s="3">
        <v>20</v>
      </c>
      <c r="AD22" s="2">
        <f t="shared" si="9"/>
        <v>2.83732157717637</v>
      </c>
    </row>
    <row r="23" spans="1:30" s="2" customFormat="1" x14ac:dyDescent="0.2">
      <c r="A23" s="1" t="s">
        <v>22</v>
      </c>
      <c r="B23" s="3">
        <v>20</v>
      </c>
      <c r="C23" s="1">
        <v>8.1</v>
      </c>
      <c r="D23" s="3">
        <v>0.18</v>
      </c>
      <c r="E23" s="3">
        <v>321.63</v>
      </c>
      <c r="F23" s="3">
        <v>59.157499999999999</v>
      </c>
      <c r="G23" s="3">
        <v>210.601</v>
      </c>
      <c r="H23" s="3">
        <v>213.48599999999999</v>
      </c>
      <c r="I23" s="3">
        <v>250.63200000000001</v>
      </c>
      <c r="J23" s="3">
        <v>248.06800000000001</v>
      </c>
      <c r="K23" s="3">
        <v>165.649</v>
      </c>
      <c r="L23" s="3">
        <v>164.86099999999999</v>
      </c>
      <c r="N23" s="2">
        <f t="shared" si="0"/>
        <v>1253.297</v>
      </c>
      <c r="O23" s="2">
        <f t="shared" si="1"/>
        <v>213.48599999999999</v>
      </c>
      <c r="P23" s="2">
        <f t="shared" si="2"/>
        <v>250.63200000000001</v>
      </c>
      <c r="Q23" s="2">
        <f t="shared" si="3"/>
        <v>165.649</v>
      </c>
      <c r="R23" s="2">
        <f t="shared" si="4"/>
        <v>0.98648623328930241</v>
      </c>
      <c r="S23" s="2">
        <f t="shared" si="5"/>
        <v>0.98976986178939641</v>
      </c>
      <c r="T23" s="2">
        <f t="shared" si="6"/>
        <v>0.99524295347391167</v>
      </c>
      <c r="V23" s="3">
        <v>321.63</v>
      </c>
      <c r="W23" s="2">
        <f t="shared" si="7"/>
        <v>250.63200000000001</v>
      </c>
      <c r="Z23" s="2">
        <f t="shared" ref="Z23:Z31" si="11">W23</f>
        <v>250.63200000000001</v>
      </c>
      <c r="AC23" s="3">
        <v>20</v>
      </c>
      <c r="AD23" s="2">
        <f t="shared" si="9"/>
        <v>3.2773524689582993</v>
      </c>
    </row>
    <row r="24" spans="1:30" s="2" customFormat="1" x14ac:dyDescent="0.2">
      <c r="A24" s="1" t="s">
        <v>22</v>
      </c>
      <c r="B24" s="3">
        <v>20</v>
      </c>
      <c r="C24" s="1">
        <v>8.1</v>
      </c>
      <c r="D24" s="3">
        <v>0.18</v>
      </c>
      <c r="E24" s="3">
        <v>398.77</v>
      </c>
      <c r="F24" s="3">
        <v>78.442499999999995</v>
      </c>
      <c r="G24" s="3">
        <v>295.37799999999999</v>
      </c>
      <c r="H24" s="3">
        <v>296.62</v>
      </c>
      <c r="I24" s="3">
        <v>295.77199999999999</v>
      </c>
      <c r="J24" s="3">
        <v>300.92099999999999</v>
      </c>
      <c r="K24" s="3">
        <v>177.19499999999999</v>
      </c>
      <c r="L24" s="3">
        <v>193.09200000000001</v>
      </c>
      <c r="N24" s="2">
        <f t="shared" si="0"/>
        <v>1558.9780000000001</v>
      </c>
      <c r="O24" s="2">
        <f t="shared" si="1"/>
        <v>296.62</v>
      </c>
      <c r="P24" s="2">
        <f t="shared" si="2"/>
        <v>300.92099999999999</v>
      </c>
      <c r="Q24" s="2">
        <f t="shared" si="3"/>
        <v>193.09200000000001</v>
      </c>
      <c r="R24" s="2">
        <f t="shared" si="4"/>
        <v>0.99581282448924546</v>
      </c>
      <c r="S24" s="2">
        <f t="shared" si="5"/>
        <v>0.98288919683239118</v>
      </c>
      <c r="T24" s="2">
        <f t="shared" si="6"/>
        <v>0.91767136908831015</v>
      </c>
      <c r="V24" s="3">
        <v>398.77</v>
      </c>
      <c r="W24" s="2">
        <f t="shared" si="7"/>
        <v>300.92099999999999</v>
      </c>
      <c r="Z24" s="2">
        <f t="shared" si="11"/>
        <v>300.92099999999999</v>
      </c>
      <c r="AC24" s="3">
        <v>20</v>
      </c>
      <c r="AD24" s="2">
        <f t="shared" si="9"/>
        <v>2.9871776651042743</v>
      </c>
    </row>
    <row r="25" spans="1:30" s="2" customFormat="1" x14ac:dyDescent="0.2">
      <c r="A25" s="1" t="s">
        <v>22</v>
      </c>
      <c r="B25" s="3">
        <v>20</v>
      </c>
      <c r="C25" s="1">
        <v>8.1</v>
      </c>
      <c r="D25" s="3">
        <v>0.18</v>
      </c>
      <c r="E25" s="3">
        <v>365.19</v>
      </c>
      <c r="F25" s="3">
        <v>70.047499999999999</v>
      </c>
      <c r="G25" s="3">
        <v>253.18199999999999</v>
      </c>
      <c r="H25" s="3">
        <v>254.36</v>
      </c>
      <c r="I25" s="3">
        <v>315.87700000000001</v>
      </c>
      <c r="J25" s="3">
        <v>321.85700000000003</v>
      </c>
      <c r="K25" s="3">
        <v>200.98699999999999</v>
      </c>
      <c r="L25" s="3">
        <v>200.49799999999999</v>
      </c>
      <c r="N25" s="2">
        <f t="shared" si="0"/>
        <v>1546.7610000000002</v>
      </c>
      <c r="O25" s="2">
        <f t="shared" si="1"/>
        <v>254.36</v>
      </c>
      <c r="P25" s="2">
        <f t="shared" si="2"/>
        <v>321.85700000000003</v>
      </c>
      <c r="Q25" s="2">
        <f t="shared" si="3"/>
        <v>200.98699999999999</v>
      </c>
      <c r="R25" s="2">
        <f t="shared" si="4"/>
        <v>0.99536876867431978</v>
      </c>
      <c r="S25" s="2">
        <f t="shared" si="5"/>
        <v>0.98142032020431424</v>
      </c>
      <c r="T25" s="2">
        <f t="shared" si="6"/>
        <v>0.9975670068213367</v>
      </c>
      <c r="V25" s="3">
        <v>365.19</v>
      </c>
      <c r="W25" s="2">
        <f t="shared" si="7"/>
        <v>321.85700000000003</v>
      </c>
      <c r="Z25" s="2">
        <f t="shared" si="11"/>
        <v>321.85700000000003</v>
      </c>
      <c r="AC25" s="3">
        <v>20</v>
      </c>
      <c r="AD25" s="2">
        <f t="shared" si="9"/>
        <v>3.4181501790959086</v>
      </c>
    </row>
    <row r="26" spans="1:30" s="2" customFormat="1" x14ac:dyDescent="0.2">
      <c r="A26" s="1" t="s">
        <v>22</v>
      </c>
      <c r="B26" s="3">
        <v>20</v>
      </c>
      <c r="C26" s="1">
        <v>8.1</v>
      </c>
      <c r="D26" s="3">
        <v>0.18</v>
      </c>
      <c r="E26" s="3">
        <v>386.85</v>
      </c>
      <c r="F26" s="3">
        <v>75.462500000000006</v>
      </c>
      <c r="G26" s="3">
        <v>291.75</v>
      </c>
      <c r="H26" s="3">
        <v>283.88099999999997</v>
      </c>
      <c r="I26" s="3">
        <v>291.67500000000001</v>
      </c>
      <c r="J26" s="3">
        <v>289.98</v>
      </c>
      <c r="K26" s="3">
        <v>193.375</v>
      </c>
      <c r="L26" s="3">
        <v>206.554</v>
      </c>
      <c r="N26" s="2">
        <f t="shared" si="0"/>
        <v>1557.2150000000001</v>
      </c>
      <c r="O26" s="2">
        <f t="shared" si="1"/>
        <v>291.75</v>
      </c>
      <c r="P26" s="2">
        <f t="shared" si="2"/>
        <v>291.67500000000001</v>
      </c>
      <c r="Q26" s="2">
        <f t="shared" si="3"/>
        <v>206.554</v>
      </c>
      <c r="R26" s="2">
        <f t="shared" si="4"/>
        <v>0.97302827763496136</v>
      </c>
      <c r="S26" s="2">
        <f t="shared" si="5"/>
        <v>0.99418873746464387</v>
      </c>
      <c r="T26" s="2">
        <f t="shared" si="6"/>
        <v>0.93619586161488033</v>
      </c>
      <c r="V26" s="3">
        <v>386.85</v>
      </c>
      <c r="W26" s="2">
        <f t="shared" si="7"/>
        <v>291.67500000000001</v>
      </c>
      <c r="Z26" s="2">
        <f t="shared" si="11"/>
        <v>291.67500000000001</v>
      </c>
      <c r="AC26" s="3">
        <v>20</v>
      </c>
      <c r="AD26" s="2">
        <f t="shared" si="9"/>
        <v>3.0140613677933605</v>
      </c>
    </row>
    <row r="27" spans="1:30" s="2" customFormat="1" x14ac:dyDescent="0.2">
      <c r="A27" s="1" t="s">
        <v>22</v>
      </c>
      <c r="B27" s="3">
        <v>20</v>
      </c>
      <c r="C27" s="1">
        <v>8.1</v>
      </c>
      <c r="D27" s="3">
        <v>0.18</v>
      </c>
      <c r="E27" s="3">
        <v>372.05</v>
      </c>
      <c r="F27" s="3">
        <v>71.762500000000003</v>
      </c>
      <c r="G27" s="3">
        <v>255.392</v>
      </c>
      <c r="H27" s="3">
        <v>265.92399999999998</v>
      </c>
      <c r="I27" s="3">
        <v>241.78399999999999</v>
      </c>
      <c r="J27" s="3">
        <v>229.77600000000001</v>
      </c>
      <c r="K27" s="3">
        <v>198.59700000000001</v>
      </c>
      <c r="L27" s="3">
        <v>176.56899999999999</v>
      </c>
      <c r="N27" s="2">
        <f t="shared" si="0"/>
        <v>1368.0419999999999</v>
      </c>
      <c r="O27" s="2">
        <f t="shared" si="1"/>
        <v>265.92399999999998</v>
      </c>
      <c r="P27" s="2">
        <f t="shared" si="2"/>
        <v>241.78399999999999</v>
      </c>
      <c r="Q27" s="2">
        <f t="shared" si="3"/>
        <v>198.59700000000001</v>
      </c>
      <c r="R27" s="2">
        <f t="shared" si="4"/>
        <v>0.96039469923737619</v>
      </c>
      <c r="S27" s="2">
        <f t="shared" si="5"/>
        <v>0.95033583694537282</v>
      </c>
      <c r="T27" s="2">
        <f t="shared" si="6"/>
        <v>0.88908190959581457</v>
      </c>
      <c r="V27" s="3">
        <v>372.05</v>
      </c>
      <c r="W27" s="2">
        <f t="shared" si="7"/>
        <v>241.78399999999999</v>
      </c>
      <c r="Z27" s="2">
        <f t="shared" si="11"/>
        <v>241.78399999999999</v>
      </c>
      <c r="AC27" s="3">
        <v>20</v>
      </c>
      <c r="AD27" s="2">
        <f t="shared" si="9"/>
        <v>2.7683718241808295</v>
      </c>
    </row>
    <row r="28" spans="1:30" s="2" customFormat="1" x14ac:dyDescent="0.2">
      <c r="A28" s="1" t="s">
        <v>22</v>
      </c>
      <c r="B28" s="3">
        <v>20</v>
      </c>
      <c r="C28" s="1">
        <v>8.1</v>
      </c>
      <c r="D28" s="3">
        <v>0.18</v>
      </c>
      <c r="E28" s="3">
        <v>403.28</v>
      </c>
      <c r="F28" s="3">
        <v>79.569999999999993</v>
      </c>
      <c r="G28" s="3">
        <v>276.86099999999999</v>
      </c>
      <c r="H28" s="3">
        <v>277.33300000000003</v>
      </c>
      <c r="I28" s="3">
        <v>265.166</v>
      </c>
      <c r="J28" s="3">
        <v>295.81900000000002</v>
      </c>
      <c r="K28" s="3">
        <v>218.02799999999999</v>
      </c>
      <c r="L28" s="3">
        <v>241.821</v>
      </c>
      <c r="N28" s="2">
        <f t="shared" si="0"/>
        <v>1575.0279999999998</v>
      </c>
      <c r="O28" s="2">
        <f t="shared" si="1"/>
        <v>277.33300000000003</v>
      </c>
      <c r="P28" s="2">
        <f t="shared" si="2"/>
        <v>295.81900000000002</v>
      </c>
      <c r="Q28" s="2">
        <f t="shared" si="3"/>
        <v>241.821</v>
      </c>
      <c r="R28" s="2">
        <f t="shared" si="4"/>
        <v>0.99829807487749367</v>
      </c>
      <c r="S28" s="2">
        <f t="shared" si="5"/>
        <v>0.89637920485161526</v>
      </c>
      <c r="T28" s="2">
        <f t="shared" si="6"/>
        <v>0.90160904139838971</v>
      </c>
      <c r="V28" s="3">
        <v>403.28</v>
      </c>
      <c r="W28" s="2">
        <f t="shared" si="7"/>
        <v>295.81900000000002</v>
      </c>
      <c r="Z28" s="2">
        <f t="shared" si="11"/>
        <v>295.81900000000002</v>
      </c>
      <c r="AC28" s="3">
        <v>20</v>
      </c>
      <c r="AD28" s="2">
        <f t="shared" si="9"/>
        <v>2.9192802768660129</v>
      </c>
    </row>
    <row r="29" spans="1:30" s="2" customFormat="1" x14ac:dyDescent="0.2">
      <c r="A29" s="1" t="s">
        <v>22</v>
      </c>
      <c r="B29" s="3">
        <v>20</v>
      </c>
      <c r="C29" s="1">
        <v>8.1</v>
      </c>
      <c r="D29" s="3">
        <v>0.18</v>
      </c>
      <c r="E29" s="3">
        <v>376.91</v>
      </c>
      <c r="F29" s="3">
        <v>72.977500000000006</v>
      </c>
      <c r="G29" s="3">
        <v>261.928</v>
      </c>
      <c r="H29" s="3">
        <v>257.13400000000001</v>
      </c>
      <c r="I29" s="3">
        <v>243.73099999999999</v>
      </c>
      <c r="J29" s="3">
        <v>224.04</v>
      </c>
      <c r="K29" s="3">
        <v>206.738</v>
      </c>
      <c r="L29" s="3">
        <v>209.17699999999999</v>
      </c>
      <c r="N29" s="2">
        <f t="shared" si="0"/>
        <v>1402.7479999999998</v>
      </c>
      <c r="O29" s="2">
        <f t="shared" si="1"/>
        <v>261.928</v>
      </c>
      <c r="P29" s="2">
        <f t="shared" si="2"/>
        <v>243.73099999999999</v>
      </c>
      <c r="Q29" s="2">
        <f t="shared" si="3"/>
        <v>209.17699999999999</v>
      </c>
      <c r="R29" s="2">
        <f t="shared" si="4"/>
        <v>0.98169726031581206</v>
      </c>
      <c r="S29" s="2">
        <f t="shared" si="5"/>
        <v>0.91921011278827891</v>
      </c>
      <c r="T29" s="2">
        <f t="shared" si="6"/>
        <v>0.98834001826204609</v>
      </c>
      <c r="V29" s="3">
        <v>376.91</v>
      </c>
      <c r="W29" s="2">
        <f t="shared" si="7"/>
        <v>243.73099999999999</v>
      </c>
      <c r="Z29" s="2">
        <f t="shared" si="11"/>
        <v>243.73099999999999</v>
      </c>
      <c r="AC29" s="3">
        <v>20</v>
      </c>
      <c r="AD29" s="2">
        <f t="shared" si="9"/>
        <v>2.7467586611638852</v>
      </c>
    </row>
    <row r="30" spans="1:30" s="2" customFormat="1" x14ac:dyDescent="0.2">
      <c r="A30" s="1" t="s">
        <v>22</v>
      </c>
      <c r="B30" s="3">
        <v>20</v>
      </c>
      <c r="C30" s="1">
        <v>8.1</v>
      </c>
      <c r="D30" s="3">
        <v>0.18</v>
      </c>
      <c r="E30" s="3">
        <v>387.6</v>
      </c>
      <c r="F30" s="3">
        <v>75.650000000000006</v>
      </c>
      <c r="G30" s="3">
        <v>288.315</v>
      </c>
      <c r="H30" s="3">
        <v>315.48700000000002</v>
      </c>
      <c r="I30" s="3">
        <v>342.029</v>
      </c>
      <c r="J30" s="3">
        <v>313.18200000000002</v>
      </c>
      <c r="K30" s="3">
        <v>175.21100000000001</v>
      </c>
      <c r="L30" s="3">
        <v>150.16499999999999</v>
      </c>
      <c r="N30" s="2">
        <f t="shared" si="0"/>
        <v>1584.3889999999999</v>
      </c>
      <c r="O30" s="2">
        <f t="shared" si="1"/>
        <v>315.48700000000002</v>
      </c>
      <c r="P30" s="2">
        <f t="shared" si="2"/>
        <v>342.029</v>
      </c>
      <c r="Q30" s="2">
        <f t="shared" si="3"/>
        <v>175.21100000000001</v>
      </c>
      <c r="R30" s="2">
        <f t="shared" si="4"/>
        <v>0.91387283786653639</v>
      </c>
      <c r="S30" s="2">
        <f t="shared" si="5"/>
        <v>0.91565919848901711</v>
      </c>
      <c r="T30" s="2">
        <f t="shared" si="6"/>
        <v>0.85705235401886859</v>
      </c>
      <c r="V30" s="3">
        <v>387.6</v>
      </c>
      <c r="W30" s="2">
        <f t="shared" si="7"/>
        <v>342.029</v>
      </c>
      <c r="Z30" s="2">
        <f t="shared" si="11"/>
        <v>342.029</v>
      </c>
      <c r="AC30" s="3">
        <v>20</v>
      </c>
      <c r="AD30" s="2">
        <f t="shared" si="9"/>
        <v>3.3624066340075602</v>
      </c>
    </row>
    <row r="31" spans="1:30" s="2" customFormat="1" x14ac:dyDescent="0.2">
      <c r="A31" s="1" t="s">
        <v>22</v>
      </c>
      <c r="B31" s="3">
        <v>20</v>
      </c>
      <c r="C31" s="1">
        <v>8.1</v>
      </c>
      <c r="D31" s="3">
        <v>0.18</v>
      </c>
      <c r="E31" s="3">
        <v>391.15</v>
      </c>
      <c r="F31" s="3">
        <v>76.537499999999994</v>
      </c>
      <c r="G31" s="3">
        <v>266.96600000000001</v>
      </c>
      <c r="H31" s="3">
        <v>264.08800000000002</v>
      </c>
      <c r="I31" s="3">
        <v>197.16</v>
      </c>
      <c r="J31" s="3">
        <v>159.80099999999999</v>
      </c>
      <c r="K31" s="3">
        <v>176.86600000000001</v>
      </c>
      <c r="L31" s="3">
        <v>135.089</v>
      </c>
      <c r="N31" s="2">
        <f t="shared" si="0"/>
        <v>1199.97</v>
      </c>
      <c r="O31" s="2">
        <f t="shared" si="1"/>
        <v>266.96600000000001</v>
      </c>
      <c r="P31" s="2">
        <f t="shared" si="2"/>
        <v>197.16</v>
      </c>
      <c r="Q31" s="2">
        <f t="shared" si="3"/>
        <v>176.86600000000001</v>
      </c>
      <c r="R31" s="2">
        <f t="shared" si="4"/>
        <v>0.98921960099787998</v>
      </c>
      <c r="S31" s="2">
        <f t="shared" si="5"/>
        <v>0.8105143031040779</v>
      </c>
      <c r="T31" s="2">
        <f t="shared" si="6"/>
        <v>0.76379292797937415</v>
      </c>
      <c r="V31" s="3">
        <v>391.15</v>
      </c>
      <c r="W31" s="2">
        <f t="shared" si="7"/>
        <v>197.16</v>
      </c>
      <c r="Z31" s="2">
        <f t="shared" si="11"/>
        <v>197.16</v>
      </c>
      <c r="AC31" s="3">
        <v>20</v>
      </c>
      <c r="AD31" s="2">
        <f t="shared" si="9"/>
        <v>2.3221658139443138</v>
      </c>
    </row>
    <row r="32" spans="1:30" s="2" customFormat="1" x14ac:dyDescent="0.2">
      <c r="A32" s="1" t="s">
        <v>22</v>
      </c>
      <c r="B32" s="3">
        <v>24</v>
      </c>
      <c r="C32" s="1">
        <v>8.1</v>
      </c>
      <c r="D32" s="3">
        <v>0.18</v>
      </c>
      <c r="E32" s="3">
        <v>379.92</v>
      </c>
      <c r="F32" s="3">
        <v>73.73</v>
      </c>
      <c r="G32" s="3">
        <v>266.47300000000001</v>
      </c>
      <c r="H32" s="3">
        <v>276.58600000000001</v>
      </c>
      <c r="I32" s="3">
        <v>139.232</v>
      </c>
      <c r="J32" s="3">
        <v>145.624</v>
      </c>
      <c r="K32" s="3">
        <v>156.27099999999999</v>
      </c>
      <c r="L32" s="3">
        <v>154.9</v>
      </c>
      <c r="N32" s="2">
        <f t="shared" si="0"/>
        <v>1139.086</v>
      </c>
      <c r="O32" s="2">
        <f t="shared" si="1"/>
        <v>276.58600000000001</v>
      </c>
      <c r="P32" s="2">
        <f t="shared" si="2"/>
        <v>145.624</v>
      </c>
      <c r="Q32" s="2">
        <f t="shared" si="3"/>
        <v>156.27099999999999</v>
      </c>
      <c r="R32" s="2">
        <f t="shared" si="4"/>
        <v>0.96343632721829742</v>
      </c>
      <c r="S32" s="2">
        <f t="shared" si="5"/>
        <v>0.95610613635115094</v>
      </c>
      <c r="T32" s="2">
        <f t="shared" si="6"/>
        <v>0.9912267791208863</v>
      </c>
      <c r="V32" s="3">
        <v>379.92</v>
      </c>
      <c r="W32" s="2">
        <f t="shared" si="7"/>
        <v>145.624</v>
      </c>
      <c r="AA32" s="2">
        <f>W32</f>
        <v>145.624</v>
      </c>
      <c r="AC32" s="3">
        <v>24</v>
      </c>
      <c r="AD32" s="2">
        <f t="shared" si="9"/>
        <v>2.0209873719612212</v>
      </c>
    </row>
    <row r="33" spans="1:30" s="2" customFormat="1" x14ac:dyDescent="0.2">
      <c r="A33" s="1" t="s">
        <v>22</v>
      </c>
      <c r="B33" s="3">
        <v>24</v>
      </c>
      <c r="C33" s="1">
        <v>8.1</v>
      </c>
      <c r="D33" s="3">
        <v>0.18</v>
      </c>
      <c r="E33" s="3">
        <v>357.88</v>
      </c>
      <c r="F33" s="3">
        <v>68.22</v>
      </c>
      <c r="G33" s="3">
        <v>260.03500000000003</v>
      </c>
      <c r="H33" s="3">
        <v>261.85700000000003</v>
      </c>
      <c r="I33" s="3">
        <v>106.36499999999999</v>
      </c>
      <c r="J33" s="3">
        <v>109.623</v>
      </c>
      <c r="K33" s="3">
        <v>135.46799999999999</v>
      </c>
      <c r="L33" s="3">
        <v>149.75399999999999</v>
      </c>
      <c r="N33" s="2">
        <f t="shared" si="0"/>
        <v>1023.1020000000001</v>
      </c>
      <c r="O33" s="2">
        <f t="shared" si="1"/>
        <v>261.85700000000003</v>
      </c>
      <c r="P33" s="2">
        <f t="shared" si="2"/>
        <v>109.623</v>
      </c>
      <c r="Q33" s="2">
        <f t="shared" si="3"/>
        <v>149.75399999999999</v>
      </c>
      <c r="R33" s="2">
        <f t="shared" si="4"/>
        <v>0.99304200384179153</v>
      </c>
      <c r="S33" s="2">
        <f t="shared" si="5"/>
        <v>0.97027995949755064</v>
      </c>
      <c r="T33" s="2">
        <f t="shared" si="6"/>
        <v>0.90460354982170754</v>
      </c>
      <c r="V33" s="3">
        <v>357.88</v>
      </c>
      <c r="W33" s="2">
        <f t="shared" si="7"/>
        <v>109.623</v>
      </c>
      <c r="AA33" s="2">
        <f t="shared" ref="AA33:AA37" si="12">W33</f>
        <v>109.623</v>
      </c>
      <c r="AC33" s="3">
        <v>24</v>
      </c>
      <c r="AD33" s="2">
        <f t="shared" si="9"/>
        <v>1.8711989141434977</v>
      </c>
    </row>
    <row r="34" spans="1:30" s="2" customFormat="1" x14ac:dyDescent="0.2">
      <c r="A34" s="1" t="s">
        <v>22</v>
      </c>
      <c r="B34" s="3">
        <v>24</v>
      </c>
      <c r="C34" s="1">
        <v>8.1</v>
      </c>
      <c r="D34" s="3">
        <v>0.18</v>
      </c>
      <c r="E34" s="3">
        <v>343.37</v>
      </c>
      <c r="F34" s="3">
        <v>64.592500000000001</v>
      </c>
      <c r="G34" s="3">
        <v>250.08099999999999</v>
      </c>
      <c r="H34" s="3">
        <v>254.291</v>
      </c>
      <c r="I34" s="3">
        <v>101.387</v>
      </c>
      <c r="J34" s="3">
        <v>105.71</v>
      </c>
      <c r="K34" s="3">
        <v>118.187</v>
      </c>
      <c r="L34" s="3">
        <v>99.528000000000006</v>
      </c>
      <c r="N34" s="2">
        <f t="shared" si="0"/>
        <v>929.18400000000008</v>
      </c>
      <c r="O34" s="2">
        <f t="shared" si="1"/>
        <v>254.291</v>
      </c>
      <c r="P34" s="2">
        <f t="shared" si="2"/>
        <v>105.71</v>
      </c>
      <c r="Q34" s="2">
        <f t="shared" si="3"/>
        <v>118.187</v>
      </c>
      <c r="R34" s="2">
        <f t="shared" si="4"/>
        <v>0.98344416436287552</v>
      </c>
      <c r="S34" s="2">
        <f t="shared" si="5"/>
        <v>0.95910509885535911</v>
      </c>
      <c r="T34" s="2">
        <f t="shared" si="6"/>
        <v>0.84212307614204618</v>
      </c>
      <c r="V34" s="3">
        <v>343.37</v>
      </c>
      <c r="W34" s="2">
        <f t="shared" si="7"/>
        <v>105.71</v>
      </c>
      <c r="AA34" s="2">
        <f t="shared" si="12"/>
        <v>105.71</v>
      </c>
      <c r="AC34" s="3">
        <v>24</v>
      </c>
      <c r="AD34" s="2">
        <f t="shared" si="9"/>
        <v>1.9192029835523696</v>
      </c>
    </row>
    <row r="35" spans="1:30" s="2" customFormat="1" x14ac:dyDescent="0.2">
      <c r="A35" s="1" t="s">
        <v>22</v>
      </c>
      <c r="B35" s="3">
        <v>24</v>
      </c>
      <c r="C35" s="1">
        <v>8.1</v>
      </c>
      <c r="D35" s="3">
        <v>0.18</v>
      </c>
      <c r="E35" s="3">
        <v>337.54</v>
      </c>
      <c r="F35" s="3">
        <v>63.135000000000005</v>
      </c>
      <c r="G35" s="3">
        <v>250.04499999999999</v>
      </c>
      <c r="H35" s="3">
        <v>251.80600000000001</v>
      </c>
      <c r="I35" s="3">
        <v>84.463999999999999</v>
      </c>
      <c r="J35" s="3">
        <v>113.151</v>
      </c>
      <c r="K35" s="3">
        <v>98.501000000000005</v>
      </c>
      <c r="L35" s="3">
        <v>97.83</v>
      </c>
      <c r="N35" s="2">
        <f t="shared" si="0"/>
        <v>895.79700000000003</v>
      </c>
      <c r="O35" s="2">
        <f t="shared" si="1"/>
        <v>251.80600000000001</v>
      </c>
      <c r="P35" s="2">
        <f t="shared" si="2"/>
        <v>113.151</v>
      </c>
      <c r="Q35" s="2">
        <f t="shared" si="3"/>
        <v>98.501000000000005</v>
      </c>
      <c r="R35" s="2">
        <f t="shared" si="4"/>
        <v>0.9930065208930684</v>
      </c>
      <c r="S35" s="2">
        <f t="shared" si="5"/>
        <v>0.74647152919549986</v>
      </c>
      <c r="T35" s="2">
        <f t="shared" si="6"/>
        <v>0.99318788641739675</v>
      </c>
      <c r="V35" s="3">
        <v>337.54</v>
      </c>
      <c r="W35" s="2">
        <f t="shared" si="7"/>
        <v>113.151</v>
      </c>
      <c r="AA35" s="2">
        <f t="shared" si="12"/>
        <v>113.151</v>
      </c>
      <c r="AC35" s="3">
        <v>24</v>
      </c>
      <c r="AD35" s="2">
        <f t="shared" si="9"/>
        <v>2.0124518220192038</v>
      </c>
    </row>
    <row r="36" spans="1:30" s="2" customFormat="1" x14ac:dyDescent="0.2">
      <c r="A36" s="1" t="s">
        <v>22</v>
      </c>
      <c r="B36" s="3">
        <v>24</v>
      </c>
      <c r="C36" s="1">
        <v>8.1</v>
      </c>
      <c r="D36" s="3">
        <v>0.18</v>
      </c>
      <c r="E36" s="3">
        <v>363.07</v>
      </c>
      <c r="F36" s="3">
        <v>69.517499999999998</v>
      </c>
      <c r="G36" s="3">
        <v>275.52300000000002</v>
      </c>
      <c r="H36" s="3">
        <v>279.75299999999999</v>
      </c>
      <c r="I36" s="3">
        <v>119.473</v>
      </c>
      <c r="J36" s="3">
        <v>111.76</v>
      </c>
      <c r="K36" s="3">
        <v>112.56699999999999</v>
      </c>
      <c r="L36" s="3">
        <v>117.621</v>
      </c>
      <c r="N36" s="2">
        <f t="shared" si="0"/>
        <v>1016.697</v>
      </c>
      <c r="O36" s="2">
        <f t="shared" si="1"/>
        <v>279.75299999999999</v>
      </c>
      <c r="P36" s="2">
        <f t="shared" si="2"/>
        <v>119.473</v>
      </c>
      <c r="Q36" s="2">
        <f t="shared" si="3"/>
        <v>117.621</v>
      </c>
      <c r="R36" s="2">
        <f t="shared" si="4"/>
        <v>0.98487951871829804</v>
      </c>
      <c r="S36" s="2">
        <f t="shared" si="5"/>
        <v>0.93544148050187081</v>
      </c>
      <c r="T36" s="2">
        <f t="shared" si="6"/>
        <v>0.95703148247336778</v>
      </c>
      <c r="V36" s="3">
        <v>363.07</v>
      </c>
      <c r="W36" s="2">
        <f t="shared" si="7"/>
        <v>119.473</v>
      </c>
      <c r="AA36" s="2">
        <f t="shared" si="12"/>
        <v>119.473</v>
      </c>
      <c r="AC36" s="3">
        <v>24</v>
      </c>
      <c r="AD36" s="2">
        <f t="shared" si="9"/>
        <v>1.9184139111278682</v>
      </c>
    </row>
    <row r="37" spans="1:30" s="2" customFormat="1" x14ac:dyDescent="0.2">
      <c r="A37" s="1" t="s">
        <v>22</v>
      </c>
      <c r="B37" s="3">
        <v>24</v>
      </c>
      <c r="C37" s="1">
        <v>8.1</v>
      </c>
      <c r="D37" s="3">
        <v>0.18</v>
      </c>
      <c r="E37" s="3">
        <v>385.96</v>
      </c>
      <c r="F37" s="3">
        <v>75.239999999999995</v>
      </c>
      <c r="G37" s="3">
        <v>298.83600000000001</v>
      </c>
      <c r="H37" s="3">
        <v>277.12099999999998</v>
      </c>
      <c r="I37" s="3">
        <v>93.528000000000006</v>
      </c>
      <c r="J37" s="3">
        <v>87.180999999999997</v>
      </c>
      <c r="K37" s="3">
        <v>139.16300000000001</v>
      </c>
      <c r="L37" s="3">
        <v>176.95599999999999</v>
      </c>
      <c r="N37" s="2">
        <f t="shared" si="0"/>
        <v>1072.7850000000001</v>
      </c>
      <c r="O37" s="2">
        <f t="shared" si="1"/>
        <v>298.83600000000001</v>
      </c>
      <c r="P37" s="2">
        <f t="shared" si="2"/>
        <v>93.528000000000006</v>
      </c>
      <c r="Q37" s="2">
        <f t="shared" si="3"/>
        <v>176.95599999999999</v>
      </c>
      <c r="R37" s="2">
        <f t="shared" si="4"/>
        <v>0.9273347254012233</v>
      </c>
      <c r="S37" s="2">
        <f t="shared" si="5"/>
        <v>0.93213796937815407</v>
      </c>
      <c r="T37" s="2">
        <f t="shared" si="6"/>
        <v>0.78642713442889767</v>
      </c>
      <c r="V37" s="3">
        <v>385.96</v>
      </c>
      <c r="W37" s="2">
        <f t="shared" si="7"/>
        <v>93.528000000000006</v>
      </c>
      <c r="AA37" s="2">
        <f t="shared" si="12"/>
        <v>93.528000000000006</v>
      </c>
      <c r="AC37" s="3">
        <v>24</v>
      </c>
      <c r="AD37" s="2">
        <f t="shared" si="9"/>
        <v>1.6213731190523468</v>
      </c>
    </row>
    <row r="38" spans="1:30" s="2" customFormat="1" x14ac:dyDescent="0.2">
      <c r="A38" s="1" t="s">
        <v>22</v>
      </c>
      <c r="B38" s="3">
        <v>30</v>
      </c>
      <c r="C38" s="1">
        <v>8.1</v>
      </c>
      <c r="D38" s="3">
        <v>0.18</v>
      </c>
      <c r="E38" s="3">
        <v>374.42</v>
      </c>
      <c r="F38" s="3">
        <v>72.355000000000004</v>
      </c>
      <c r="G38" s="3">
        <v>284.93299999999999</v>
      </c>
      <c r="H38" s="3">
        <v>287.416</v>
      </c>
      <c r="I38" s="3">
        <v>152.989</v>
      </c>
      <c r="J38" s="3">
        <v>173.495</v>
      </c>
      <c r="K38" s="3">
        <v>99.278000000000006</v>
      </c>
      <c r="L38" s="3">
        <v>107.989</v>
      </c>
      <c r="N38" s="2">
        <f t="shared" si="0"/>
        <v>1106.0999999999999</v>
      </c>
      <c r="O38" s="2">
        <f t="shared" si="1"/>
        <v>287.416</v>
      </c>
      <c r="P38" s="2">
        <f t="shared" si="2"/>
        <v>173.495</v>
      </c>
      <c r="Q38" s="2">
        <f t="shared" si="3"/>
        <v>107.989</v>
      </c>
      <c r="R38" s="2">
        <f t="shared" si="4"/>
        <v>0.99136095415704062</v>
      </c>
      <c r="S38" s="2">
        <f t="shared" si="5"/>
        <v>0.88180639211504652</v>
      </c>
      <c r="T38" s="2">
        <f t="shared" si="6"/>
        <v>0.91933437664947359</v>
      </c>
      <c r="V38" s="3">
        <v>374.42</v>
      </c>
      <c r="W38" s="2">
        <f t="shared" si="7"/>
        <v>173.495</v>
      </c>
      <c r="AC38" s="3">
        <v>30</v>
      </c>
      <c r="AD38" s="2">
        <f t="shared" si="9"/>
        <v>2.2536128142825276</v>
      </c>
    </row>
    <row r="39" spans="1:30" s="2" customFormat="1" ht="15.75" customHeight="1" x14ac:dyDescent="0.2">
      <c r="A39" s="1"/>
      <c r="B39" s="3"/>
      <c r="C39" s="1"/>
      <c r="D39" s="3"/>
      <c r="F39" s="3"/>
      <c r="AC39" s="3"/>
    </row>
    <row r="40" spans="1:30" s="2" customFormat="1" ht="15.75" customHeight="1" x14ac:dyDescent="0.2">
      <c r="A40" s="1"/>
      <c r="B40" s="3"/>
      <c r="C40" s="1"/>
      <c r="D40" s="3"/>
      <c r="F40" s="3"/>
      <c r="AC40" s="3"/>
    </row>
    <row r="41" spans="1:30" s="2" customFormat="1" ht="15.75" customHeight="1" x14ac:dyDescent="0.2">
      <c r="A41" s="1"/>
      <c r="B41" s="3"/>
      <c r="C41" s="1"/>
      <c r="D41" s="3"/>
      <c r="F41" s="3"/>
      <c r="AC41" s="3"/>
    </row>
    <row r="42" spans="1:30" s="2" customFormat="1" ht="15.75" customHeight="1" x14ac:dyDescent="0.2">
      <c r="A42" s="1"/>
      <c r="B42" s="3"/>
      <c r="C42" s="1"/>
      <c r="D42" s="3"/>
      <c r="F42" s="3"/>
      <c r="AC42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7AC3-40C6-8547-8457-A3BC1EC57DD4}">
  <dimension ref="A1:AD42"/>
  <sheetViews>
    <sheetView workbookViewId="0">
      <selection activeCell="AH56" sqref="AH56"/>
    </sheetView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1" t="s">
        <v>4</v>
      </c>
      <c r="W1" s="1" t="s">
        <v>13</v>
      </c>
      <c r="X1" t="s">
        <v>29</v>
      </c>
      <c r="Y1" t="s">
        <v>30</v>
      </c>
      <c r="Z1" t="s">
        <v>31</v>
      </c>
      <c r="AA1" t="s">
        <v>32</v>
      </c>
      <c r="AC1" s="1" t="s">
        <v>21</v>
      </c>
      <c r="AD1" t="s">
        <v>39</v>
      </c>
    </row>
    <row r="2" spans="1:30" s="2" customFormat="1" x14ac:dyDescent="0.2">
      <c r="A2" s="1" t="s">
        <v>22</v>
      </c>
      <c r="B2" s="3">
        <v>12</v>
      </c>
      <c r="C2" s="1">
        <v>8.1</v>
      </c>
      <c r="D2" s="3">
        <v>0.18</v>
      </c>
      <c r="E2" s="3">
        <v>262.94</v>
      </c>
      <c r="F2" s="3">
        <v>44.484999999999999</v>
      </c>
      <c r="G2" s="3">
        <v>174.297</v>
      </c>
      <c r="H2" s="3">
        <v>176.25200000000001</v>
      </c>
      <c r="I2" s="3">
        <v>110.327</v>
      </c>
      <c r="J2" s="3">
        <v>98.662000000000006</v>
      </c>
      <c r="K2" s="3">
        <v>125.604</v>
      </c>
      <c r="L2" s="3">
        <v>125.965</v>
      </c>
      <c r="N2" s="2">
        <f t="shared" ref="N2:N38" si="0">SUM(G2:L2)</f>
        <v>811.10700000000008</v>
      </c>
      <c r="O2" s="2">
        <f t="shared" ref="O2:O38" si="1">MAX(G2:H2)</f>
        <v>176.25200000000001</v>
      </c>
      <c r="P2" s="2">
        <f t="shared" ref="P2:P38" si="2">MAX(I2:J2)</f>
        <v>110.327</v>
      </c>
      <c r="Q2" s="2">
        <f t="shared" ref="Q2:Q38" si="3">MAX(K2:L2)</f>
        <v>125.965</v>
      </c>
      <c r="R2" s="2">
        <f t="shared" ref="R2:R38" si="4">MIN(G2:H2)/MAX(G2:H2)</f>
        <v>0.98890792728593147</v>
      </c>
      <c r="S2" s="2">
        <f t="shared" ref="S2:S38" si="5">MIN(I2:J2)/MAX(I2:J2)</f>
        <v>0.89426885531193645</v>
      </c>
      <c r="T2" s="2">
        <f t="shared" ref="T2:T38" si="6">MIN(K2:L2)/MAX(K2:L2)</f>
        <v>0.997134124558409</v>
      </c>
      <c r="V2" s="3">
        <v>262.94</v>
      </c>
      <c r="W2" s="2">
        <f>O2</f>
        <v>176.25200000000001</v>
      </c>
      <c r="X2" s="2">
        <f>W2</f>
        <v>176.25200000000001</v>
      </c>
      <c r="AC2" s="3">
        <v>12</v>
      </c>
      <c r="AD2" s="2">
        <f>(W2+100.5)/(V2*0.6823)</f>
        <v>1.542619220416102</v>
      </c>
    </row>
    <row r="3" spans="1:30" s="2" customFormat="1" x14ac:dyDescent="0.2">
      <c r="A3" s="1" t="s">
        <v>22</v>
      </c>
      <c r="B3" s="3">
        <v>12</v>
      </c>
      <c r="C3" s="1">
        <v>8.1</v>
      </c>
      <c r="D3" s="3">
        <v>0.18</v>
      </c>
      <c r="E3" s="3">
        <v>254.65</v>
      </c>
      <c r="F3" s="3">
        <v>42.412500000000001</v>
      </c>
      <c r="G3" s="3">
        <v>190.71899999999999</v>
      </c>
      <c r="H3" s="3">
        <v>195.96600000000001</v>
      </c>
      <c r="I3" s="3">
        <v>95.438999999999993</v>
      </c>
      <c r="J3" s="3">
        <v>110.425</v>
      </c>
      <c r="K3" s="3">
        <v>87.802999999999997</v>
      </c>
      <c r="L3" s="3">
        <v>88.430999999999997</v>
      </c>
      <c r="N3" s="2">
        <f t="shared" si="0"/>
        <v>768.78300000000002</v>
      </c>
      <c r="O3" s="2">
        <f t="shared" si="1"/>
        <v>195.96600000000001</v>
      </c>
      <c r="P3" s="2">
        <f t="shared" si="2"/>
        <v>110.425</v>
      </c>
      <c r="Q3" s="2">
        <f t="shared" si="3"/>
        <v>88.430999999999997</v>
      </c>
      <c r="R3" s="2">
        <f t="shared" si="4"/>
        <v>0.97322494718471564</v>
      </c>
      <c r="S3" s="2">
        <f t="shared" si="5"/>
        <v>0.86428797826579118</v>
      </c>
      <c r="T3" s="2">
        <f t="shared" si="6"/>
        <v>0.99289841797559675</v>
      </c>
      <c r="V3" s="3">
        <v>254.65</v>
      </c>
      <c r="W3" s="2">
        <f t="shared" ref="W3:W38" si="7">O3</f>
        <v>195.96600000000001</v>
      </c>
      <c r="X3" s="2">
        <f t="shared" ref="X3:X11" si="8">W3</f>
        <v>195.96600000000001</v>
      </c>
      <c r="AC3" s="3">
        <v>12</v>
      </c>
      <c r="AD3" s="2">
        <f t="shared" ref="AD3:AD38" si="9">(W3+100.5)/(V3*0.6823)</f>
        <v>1.7063017728091299</v>
      </c>
    </row>
    <row r="4" spans="1:30" s="2" customFormat="1" x14ac:dyDescent="0.2">
      <c r="A4" s="1" t="s">
        <v>22</v>
      </c>
      <c r="B4" s="3">
        <v>12</v>
      </c>
      <c r="C4" s="1">
        <v>8.1</v>
      </c>
      <c r="D4" s="3">
        <v>0.18</v>
      </c>
      <c r="E4" s="3">
        <v>274.92</v>
      </c>
      <c r="F4" s="3">
        <v>47.480000000000004</v>
      </c>
      <c r="G4" s="3">
        <v>219.471</v>
      </c>
      <c r="H4" s="3">
        <v>215.5</v>
      </c>
      <c r="I4" s="3">
        <v>128.37</v>
      </c>
      <c r="J4" s="3">
        <v>100.559</v>
      </c>
      <c r="K4" s="3">
        <v>77.084000000000003</v>
      </c>
      <c r="L4" s="3">
        <v>85.688999999999993</v>
      </c>
      <c r="N4" s="2">
        <f t="shared" si="0"/>
        <v>826.67299999999989</v>
      </c>
      <c r="O4" s="2">
        <f t="shared" si="1"/>
        <v>219.471</v>
      </c>
      <c r="P4" s="2">
        <f t="shared" si="2"/>
        <v>128.37</v>
      </c>
      <c r="Q4" s="2">
        <f t="shared" si="3"/>
        <v>85.688999999999993</v>
      </c>
      <c r="R4" s="2">
        <f t="shared" si="4"/>
        <v>0.98190649334080582</v>
      </c>
      <c r="S4" s="2">
        <f t="shared" si="5"/>
        <v>0.78335280828854092</v>
      </c>
      <c r="T4" s="2">
        <f t="shared" si="6"/>
        <v>0.89957870905250392</v>
      </c>
      <c r="V4" s="3">
        <v>274.92</v>
      </c>
      <c r="W4" s="2">
        <f t="shared" si="7"/>
        <v>219.471</v>
      </c>
      <c r="X4" s="2">
        <f t="shared" si="8"/>
        <v>219.471</v>
      </c>
      <c r="AC4" s="3">
        <v>12</v>
      </c>
      <c r="AD4" s="2">
        <f t="shared" si="9"/>
        <v>1.705803150089374</v>
      </c>
    </row>
    <row r="5" spans="1:30" s="2" customFormat="1" x14ac:dyDescent="0.2">
      <c r="A5" s="1" t="s">
        <v>22</v>
      </c>
      <c r="B5" s="3">
        <v>12</v>
      </c>
      <c r="C5" s="1">
        <v>8.1</v>
      </c>
      <c r="D5" s="3">
        <v>0.18</v>
      </c>
      <c r="E5" s="3">
        <v>279.45999999999998</v>
      </c>
      <c r="F5" s="3">
        <v>48.614999999999995</v>
      </c>
      <c r="G5" s="3">
        <v>217.37</v>
      </c>
      <c r="H5" s="3">
        <v>214.63399999999999</v>
      </c>
      <c r="I5" s="3">
        <v>117.441</v>
      </c>
      <c r="J5" s="3">
        <v>130.673</v>
      </c>
      <c r="K5" s="3">
        <v>82.605000000000004</v>
      </c>
      <c r="L5" s="3">
        <v>82.462000000000003</v>
      </c>
      <c r="N5" s="2">
        <f t="shared" si="0"/>
        <v>845.18500000000006</v>
      </c>
      <c r="O5" s="2">
        <f t="shared" si="1"/>
        <v>217.37</v>
      </c>
      <c r="P5" s="2">
        <f t="shared" si="2"/>
        <v>130.673</v>
      </c>
      <c r="Q5" s="2">
        <f t="shared" si="3"/>
        <v>82.605000000000004</v>
      </c>
      <c r="R5" s="2">
        <f t="shared" si="4"/>
        <v>0.98741316649031596</v>
      </c>
      <c r="S5" s="2">
        <f t="shared" si="5"/>
        <v>0.89873960190705038</v>
      </c>
      <c r="T5" s="2">
        <f t="shared" si="6"/>
        <v>0.99826886992312813</v>
      </c>
      <c r="V5" s="3">
        <v>279.45999999999998</v>
      </c>
      <c r="W5" s="2">
        <f t="shared" si="7"/>
        <v>217.37</v>
      </c>
      <c r="X5" s="2">
        <f t="shared" si="8"/>
        <v>217.37</v>
      </c>
      <c r="AC5" s="3">
        <v>12</v>
      </c>
      <c r="AD5" s="2">
        <f t="shared" si="9"/>
        <v>1.6670726092748605</v>
      </c>
    </row>
    <row r="6" spans="1:30" s="2" customFormat="1" x14ac:dyDescent="0.2">
      <c r="A6" s="1" t="s">
        <v>22</v>
      </c>
      <c r="B6" s="3">
        <v>12</v>
      </c>
      <c r="C6" s="1">
        <v>8.1</v>
      </c>
      <c r="D6" s="3">
        <v>0.18</v>
      </c>
      <c r="E6" s="3">
        <v>275.61</v>
      </c>
      <c r="F6" s="3">
        <v>47.652500000000003</v>
      </c>
      <c r="G6" s="3">
        <v>198.43299999999999</v>
      </c>
      <c r="H6" s="3">
        <v>211.94800000000001</v>
      </c>
      <c r="I6" s="3">
        <v>88.486000000000004</v>
      </c>
      <c r="J6" s="3">
        <v>92.605000000000004</v>
      </c>
      <c r="K6" s="3">
        <v>96.277000000000001</v>
      </c>
      <c r="L6" s="3">
        <v>86.915999999999997</v>
      </c>
      <c r="N6" s="2">
        <f t="shared" si="0"/>
        <v>774.66499999999996</v>
      </c>
      <c r="O6" s="2">
        <f t="shared" si="1"/>
        <v>211.94800000000001</v>
      </c>
      <c r="P6" s="2">
        <f t="shared" si="2"/>
        <v>92.605000000000004</v>
      </c>
      <c r="Q6" s="2">
        <f t="shared" si="3"/>
        <v>96.277000000000001</v>
      </c>
      <c r="R6" s="2">
        <f t="shared" si="4"/>
        <v>0.93623435937116639</v>
      </c>
      <c r="S6" s="2">
        <f t="shared" si="5"/>
        <v>0.95552076021813082</v>
      </c>
      <c r="T6" s="2">
        <f t="shared" si="6"/>
        <v>0.90277013201491529</v>
      </c>
      <c r="V6" s="3">
        <v>275.61</v>
      </c>
      <c r="W6" s="2">
        <f t="shared" si="7"/>
        <v>211.94800000000001</v>
      </c>
      <c r="X6" s="2">
        <f t="shared" si="8"/>
        <v>211.94800000000001</v>
      </c>
      <c r="AC6" s="3">
        <v>12</v>
      </c>
      <c r="AD6" s="2">
        <f t="shared" si="9"/>
        <v>1.6615270140948537</v>
      </c>
    </row>
    <row r="7" spans="1:30" s="2" customFormat="1" x14ac:dyDescent="0.2">
      <c r="A7" s="1" t="s">
        <v>22</v>
      </c>
      <c r="B7" s="3">
        <v>12</v>
      </c>
      <c r="C7" s="1">
        <v>8.1</v>
      </c>
      <c r="D7" s="3">
        <v>0.18</v>
      </c>
      <c r="E7" s="3">
        <v>283.70999999999998</v>
      </c>
      <c r="F7" s="3">
        <v>49.677499999999995</v>
      </c>
      <c r="G7" s="3">
        <v>211.149</v>
      </c>
      <c r="H7" s="3">
        <v>213.126</v>
      </c>
      <c r="I7" s="3">
        <v>97.498000000000005</v>
      </c>
      <c r="J7" s="3">
        <v>109.992</v>
      </c>
      <c r="K7" s="3">
        <v>101.429</v>
      </c>
      <c r="L7" s="3">
        <v>110.645</v>
      </c>
      <c r="N7" s="2">
        <f t="shared" si="0"/>
        <v>843.83899999999994</v>
      </c>
      <c r="O7" s="2">
        <f t="shared" si="1"/>
        <v>213.126</v>
      </c>
      <c r="P7" s="2">
        <f t="shared" si="2"/>
        <v>109.992</v>
      </c>
      <c r="Q7" s="2">
        <f t="shared" si="3"/>
        <v>110.645</v>
      </c>
      <c r="R7" s="2">
        <f t="shared" si="4"/>
        <v>0.99072379719039438</v>
      </c>
      <c r="S7" s="2">
        <f t="shared" si="5"/>
        <v>0.88640992072150704</v>
      </c>
      <c r="T7" s="2">
        <f t="shared" si="6"/>
        <v>0.91670658412038508</v>
      </c>
      <c r="V7" s="3">
        <v>283.70999999999998</v>
      </c>
      <c r="W7" s="2">
        <f t="shared" si="7"/>
        <v>213.126</v>
      </c>
      <c r="X7" s="2">
        <f t="shared" si="8"/>
        <v>213.126</v>
      </c>
      <c r="AC7" s="3">
        <v>12</v>
      </c>
      <c r="AD7" s="2">
        <f t="shared" si="9"/>
        <v>1.620175438365383</v>
      </c>
    </row>
    <row r="8" spans="1:30" s="2" customFormat="1" x14ac:dyDescent="0.2">
      <c r="A8" s="1" t="s">
        <v>22</v>
      </c>
      <c r="B8" s="3">
        <v>12</v>
      </c>
      <c r="C8" s="1">
        <v>8.1</v>
      </c>
      <c r="D8" s="3">
        <v>0.18</v>
      </c>
      <c r="E8" s="3">
        <v>277.16000000000003</v>
      </c>
      <c r="F8" s="3">
        <v>48.040000000000006</v>
      </c>
      <c r="G8" s="3">
        <v>184.072</v>
      </c>
      <c r="H8" s="3">
        <v>188.88900000000001</v>
      </c>
      <c r="I8" s="3">
        <v>79.06</v>
      </c>
      <c r="J8" s="3">
        <v>87.034999999999997</v>
      </c>
      <c r="K8" s="3">
        <v>126.71</v>
      </c>
      <c r="L8" s="3">
        <v>123.01300000000001</v>
      </c>
      <c r="N8" s="2">
        <f t="shared" si="0"/>
        <v>788.77900000000011</v>
      </c>
      <c r="O8" s="2">
        <f t="shared" si="1"/>
        <v>188.88900000000001</v>
      </c>
      <c r="P8" s="2">
        <f t="shared" si="2"/>
        <v>87.034999999999997</v>
      </c>
      <c r="Q8" s="2">
        <f t="shared" si="3"/>
        <v>126.71</v>
      </c>
      <c r="R8" s="2">
        <f t="shared" si="4"/>
        <v>0.97449825029514681</v>
      </c>
      <c r="S8" s="2">
        <f t="shared" si="5"/>
        <v>0.90837019589820189</v>
      </c>
      <c r="T8" s="2">
        <f t="shared" si="6"/>
        <v>0.9708231394522927</v>
      </c>
      <c r="V8" s="3">
        <v>277.16000000000003</v>
      </c>
      <c r="W8" s="2">
        <f t="shared" si="7"/>
        <v>188.88900000000001</v>
      </c>
      <c r="X8" s="2">
        <f t="shared" si="8"/>
        <v>188.88900000000001</v>
      </c>
      <c r="AC8" s="3">
        <v>12</v>
      </c>
      <c r="AD8" s="2">
        <f t="shared" si="9"/>
        <v>1.5302982976746173</v>
      </c>
    </row>
    <row r="9" spans="1:30" s="2" customFormat="1" x14ac:dyDescent="0.2">
      <c r="A9" s="1" t="s">
        <v>22</v>
      </c>
      <c r="B9" s="3">
        <v>12</v>
      </c>
      <c r="C9" s="1">
        <v>8.1</v>
      </c>
      <c r="D9" s="3">
        <v>0.18</v>
      </c>
      <c r="E9" s="3">
        <v>260.06</v>
      </c>
      <c r="F9" s="3">
        <v>43.765000000000001</v>
      </c>
      <c r="G9" s="3">
        <v>159.62299999999999</v>
      </c>
      <c r="H9" s="3">
        <v>163.54599999999999</v>
      </c>
      <c r="I9" s="3">
        <v>112.38200000000001</v>
      </c>
      <c r="J9" s="3">
        <v>118.70099999999999</v>
      </c>
      <c r="K9" s="3">
        <v>124.595</v>
      </c>
      <c r="L9" s="3">
        <v>111.28700000000001</v>
      </c>
      <c r="N9" s="2">
        <f t="shared" si="0"/>
        <v>790.13400000000001</v>
      </c>
      <c r="O9" s="2">
        <f t="shared" si="1"/>
        <v>163.54599999999999</v>
      </c>
      <c r="P9" s="2">
        <f t="shared" si="2"/>
        <v>118.70099999999999</v>
      </c>
      <c r="Q9" s="2">
        <f t="shared" si="3"/>
        <v>124.595</v>
      </c>
      <c r="R9" s="2">
        <f t="shared" si="4"/>
        <v>0.97601286488205152</v>
      </c>
      <c r="S9" s="2">
        <f t="shared" si="5"/>
        <v>0.94676540214488514</v>
      </c>
      <c r="T9" s="2">
        <f t="shared" si="6"/>
        <v>0.89318993539066582</v>
      </c>
      <c r="V9" s="3">
        <v>260.06</v>
      </c>
      <c r="W9" s="2">
        <f t="shared" si="7"/>
        <v>163.54599999999999</v>
      </c>
      <c r="X9" s="2">
        <f t="shared" si="8"/>
        <v>163.54599999999999</v>
      </c>
      <c r="AC9" s="3">
        <v>12</v>
      </c>
      <c r="AD9" s="2">
        <f t="shared" si="9"/>
        <v>1.4880950200457128</v>
      </c>
    </row>
    <row r="10" spans="1:30" s="2" customFormat="1" x14ac:dyDescent="0.2">
      <c r="A10" s="1" t="s">
        <v>22</v>
      </c>
      <c r="B10" s="3">
        <v>12</v>
      </c>
      <c r="C10" s="1">
        <v>8.1</v>
      </c>
      <c r="D10" s="3">
        <v>0.18</v>
      </c>
      <c r="E10" s="3">
        <v>265.97000000000003</v>
      </c>
      <c r="F10" s="3">
        <v>45.242500000000007</v>
      </c>
      <c r="G10" s="3">
        <v>189.31</v>
      </c>
      <c r="H10" s="3">
        <v>202.464</v>
      </c>
      <c r="I10" s="3">
        <v>113.773</v>
      </c>
      <c r="J10" s="3">
        <v>109.01600000000001</v>
      </c>
      <c r="K10" s="3">
        <v>93.076999999999998</v>
      </c>
      <c r="L10" s="3">
        <v>90.129000000000005</v>
      </c>
      <c r="N10" s="2">
        <f t="shared" si="0"/>
        <v>797.76900000000001</v>
      </c>
      <c r="O10" s="2">
        <f t="shared" si="1"/>
        <v>202.464</v>
      </c>
      <c r="P10" s="2">
        <f t="shared" si="2"/>
        <v>113.773</v>
      </c>
      <c r="Q10" s="2">
        <f t="shared" si="3"/>
        <v>93.076999999999998</v>
      </c>
      <c r="R10" s="2">
        <f t="shared" si="4"/>
        <v>0.93503042516200408</v>
      </c>
      <c r="S10" s="2">
        <f t="shared" si="5"/>
        <v>0.95818867393845653</v>
      </c>
      <c r="T10" s="2">
        <f t="shared" si="6"/>
        <v>0.9683272989030588</v>
      </c>
      <c r="V10" s="3">
        <v>265.97000000000003</v>
      </c>
      <c r="W10" s="2">
        <f t="shared" si="7"/>
        <v>202.464</v>
      </c>
      <c r="X10" s="2">
        <f t="shared" si="8"/>
        <v>202.464</v>
      </c>
      <c r="AC10" s="3">
        <v>12</v>
      </c>
      <c r="AD10" s="2">
        <f t="shared" si="9"/>
        <v>1.6694868458313119</v>
      </c>
    </row>
    <row r="11" spans="1:30" s="2" customFormat="1" x14ac:dyDescent="0.2">
      <c r="A11" s="1" t="s">
        <v>22</v>
      </c>
      <c r="B11" s="3">
        <v>12</v>
      </c>
      <c r="C11" s="1">
        <v>8.1</v>
      </c>
      <c r="D11" s="3">
        <v>0.18</v>
      </c>
      <c r="E11" s="3">
        <v>264.98</v>
      </c>
      <c r="F11" s="3">
        <v>44.995000000000005</v>
      </c>
      <c r="G11" s="3">
        <v>179.566</v>
      </c>
      <c r="H11" s="3">
        <v>185.107</v>
      </c>
      <c r="I11" s="3">
        <v>81.290999999999997</v>
      </c>
      <c r="J11" s="3">
        <v>103.771</v>
      </c>
      <c r="K11" s="3">
        <v>105.871</v>
      </c>
      <c r="L11" s="3">
        <v>110.51600000000001</v>
      </c>
      <c r="N11" s="2">
        <f t="shared" si="0"/>
        <v>766.12199999999996</v>
      </c>
      <c r="O11" s="2">
        <f t="shared" si="1"/>
        <v>185.107</v>
      </c>
      <c r="P11" s="2">
        <f t="shared" si="2"/>
        <v>103.771</v>
      </c>
      <c r="Q11" s="2">
        <f t="shared" si="3"/>
        <v>110.51600000000001</v>
      </c>
      <c r="R11" s="2">
        <f t="shared" si="4"/>
        <v>0.97006596184909266</v>
      </c>
      <c r="S11" s="2">
        <f t="shared" si="5"/>
        <v>0.78336914937699353</v>
      </c>
      <c r="T11" s="2">
        <f t="shared" si="6"/>
        <v>0.95796988671323602</v>
      </c>
      <c r="V11" s="3">
        <v>264.98</v>
      </c>
      <c r="W11" s="2">
        <f t="shared" si="7"/>
        <v>185.107</v>
      </c>
      <c r="X11" s="2">
        <f t="shared" si="8"/>
        <v>185.107</v>
      </c>
      <c r="AC11" s="3">
        <v>12</v>
      </c>
      <c r="AD11" s="2">
        <f t="shared" si="9"/>
        <v>1.5797209597516542</v>
      </c>
    </row>
    <row r="12" spans="1:30" s="2" customFormat="1" x14ac:dyDescent="0.2">
      <c r="A12" s="1" t="s">
        <v>22</v>
      </c>
      <c r="B12" s="3">
        <v>16</v>
      </c>
      <c r="C12" s="1">
        <v>8.1</v>
      </c>
      <c r="D12" s="3">
        <v>0.18</v>
      </c>
      <c r="E12" s="3">
        <v>377.65</v>
      </c>
      <c r="F12" s="3">
        <v>73.162499999999994</v>
      </c>
      <c r="G12" s="3">
        <v>264.96699999999998</v>
      </c>
      <c r="H12" s="3">
        <v>261.846</v>
      </c>
      <c r="I12" s="3">
        <v>167.41499999999999</v>
      </c>
      <c r="J12" s="3">
        <v>175.614</v>
      </c>
      <c r="K12" s="3">
        <v>133.48699999999999</v>
      </c>
      <c r="L12" s="3">
        <v>120.65</v>
      </c>
      <c r="N12" s="2">
        <f t="shared" si="0"/>
        <v>1123.979</v>
      </c>
      <c r="O12" s="2">
        <f t="shared" si="1"/>
        <v>264.96699999999998</v>
      </c>
      <c r="P12" s="2">
        <f t="shared" si="2"/>
        <v>175.614</v>
      </c>
      <c r="Q12" s="2">
        <f t="shared" si="3"/>
        <v>133.48699999999999</v>
      </c>
      <c r="R12" s="2">
        <f t="shared" si="4"/>
        <v>0.98822117471232274</v>
      </c>
      <c r="S12" s="2">
        <f t="shared" si="5"/>
        <v>0.95331237828419135</v>
      </c>
      <c r="T12" s="2">
        <f t="shared" si="6"/>
        <v>0.90383333208477235</v>
      </c>
      <c r="V12" s="3">
        <v>377.65</v>
      </c>
      <c r="W12" s="2">
        <f t="shared" si="7"/>
        <v>264.96699999999998</v>
      </c>
      <c r="Y12" s="2">
        <f>W12</f>
        <v>264.96699999999998</v>
      </c>
      <c r="AC12" s="3">
        <v>16</v>
      </c>
      <c r="AD12" s="2">
        <f t="shared" si="9"/>
        <v>1.4183496568554903</v>
      </c>
    </row>
    <row r="13" spans="1:30" s="2" customFormat="1" x14ac:dyDescent="0.2">
      <c r="A13" s="1" t="s">
        <v>22</v>
      </c>
      <c r="B13" s="3">
        <v>16</v>
      </c>
      <c r="C13" s="1">
        <v>8.1</v>
      </c>
      <c r="D13" s="3">
        <v>0.18</v>
      </c>
      <c r="E13" s="3">
        <v>389.99</v>
      </c>
      <c r="F13" s="3">
        <v>76.247500000000002</v>
      </c>
      <c r="G13" s="3">
        <v>286.17500000000001</v>
      </c>
      <c r="H13" s="3">
        <v>297.37700000000001</v>
      </c>
      <c r="I13" s="3">
        <v>176.01900000000001</v>
      </c>
      <c r="J13" s="3">
        <v>255.84700000000001</v>
      </c>
      <c r="K13" s="3">
        <v>103.596</v>
      </c>
      <c r="L13" s="3">
        <v>115.869</v>
      </c>
      <c r="N13" s="2">
        <f t="shared" si="0"/>
        <v>1234.883</v>
      </c>
      <c r="O13" s="2">
        <f t="shared" si="1"/>
        <v>297.37700000000001</v>
      </c>
      <c r="P13" s="2">
        <f t="shared" si="2"/>
        <v>255.84700000000001</v>
      </c>
      <c r="Q13" s="2">
        <f t="shared" si="3"/>
        <v>115.869</v>
      </c>
      <c r="R13" s="2">
        <f t="shared" si="4"/>
        <v>0.96233064426636894</v>
      </c>
      <c r="S13" s="2">
        <f t="shared" si="5"/>
        <v>0.68798539752273824</v>
      </c>
      <c r="T13" s="2">
        <f t="shared" si="6"/>
        <v>0.8940786577945784</v>
      </c>
      <c r="V13" s="3">
        <v>389.99</v>
      </c>
      <c r="W13" s="2">
        <f t="shared" si="7"/>
        <v>297.37700000000001</v>
      </c>
      <c r="Y13" s="2">
        <f t="shared" ref="Y13:Y21" si="10">W13</f>
        <v>297.37700000000001</v>
      </c>
      <c r="AC13" s="3">
        <v>16</v>
      </c>
      <c r="AD13" s="2">
        <f t="shared" si="9"/>
        <v>1.4952712816602769</v>
      </c>
    </row>
    <row r="14" spans="1:30" s="2" customFormat="1" x14ac:dyDescent="0.2">
      <c r="A14" s="1" t="s">
        <v>22</v>
      </c>
      <c r="B14" s="3">
        <v>16</v>
      </c>
      <c r="C14" s="1">
        <v>8.1</v>
      </c>
      <c r="D14" s="3">
        <v>0.18</v>
      </c>
      <c r="E14" s="3">
        <v>357</v>
      </c>
      <c r="F14" s="3">
        <v>68</v>
      </c>
      <c r="G14" s="3">
        <v>295.09699999999998</v>
      </c>
      <c r="H14" s="3">
        <v>300.08100000000002</v>
      </c>
      <c r="I14" s="3">
        <v>153.90199999999999</v>
      </c>
      <c r="J14" s="3">
        <v>299.37900000000002</v>
      </c>
      <c r="K14" s="3">
        <v>121.268</v>
      </c>
      <c r="L14" s="3">
        <v>100.58</v>
      </c>
      <c r="N14" s="2">
        <f t="shared" si="0"/>
        <v>1270.3069999999998</v>
      </c>
      <c r="O14" s="2">
        <f t="shared" si="1"/>
        <v>300.08100000000002</v>
      </c>
      <c r="P14" s="2">
        <f t="shared" si="2"/>
        <v>299.37900000000002</v>
      </c>
      <c r="Q14" s="2">
        <f t="shared" si="3"/>
        <v>121.268</v>
      </c>
      <c r="R14" s="2">
        <f t="shared" si="4"/>
        <v>0.98339115105588149</v>
      </c>
      <c r="S14" s="2">
        <f t="shared" si="5"/>
        <v>0.51407079320860838</v>
      </c>
      <c r="T14" s="2">
        <f t="shared" si="6"/>
        <v>0.82940264538047959</v>
      </c>
      <c r="V14" s="3">
        <v>357</v>
      </c>
      <c r="W14" s="2">
        <f t="shared" si="7"/>
        <v>300.08100000000002</v>
      </c>
      <c r="Y14" s="2">
        <f t="shared" si="10"/>
        <v>300.08100000000002</v>
      </c>
      <c r="AC14" s="3">
        <v>16</v>
      </c>
      <c r="AD14" s="2">
        <f t="shared" si="9"/>
        <v>1.6445487765676403</v>
      </c>
    </row>
    <row r="15" spans="1:30" s="2" customFormat="1" x14ac:dyDescent="0.2">
      <c r="A15" s="1" t="s">
        <v>22</v>
      </c>
      <c r="B15" s="3">
        <v>16</v>
      </c>
      <c r="C15" s="1">
        <v>8.1</v>
      </c>
      <c r="D15" s="3">
        <v>0.18</v>
      </c>
      <c r="E15" s="3">
        <v>397.92</v>
      </c>
      <c r="F15" s="3">
        <v>78.23</v>
      </c>
      <c r="G15" s="3">
        <v>287.88</v>
      </c>
      <c r="H15" s="3">
        <v>285.96899999999999</v>
      </c>
      <c r="I15" s="3">
        <v>299.03300000000002</v>
      </c>
      <c r="J15" s="3">
        <v>284.90600000000001</v>
      </c>
      <c r="K15" s="3">
        <v>140.91200000000001</v>
      </c>
      <c r="L15" s="3">
        <v>143.64699999999999</v>
      </c>
      <c r="N15" s="2">
        <f t="shared" si="0"/>
        <v>1442.347</v>
      </c>
      <c r="O15" s="2">
        <f t="shared" si="1"/>
        <v>287.88</v>
      </c>
      <c r="P15" s="2">
        <f t="shared" si="2"/>
        <v>299.03300000000002</v>
      </c>
      <c r="Q15" s="2">
        <f t="shared" si="3"/>
        <v>143.64699999999999</v>
      </c>
      <c r="R15" s="2">
        <f t="shared" si="4"/>
        <v>0.9933618174239266</v>
      </c>
      <c r="S15" s="2">
        <f t="shared" si="5"/>
        <v>0.95275772239184298</v>
      </c>
      <c r="T15" s="2">
        <f t="shared" si="6"/>
        <v>0.98096027066350155</v>
      </c>
      <c r="V15" s="3">
        <v>397.92</v>
      </c>
      <c r="W15" s="2">
        <f t="shared" si="7"/>
        <v>287.88</v>
      </c>
      <c r="Y15" s="2">
        <f t="shared" si="10"/>
        <v>287.88</v>
      </c>
      <c r="AC15" s="3">
        <v>16</v>
      </c>
      <c r="AD15" s="2">
        <f t="shared" si="9"/>
        <v>1.43049293818697</v>
      </c>
    </row>
    <row r="16" spans="1:30" s="2" customFormat="1" x14ac:dyDescent="0.2">
      <c r="A16" s="1" t="s">
        <v>22</v>
      </c>
      <c r="B16" s="3">
        <v>16</v>
      </c>
      <c r="C16" s="1">
        <v>8.1</v>
      </c>
      <c r="D16" s="3">
        <v>0.18</v>
      </c>
      <c r="E16" s="3">
        <v>394.43</v>
      </c>
      <c r="F16" s="3">
        <v>77.357500000000002</v>
      </c>
      <c r="G16" s="3">
        <v>554.56100000000004</v>
      </c>
      <c r="H16" s="3">
        <v>498.44900000000001</v>
      </c>
      <c r="I16" s="3">
        <v>254.18600000000001</v>
      </c>
      <c r="J16" s="3">
        <v>206.64699999999999</v>
      </c>
      <c r="K16" s="3">
        <v>168.876</v>
      </c>
      <c r="L16" s="3">
        <v>142.93</v>
      </c>
      <c r="N16" s="2">
        <f t="shared" si="0"/>
        <v>1825.6489999999999</v>
      </c>
      <c r="P16" s="2">
        <f t="shared" si="2"/>
        <v>254.18600000000001</v>
      </c>
      <c r="Q16" s="2">
        <f t="shared" si="3"/>
        <v>168.876</v>
      </c>
      <c r="R16" s="2">
        <f t="shared" si="4"/>
        <v>0.89881726266362039</v>
      </c>
      <c r="S16" s="2">
        <f t="shared" si="5"/>
        <v>0.81297553759845143</v>
      </c>
      <c r="T16" s="2">
        <f t="shared" si="6"/>
        <v>0.8463606433122528</v>
      </c>
      <c r="V16" s="3">
        <v>394.43</v>
      </c>
      <c r="AC16" s="3">
        <v>16</v>
      </c>
    </row>
    <row r="17" spans="1:30" s="2" customFormat="1" x14ac:dyDescent="0.2">
      <c r="A17" s="1" t="s">
        <v>22</v>
      </c>
      <c r="B17" s="3">
        <v>16</v>
      </c>
      <c r="C17" s="1">
        <v>8.1</v>
      </c>
      <c r="D17" s="3">
        <v>0.18</v>
      </c>
      <c r="E17" s="3">
        <v>376.38</v>
      </c>
      <c r="F17" s="3">
        <v>72.844999999999999</v>
      </c>
      <c r="G17" s="3">
        <v>281.73700000000002</v>
      </c>
      <c r="H17" s="3">
        <v>283.23599999999999</v>
      </c>
      <c r="I17" s="3">
        <v>184.166</v>
      </c>
      <c r="J17" s="3">
        <v>184.71</v>
      </c>
      <c r="K17" s="3">
        <v>133.46100000000001</v>
      </c>
      <c r="L17" s="3">
        <v>103.00700000000001</v>
      </c>
      <c r="N17" s="2">
        <f t="shared" si="0"/>
        <v>1170.317</v>
      </c>
      <c r="O17" s="2">
        <f t="shared" si="1"/>
        <v>283.23599999999999</v>
      </c>
      <c r="P17" s="2">
        <f t="shared" si="2"/>
        <v>184.71</v>
      </c>
      <c r="Q17" s="2">
        <f t="shared" si="3"/>
        <v>133.46100000000001</v>
      </c>
      <c r="R17" s="2">
        <f t="shared" si="4"/>
        <v>0.99470759366747175</v>
      </c>
      <c r="S17" s="2">
        <f t="shared" si="5"/>
        <v>0.99705484272643596</v>
      </c>
      <c r="T17" s="2">
        <f t="shared" si="6"/>
        <v>0.77181348858468013</v>
      </c>
      <c r="V17" s="3">
        <v>376.38</v>
      </c>
      <c r="W17" s="2">
        <f t="shared" si="7"/>
        <v>283.23599999999999</v>
      </c>
      <c r="Y17" s="2">
        <f t="shared" si="10"/>
        <v>283.23599999999999</v>
      </c>
      <c r="AC17" s="3">
        <v>16</v>
      </c>
      <c r="AD17" s="2">
        <f t="shared" si="9"/>
        <v>1.4942753595100675</v>
      </c>
    </row>
    <row r="18" spans="1:30" s="2" customFormat="1" x14ac:dyDescent="0.2">
      <c r="A18" s="1" t="s">
        <v>22</v>
      </c>
      <c r="B18" s="3">
        <v>16</v>
      </c>
      <c r="C18" s="1">
        <v>8.1</v>
      </c>
      <c r="D18" s="3">
        <v>0.18</v>
      </c>
      <c r="E18" s="3">
        <v>386.83</v>
      </c>
      <c r="F18" s="3">
        <v>75.457499999999996</v>
      </c>
      <c r="G18" s="3">
        <v>304.45699999999999</v>
      </c>
      <c r="H18" s="3">
        <v>286.541</v>
      </c>
      <c r="I18" s="3">
        <v>167.16300000000001</v>
      </c>
      <c r="J18" s="3">
        <v>203.91300000000001</v>
      </c>
      <c r="K18" s="3">
        <v>103.893</v>
      </c>
      <c r="L18" s="3">
        <v>96.736999999999995</v>
      </c>
      <c r="N18" s="2">
        <f t="shared" si="0"/>
        <v>1162.7040000000002</v>
      </c>
      <c r="O18" s="2">
        <f t="shared" si="1"/>
        <v>304.45699999999999</v>
      </c>
      <c r="P18" s="2">
        <f t="shared" si="2"/>
        <v>203.91300000000001</v>
      </c>
      <c r="Q18" s="2">
        <f t="shared" si="3"/>
        <v>103.893</v>
      </c>
      <c r="R18" s="2">
        <f t="shared" si="4"/>
        <v>0.94115425166772315</v>
      </c>
      <c r="S18" s="2">
        <f t="shared" si="5"/>
        <v>0.8197760809757102</v>
      </c>
      <c r="T18" s="2">
        <f t="shared" si="6"/>
        <v>0.93112144225308724</v>
      </c>
      <c r="V18" s="3">
        <v>386.83</v>
      </c>
      <c r="W18" s="2">
        <f t="shared" si="7"/>
        <v>304.45699999999999</v>
      </c>
      <c r="Y18" s="2">
        <f t="shared" si="10"/>
        <v>304.45699999999999</v>
      </c>
      <c r="AC18" s="3">
        <v>16</v>
      </c>
      <c r="AD18" s="2">
        <f t="shared" si="9"/>
        <v>1.5343109745622157</v>
      </c>
    </row>
    <row r="19" spans="1:30" s="2" customFormat="1" x14ac:dyDescent="0.2">
      <c r="A19" s="1" t="s">
        <v>22</v>
      </c>
      <c r="B19" s="3">
        <v>16</v>
      </c>
      <c r="C19" s="1">
        <v>8.1</v>
      </c>
      <c r="D19" s="3">
        <v>0.18</v>
      </c>
      <c r="E19" s="3">
        <v>406.46</v>
      </c>
      <c r="F19" s="3">
        <v>80.364999999999995</v>
      </c>
      <c r="G19" s="3">
        <v>295.81900000000002</v>
      </c>
      <c r="H19" s="3">
        <v>292.44900000000001</v>
      </c>
      <c r="I19" s="3">
        <v>281.80599999999998</v>
      </c>
      <c r="J19" s="3">
        <v>209.57400000000001</v>
      </c>
      <c r="K19" s="3">
        <v>210.93299999999999</v>
      </c>
      <c r="L19" s="3">
        <v>148.40299999999999</v>
      </c>
      <c r="N19" s="2">
        <f t="shared" si="0"/>
        <v>1438.9840000000002</v>
      </c>
      <c r="O19" s="2">
        <f t="shared" si="1"/>
        <v>295.81900000000002</v>
      </c>
      <c r="P19" s="2">
        <f t="shared" si="2"/>
        <v>281.80599999999998</v>
      </c>
      <c r="Q19" s="2">
        <f t="shared" si="3"/>
        <v>210.93299999999999</v>
      </c>
      <c r="R19" s="2">
        <f t="shared" si="4"/>
        <v>0.9886078987488971</v>
      </c>
      <c r="S19" s="2">
        <f t="shared" si="5"/>
        <v>0.74368182366592628</v>
      </c>
      <c r="T19" s="2">
        <f t="shared" si="6"/>
        <v>0.70355515732483775</v>
      </c>
      <c r="V19" s="3">
        <v>406.46</v>
      </c>
      <c r="W19" s="2">
        <f t="shared" si="7"/>
        <v>295.81900000000002</v>
      </c>
      <c r="Y19" s="2">
        <f t="shared" si="10"/>
        <v>295.81900000000002</v>
      </c>
      <c r="AC19" s="3">
        <v>16</v>
      </c>
      <c r="AD19" s="2">
        <f t="shared" si="9"/>
        <v>1.4290641000545283</v>
      </c>
    </row>
    <row r="20" spans="1:30" s="2" customFormat="1" x14ac:dyDescent="0.2">
      <c r="A20" s="1" t="s">
        <v>22</v>
      </c>
      <c r="B20" s="3">
        <v>16</v>
      </c>
      <c r="C20" s="1">
        <v>8.1</v>
      </c>
      <c r="D20" s="3">
        <v>0.18</v>
      </c>
      <c r="E20" s="3">
        <v>406.13</v>
      </c>
      <c r="F20" s="3">
        <v>80.282499999999999</v>
      </c>
      <c r="G20" s="3">
        <v>304.76</v>
      </c>
      <c r="H20" s="3">
        <v>301.43799999999999</v>
      </c>
      <c r="I20" s="3">
        <v>255.20699999999999</v>
      </c>
      <c r="J20" s="3">
        <v>247.339</v>
      </c>
      <c r="K20" s="3">
        <v>190.137</v>
      </c>
      <c r="L20" s="3">
        <v>206.04400000000001</v>
      </c>
      <c r="N20" s="2">
        <f t="shared" si="0"/>
        <v>1504.925</v>
      </c>
      <c r="O20" s="2">
        <f t="shared" si="1"/>
        <v>304.76</v>
      </c>
      <c r="P20" s="2">
        <f t="shared" si="2"/>
        <v>255.20699999999999</v>
      </c>
      <c r="Q20" s="2">
        <f t="shared" si="3"/>
        <v>206.04400000000001</v>
      </c>
      <c r="R20" s="2">
        <f t="shared" si="4"/>
        <v>0.98909961937262103</v>
      </c>
      <c r="S20" s="2">
        <f t="shared" si="5"/>
        <v>0.9691701246439165</v>
      </c>
      <c r="T20" s="2">
        <f t="shared" si="6"/>
        <v>0.92279804313641745</v>
      </c>
      <c r="V20" s="3">
        <v>406.13</v>
      </c>
      <c r="W20" s="2">
        <f t="shared" si="7"/>
        <v>304.76</v>
      </c>
      <c r="Y20" s="2">
        <f t="shared" si="10"/>
        <v>304.76</v>
      </c>
      <c r="AC20" s="3">
        <v>16</v>
      </c>
      <c r="AD20" s="2">
        <f t="shared" si="9"/>
        <v>1.4624913216679434</v>
      </c>
    </row>
    <row r="21" spans="1:30" s="2" customFormat="1" x14ac:dyDescent="0.2">
      <c r="A21" s="1" t="s">
        <v>22</v>
      </c>
      <c r="B21" s="3">
        <v>16</v>
      </c>
      <c r="C21" s="1">
        <v>8.1</v>
      </c>
      <c r="D21" s="3">
        <v>0.18</v>
      </c>
      <c r="E21" s="3">
        <v>385.14</v>
      </c>
      <c r="F21" s="3">
        <v>75.034999999999997</v>
      </c>
      <c r="G21" s="3">
        <v>276.84100000000001</v>
      </c>
      <c r="H21" s="3">
        <v>278.17</v>
      </c>
      <c r="I21" s="3">
        <v>254.727</v>
      </c>
      <c r="J21" s="3">
        <v>274.56900000000002</v>
      </c>
      <c r="K21" s="3">
        <v>131.07499999999999</v>
      </c>
      <c r="L21" s="3">
        <v>130.636</v>
      </c>
      <c r="N21" s="2">
        <f t="shared" si="0"/>
        <v>1346.018</v>
      </c>
      <c r="O21" s="2">
        <f t="shared" si="1"/>
        <v>278.17</v>
      </c>
      <c r="P21" s="2">
        <f t="shared" si="2"/>
        <v>274.56900000000002</v>
      </c>
      <c r="Q21" s="2">
        <f t="shared" si="3"/>
        <v>131.07499999999999</v>
      </c>
      <c r="R21" s="2">
        <f t="shared" si="4"/>
        <v>0.99522234604738102</v>
      </c>
      <c r="S21" s="2">
        <f t="shared" si="5"/>
        <v>0.92773401221550866</v>
      </c>
      <c r="T21" s="2">
        <f t="shared" si="6"/>
        <v>0.99665077245851619</v>
      </c>
      <c r="V21" s="3">
        <v>385.14</v>
      </c>
      <c r="W21" s="2">
        <f t="shared" si="7"/>
        <v>278.17</v>
      </c>
      <c r="Y21" s="2">
        <f t="shared" si="10"/>
        <v>278.17</v>
      </c>
      <c r="AC21" s="3">
        <v>16</v>
      </c>
      <c r="AD21" s="2">
        <f t="shared" si="9"/>
        <v>1.4410096936147847</v>
      </c>
    </row>
    <row r="22" spans="1:30" s="2" customFormat="1" x14ac:dyDescent="0.2">
      <c r="A22" s="1" t="s">
        <v>22</v>
      </c>
      <c r="B22" s="3">
        <v>20</v>
      </c>
      <c r="C22" s="1">
        <v>8.1</v>
      </c>
      <c r="D22" s="3">
        <v>0.18</v>
      </c>
      <c r="E22" s="3">
        <v>384.07</v>
      </c>
      <c r="F22" s="3">
        <v>74.767499999999998</v>
      </c>
      <c r="G22" s="3">
        <v>269.91500000000002</v>
      </c>
      <c r="H22" s="3">
        <v>267.26900000000001</v>
      </c>
      <c r="I22" s="3">
        <v>256.92599999999999</v>
      </c>
      <c r="J22" s="3">
        <v>263.70299999999997</v>
      </c>
      <c r="K22" s="3">
        <v>191.096</v>
      </c>
      <c r="L22" s="3">
        <v>195.38300000000001</v>
      </c>
      <c r="N22" s="2">
        <f t="shared" si="0"/>
        <v>1444.2919999999999</v>
      </c>
      <c r="O22" s="2">
        <f t="shared" si="1"/>
        <v>269.91500000000002</v>
      </c>
      <c r="P22" s="2">
        <f t="shared" si="2"/>
        <v>263.70299999999997</v>
      </c>
      <c r="Q22" s="2">
        <f t="shared" si="3"/>
        <v>195.38300000000001</v>
      </c>
      <c r="R22" s="2">
        <f t="shared" si="4"/>
        <v>0.99019691384324693</v>
      </c>
      <c r="S22" s="2">
        <f t="shared" si="5"/>
        <v>0.97430063366742137</v>
      </c>
      <c r="T22" s="2">
        <f t="shared" si="6"/>
        <v>0.97805848001105522</v>
      </c>
      <c r="V22" s="3">
        <v>384.07</v>
      </c>
      <c r="W22" s="2">
        <f t="shared" si="7"/>
        <v>269.91500000000002</v>
      </c>
      <c r="Z22" s="2">
        <f>W22</f>
        <v>269.91500000000002</v>
      </c>
      <c r="AC22" s="3">
        <v>20</v>
      </c>
      <c r="AD22" s="2">
        <f t="shared" si="9"/>
        <v>1.4135227689548522</v>
      </c>
    </row>
    <row r="23" spans="1:30" s="2" customFormat="1" x14ac:dyDescent="0.2">
      <c r="A23" s="1" t="s">
        <v>22</v>
      </c>
      <c r="B23" s="3">
        <v>20</v>
      </c>
      <c r="C23" s="1">
        <v>8.1</v>
      </c>
      <c r="D23" s="3">
        <v>0.18</v>
      </c>
      <c r="E23" s="3">
        <v>321.63</v>
      </c>
      <c r="F23" s="3">
        <v>59.157499999999999</v>
      </c>
      <c r="G23" s="3">
        <v>210.601</v>
      </c>
      <c r="H23" s="3">
        <v>213.48599999999999</v>
      </c>
      <c r="I23" s="3">
        <v>250.63200000000001</v>
      </c>
      <c r="J23" s="3">
        <v>248.06800000000001</v>
      </c>
      <c r="K23" s="3">
        <v>165.649</v>
      </c>
      <c r="L23" s="3">
        <v>164.86099999999999</v>
      </c>
      <c r="N23" s="2">
        <f t="shared" si="0"/>
        <v>1253.297</v>
      </c>
      <c r="O23" s="2">
        <f t="shared" si="1"/>
        <v>213.48599999999999</v>
      </c>
      <c r="P23" s="2">
        <f t="shared" si="2"/>
        <v>250.63200000000001</v>
      </c>
      <c r="Q23" s="2">
        <f t="shared" si="3"/>
        <v>165.649</v>
      </c>
      <c r="R23" s="2">
        <f t="shared" si="4"/>
        <v>0.98648623328930241</v>
      </c>
      <c r="S23" s="2">
        <f t="shared" si="5"/>
        <v>0.98976986178939641</v>
      </c>
      <c r="T23" s="2">
        <f t="shared" si="6"/>
        <v>0.99524295347391167</v>
      </c>
      <c r="V23" s="3">
        <v>321.63</v>
      </c>
      <c r="W23" s="2">
        <f t="shared" si="7"/>
        <v>213.48599999999999</v>
      </c>
      <c r="Z23" s="2">
        <f t="shared" ref="Z23:Z31" si="11">W23</f>
        <v>213.48599999999999</v>
      </c>
      <c r="AC23" s="3">
        <v>20</v>
      </c>
      <c r="AD23" s="2">
        <f t="shared" si="9"/>
        <v>1.4307981244353078</v>
      </c>
    </row>
    <row r="24" spans="1:30" s="2" customFormat="1" x14ac:dyDescent="0.2">
      <c r="A24" s="1" t="s">
        <v>22</v>
      </c>
      <c r="B24" s="3">
        <v>20</v>
      </c>
      <c r="C24" s="1">
        <v>8.1</v>
      </c>
      <c r="D24" s="3">
        <v>0.18</v>
      </c>
      <c r="E24" s="3">
        <v>398.77</v>
      </c>
      <c r="F24" s="3">
        <v>78.442499999999995</v>
      </c>
      <c r="G24" s="3">
        <v>295.37799999999999</v>
      </c>
      <c r="H24" s="3">
        <v>296.62</v>
      </c>
      <c r="I24" s="3">
        <v>295.77199999999999</v>
      </c>
      <c r="J24" s="3">
        <v>300.92099999999999</v>
      </c>
      <c r="K24" s="3">
        <v>177.19499999999999</v>
      </c>
      <c r="L24" s="3">
        <v>193.09200000000001</v>
      </c>
      <c r="N24" s="2">
        <f t="shared" si="0"/>
        <v>1558.9780000000001</v>
      </c>
      <c r="O24" s="2">
        <f t="shared" si="1"/>
        <v>296.62</v>
      </c>
      <c r="P24" s="2">
        <f t="shared" si="2"/>
        <v>300.92099999999999</v>
      </c>
      <c r="Q24" s="2">
        <f t="shared" si="3"/>
        <v>193.09200000000001</v>
      </c>
      <c r="R24" s="2">
        <f t="shared" si="4"/>
        <v>0.99581282448924546</v>
      </c>
      <c r="S24" s="2">
        <f t="shared" si="5"/>
        <v>0.98288919683239118</v>
      </c>
      <c r="T24" s="2">
        <f t="shared" si="6"/>
        <v>0.91767136908831015</v>
      </c>
      <c r="V24" s="3">
        <v>398.77</v>
      </c>
      <c r="W24" s="2">
        <f t="shared" si="7"/>
        <v>296.62</v>
      </c>
      <c r="Z24" s="2">
        <f t="shared" si="11"/>
        <v>296.62</v>
      </c>
      <c r="AC24" s="3">
        <v>20</v>
      </c>
      <c r="AD24" s="2">
        <f t="shared" si="9"/>
        <v>1.459566578484887</v>
      </c>
    </row>
    <row r="25" spans="1:30" s="2" customFormat="1" x14ac:dyDescent="0.2">
      <c r="A25" s="1" t="s">
        <v>22</v>
      </c>
      <c r="B25" s="3">
        <v>20</v>
      </c>
      <c r="C25" s="1">
        <v>8.1</v>
      </c>
      <c r="D25" s="3">
        <v>0.18</v>
      </c>
      <c r="E25" s="3">
        <v>365.19</v>
      </c>
      <c r="F25" s="3">
        <v>70.047499999999999</v>
      </c>
      <c r="G25" s="3">
        <v>253.18199999999999</v>
      </c>
      <c r="H25" s="3">
        <v>254.36</v>
      </c>
      <c r="I25" s="3">
        <v>315.87700000000001</v>
      </c>
      <c r="J25" s="3">
        <v>321.85700000000003</v>
      </c>
      <c r="K25" s="3">
        <v>200.98699999999999</v>
      </c>
      <c r="L25" s="3">
        <v>200.49799999999999</v>
      </c>
      <c r="N25" s="2">
        <f t="shared" si="0"/>
        <v>1546.7610000000002</v>
      </c>
      <c r="O25" s="2">
        <f t="shared" si="1"/>
        <v>254.36</v>
      </c>
      <c r="P25" s="2">
        <f t="shared" si="2"/>
        <v>321.85700000000003</v>
      </c>
      <c r="Q25" s="2">
        <f t="shared" si="3"/>
        <v>200.98699999999999</v>
      </c>
      <c r="R25" s="2">
        <f t="shared" si="4"/>
        <v>0.99536876867431978</v>
      </c>
      <c r="S25" s="2">
        <f t="shared" si="5"/>
        <v>0.98142032020431424</v>
      </c>
      <c r="T25" s="2">
        <f t="shared" si="6"/>
        <v>0.9975670068213367</v>
      </c>
      <c r="V25" s="3">
        <v>365.19</v>
      </c>
      <c r="W25" s="2">
        <f t="shared" si="7"/>
        <v>254.36</v>
      </c>
      <c r="Z25" s="2">
        <f t="shared" si="11"/>
        <v>254.36</v>
      </c>
      <c r="AC25" s="3">
        <v>20</v>
      </c>
      <c r="AD25" s="2">
        <f t="shared" si="9"/>
        <v>1.4241731711740848</v>
      </c>
    </row>
    <row r="26" spans="1:30" s="2" customFormat="1" x14ac:dyDescent="0.2">
      <c r="A26" s="1" t="s">
        <v>22</v>
      </c>
      <c r="B26" s="3">
        <v>20</v>
      </c>
      <c r="C26" s="1">
        <v>8.1</v>
      </c>
      <c r="D26" s="3">
        <v>0.18</v>
      </c>
      <c r="E26" s="3">
        <v>386.85</v>
      </c>
      <c r="F26" s="3">
        <v>75.462500000000006</v>
      </c>
      <c r="G26" s="3">
        <v>291.75</v>
      </c>
      <c r="H26" s="3">
        <v>283.88099999999997</v>
      </c>
      <c r="I26" s="3">
        <v>291.67500000000001</v>
      </c>
      <c r="J26" s="3">
        <v>289.98</v>
      </c>
      <c r="K26" s="3">
        <v>193.375</v>
      </c>
      <c r="L26" s="3">
        <v>206.554</v>
      </c>
      <c r="N26" s="2">
        <f t="shared" si="0"/>
        <v>1557.2150000000001</v>
      </c>
      <c r="O26" s="2">
        <f t="shared" si="1"/>
        <v>291.75</v>
      </c>
      <c r="P26" s="2">
        <f t="shared" si="2"/>
        <v>291.67500000000001</v>
      </c>
      <c r="Q26" s="2">
        <f t="shared" si="3"/>
        <v>206.554</v>
      </c>
      <c r="R26" s="2">
        <f t="shared" si="4"/>
        <v>0.97302827763496136</v>
      </c>
      <c r="S26" s="2">
        <f t="shared" si="5"/>
        <v>0.99418873746464387</v>
      </c>
      <c r="T26" s="2">
        <f t="shared" si="6"/>
        <v>0.93619586161488033</v>
      </c>
      <c r="V26" s="3">
        <v>386.85</v>
      </c>
      <c r="W26" s="2">
        <f t="shared" si="7"/>
        <v>291.75</v>
      </c>
      <c r="Z26" s="2">
        <f t="shared" si="11"/>
        <v>291.75</v>
      </c>
      <c r="AC26" s="3">
        <v>20</v>
      </c>
      <c r="AD26" s="2">
        <f t="shared" si="9"/>
        <v>1.4860895482895846</v>
      </c>
    </row>
    <row r="27" spans="1:30" s="2" customFormat="1" x14ac:dyDescent="0.2">
      <c r="A27" s="1" t="s">
        <v>22</v>
      </c>
      <c r="B27" s="3">
        <v>20</v>
      </c>
      <c r="C27" s="1">
        <v>8.1</v>
      </c>
      <c r="D27" s="3">
        <v>0.18</v>
      </c>
      <c r="E27" s="3">
        <v>372.05</v>
      </c>
      <c r="F27" s="3">
        <v>71.762500000000003</v>
      </c>
      <c r="G27" s="3">
        <v>255.392</v>
      </c>
      <c r="H27" s="3">
        <v>265.92399999999998</v>
      </c>
      <c r="I27" s="3">
        <v>241.78399999999999</v>
      </c>
      <c r="J27" s="3">
        <v>229.77600000000001</v>
      </c>
      <c r="K27" s="3">
        <v>198.59700000000001</v>
      </c>
      <c r="L27" s="3">
        <v>176.56899999999999</v>
      </c>
      <c r="N27" s="2">
        <f t="shared" si="0"/>
        <v>1368.0419999999999</v>
      </c>
      <c r="O27" s="2">
        <f t="shared" si="1"/>
        <v>265.92399999999998</v>
      </c>
      <c r="P27" s="2">
        <f t="shared" si="2"/>
        <v>241.78399999999999</v>
      </c>
      <c r="Q27" s="2">
        <f t="shared" si="3"/>
        <v>198.59700000000001</v>
      </c>
      <c r="R27" s="2">
        <f t="shared" si="4"/>
        <v>0.96039469923737619</v>
      </c>
      <c r="S27" s="2">
        <f t="shared" si="5"/>
        <v>0.95033583694537282</v>
      </c>
      <c r="T27" s="2">
        <f t="shared" si="6"/>
        <v>0.88908190959581457</v>
      </c>
      <c r="V27" s="3">
        <v>372.05</v>
      </c>
      <c r="W27" s="2">
        <f t="shared" si="7"/>
        <v>265.92399999999998</v>
      </c>
      <c r="Z27" s="2">
        <f t="shared" si="11"/>
        <v>265.92399999999998</v>
      </c>
      <c r="AC27" s="3">
        <v>20</v>
      </c>
      <c r="AD27" s="2">
        <f t="shared" si="9"/>
        <v>1.4434682347388099</v>
      </c>
    </row>
    <row r="28" spans="1:30" s="2" customFormat="1" x14ac:dyDescent="0.2">
      <c r="A28" s="1" t="s">
        <v>22</v>
      </c>
      <c r="B28" s="3">
        <v>20</v>
      </c>
      <c r="C28" s="1">
        <v>8.1</v>
      </c>
      <c r="D28" s="3">
        <v>0.18</v>
      </c>
      <c r="E28" s="3">
        <v>403.28</v>
      </c>
      <c r="F28" s="3">
        <v>79.569999999999993</v>
      </c>
      <c r="G28" s="3">
        <v>276.86099999999999</v>
      </c>
      <c r="H28" s="3">
        <v>277.33300000000003</v>
      </c>
      <c r="I28" s="3">
        <v>265.166</v>
      </c>
      <c r="J28" s="3">
        <v>295.81900000000002</v>
      </c>
      <c r="K28" s="3">
        <v>218.02799999999999</v>
      </c>
      <c r="L28" s="3">
        <v>241.821</v>
      </c>
      <c r="N28" s="2">
        <f t="shared" si="0"/>
        <v>1575.0279999999998</v>
      </c>
      <c r="O28" s="2">
        <f t="shared" si="1"/>
        <v>277.33300000000003</v>
      </c>
      <c r="P28" s="2">
        <f t="shared" si="2"/>
        <v>295.81900000000002</v>
      </c>
      <c r="Q28" s="2">
        <f t="shared" si="3"/>
        <v>241.821</v>
      </c>
      <c r="R28" s="2">
        <f t="shared" si="4"/>
        <v>0.99829807487749367</v>
      </c>
      <c r="S28" s="2">
        <f t="shared" si="5"/>
        <v>0.89637920485161526</v>
      </c>
      <c r="T28" s="2">
        <f t="shared" si="6"/>
        <v>0.90160904139838971</v>
      </c>
      <c r="V28" s="3">
        <v>403.28</v>
      </c>
      <c r="W28" s="2">
        <f t="shared" si="7"/>
        <v>277.33300000000003</v>
      </c>
      <c r="Z28" s="2">
        <f t="shared" si="11"/>
        <v>277.33300000000003</v>
      </c>
      <c r="AC28" s="3">
        <v>20</v>
      </c>
      <c r="AD28" s="2">
        <f t="shared" si="9"/>
        <v>1.3731495246235741</v>
      </c>
    </row>
    <row r="29" spans="1:30" s="2" customFormat="1" x14ac:dyDescent="0.2">
      <c r="A29" s="1" t="s">
        <v>22</v>
      </c>
      <c r="B29" s="3">
        <v>20</v>
      </c>
      <c r="C29" s="1">
        <v>8.1</v>
      </c>
      <c r="D29" s="3">
        <v>0.18</v>
      </c>
      <c r="E29" s="3">
        <v>376.91</v>
      </c>
      <c r="F29" s="3">
        <v>72.977500000000006</v>
      </c>
      <c r="G29" s="3">
        <v>261.928</v>
      </c>
      <c r="H29" s="3">
        <v>257.13400000000001</v>
      </c>
      <c r="I29" s="3">
        <v>243.73099999999999</v>
      </c>
      <c r="J29" s="3">
        <v>224.04</v>
      </c>
      <c r="K29" s="3">
        <v>206.738</v>
      </c>
      <c r="L29" s="3">
        <v>209.17699999999999</v>
      </c>
      <c r="N29" s="2">
        <f t="shared" si="0"/>
        <v>1402.7479999999998</v>
      </c>
      <c r="O29" s="2">
        <f t="shared" si="1"/>
        <v>261.928</v>
      </c>
      <c r="P29" s="2">
        <f t="shared" si="2"/>
        <v>243.73099999999999</v>
      </c>
      <c r="Q29" s="2">
        <f t="shared" si="3"/>
        <v>209.17699999999999</v>
      </c>
      <c r="R29" s="2">
        <f t="shared" si="4"/>
        <v>0.98169726031581206</v>
      </c>
      <c r="S29" s="2">
        <f t="shared" si="5"/>
        <v>0.91921011278827891</v>
      </c>
      <c r="T29" s="2">
        <f t="shared" si="6"/>
        <v>0.98834001826204609</v>
      </c>
      <c r="V29" s="3">
        <v>376.91</v>
      </c>
      <c r="W29" s="2">
        <f t="shared" si="7"/>
        <v>261.928</v>
      </c>
      <c r="Z29" s="2">
        <f t="shared" si="11"/>
        <v>261.928</v>
      </c>
      <c r="AC29" s="3">
        <v>20</v>
      </c>
      <c r="AD29" s="2">
        <f t="shared" si="9"/>
        <v>1.4093170662542456</v>
      </c>
    </row>
    <row r="30" spans="1:30" s="2" customFormat="1" x14ac:dyDescent="0.2">
      <c r="A30" s="1" t="s">
        <v>22</v>
      </c>
      <c r="B30" s="3">
        <v>20</v>
      </c>
      <c r="C30" s="1">
        <v>8.1</v>
      </c>
      <c r="D30" s="3">
        <v>0.18</v>
      </c>
      <c r="E30" s="3">
        <v>387.6</v>
      </c>
      <c r="F30" s="3">
        <v>75.650000000000006</v>
      </c>
      <c r="G30" s="3">
        <v>288.315</v>
      </c>
      <c r="H30" s="3">
        <v>315.48700000000002</v>
      </c>
      <c r="I30" s="3">
        <v>342.029</v>
      </c>
      <c r="J30" s="3">
        <v>313.18200000000002</v>
      </c>
      <c r="K30" s="3">
        <v>175.21100000000001</v>
      </c>
      <c r="L30" s="3">
        <v>150.16499999999999</v>
      </c>
      <c r="N30" s="2">
        <f t="shared" si="0"/>
        <v>1584.3889999999999</v>
      </c>
      <c r="O30" s="2">
        <f t="shared" si="1"/>
        <v>315.48700000000002</v>
      </c>
      <c r="P30" s="2">
        <f t="shared" si="2"/>
        <v>342.029</v>
      </c>
      <c r="Q30" s="2">
        <f t="shared" si="3"/>
        <v>175.21100000000001</v>
      </c>
      <c r="R30" s="2">
        <f t="shared" si="4"/>
        <v>0.91387283786653639</v>
      </c>
      <c r="S30" s="2">
        <f t="shared" si="5"/>
        <v>0.91565919848901711</v>
      </c>
      <c r="T30" s="2">
        <f t="shared" si="6"/>
        <v>0.85705235401886859</v>
      </c>
      <c r="V30" s="3">
        <v>387.6</v>
      </c>
      <c r="W30" s="2">
        <f t="shared" si="7"/>
        <v>315.48700000000002</v>
      </c>
      <c r="Z30" s="2">
        <f t="shared" si="11"/>
        <v>315.48700000000002</v>
      </c>
      <c r="AC30" s="3">
        <v>20</v>
      </c>
      <c r="AD30" s="2">
        <f t="shared" si="9"/>
        <v>1.5729706494166893</v>
      </c>
    </row>
    <row r="31" spans="1:30" s="2" customFormat="1" x14ac:dyDescent="0.2">
      <c r="A31" s="1" t="s">
        <v>22</v>
      </c>
      <c r="B31" s="3">
        <v>20</v>
      </c>
      <c r="C31" s="1">
        <v>8.1</v>
      </c>
      <c r="D31" s="3">
        <v>0.18</v>
      </c>
      <c r="E31" s="3">
        <v>391.15</v>
      </c>
      <c r="F31" s="3">
        <v>76.537499999999994</v>
      </c>
      <c r="G31" s="3">
        <v>266.96600000000001</v>
      </c>
      <c r="H31" s="3">
        <v>264.08800000000002</v>
      </c>
      <c r="I31" s="3">
        <v>197.16</v>
      </c>
      <c r="J31" s="3">
        <v>159.80099999999999</v>
      </c>
      <c r="K31" s="3">
        <v>176.86600000000001</v>
      </c>
      <c r="L31" s="3">
        <v>135.089</v>
      </c>
      <c r="N31" s="2">
        <f t="shared" si="0"/>
        <v>1199.97</v>
      </c>
      <c r="O31" s="2">
        <f t="shared" si="1"/>
        <v>266.96600000000001</v>
      </c>
      <c r="P31" s="2">
        <f t="shared" si="2"/>
        <v>197.16</v>
      </c>
      <c r="Q31" s="2">
        <f t="shared" si="3"/>
        <v>176.86600000000001</v>
      </c>
      <c r="R31" s="2">
        <f t="shared" si="4"/>
        <v>0.98921960099787998</v>
      </c>
      <c r="S31" s="2">
        <f t="shared" si="5"/>
        <v>0.8105143031040779</v>
      </c>
      <c r="T31" s="2">
        <f t="shared" si="6"/>
        <v>0.76379292797937415</v>
      </c>
      <c r="V31" s="3">
        <v>391.15</v>
      </c>
      <c r="W31" s="2">
        <f t="shared" si="7"/>
        <v>266.96600000000001</v>
      </c>
      <c r="Z31" s="2">
        <f t="shared" si="11"/>
        <v>266.96600000000001</v>
      </c>
      <c r="AC31" s="3">
        <v>20</v>
      </c>
      <c r="AD31" s="2">
        <f t="shared" si="9"/>
        <v>1.3768874963281945</v>
      </c>
    </row>
    <row r="32" spans="1:30" s="2" customFormat="1" x14ac:dyDescent="0.2">
      <c r="A32" s="1" t="s">
        <v>22</v>
      </c>
      <c r="B32" s="3">
        <v>24</v>
      </c>
      <c r="C32" s="1">
        <v>8.1</v>
      </c>
      <c r="D32" s="3">
        <v>0.18</v>
      </c>
      <c r="E32" s="3">
        <v>379.92</v>
      </c>
      <c r="F32" s="3">
        <v>73.73</v>
      </c>
      <c r="G32" s="3">
        <v>266.47300000000001</v>
      </c>
      <c r="H32" s="3">
        <v>276.58600000000001</v>
      </c>
      <c r="I32" s="3">
        <v>139.232</v>
      </c>
      <c r="J32" s="3">
        <v>145.624</v>
      </c>
      <c r="K32" s="3">
        <v>156.27099999999999</v>
      </c>
      <c r="L32" s="3">
        <v>154.9</v>
      </c>
      <c r="N32" s="2">
        <f t="shared" si="0"/>
        <v>1139.086</v>
      </c>
      <c r="O32" s="2">
        <f t="shared" si="1"/>
        <v>276.58600000000001</v>
      </c>
      <c r="P32" s="2">
        <f t="shared" si="2"/>
        <v>145.624</v>
      </c>
      <c r="Q32" s="2">
        <f t="shared" si="3"/>
        <v>156.27099999999999</v>
      </c>
      <c r="R32" s="2">
        <f t="shared" si="4"/>
        <v>0.96343632721829742</v>
      </c>
      <c r="S32" s="2">
        <f t="shared" si="5"/>
        <v>0.95610613635115094</v>
      </c>
      <c r="T32" s="2">
        <f t="shared" si="6"/>
        <v>0.9912267791208863</v>
      </c>
      <c r="V32" s="3">
        <v>379.92</v>
      </c>
      <c r="W32" s="2">
        <f t="shared" si="7"/>
        <v>276.58600000000001</v>
      </c>
      <c r="AA32" s="2">
        <f>W32</f>
        <v>276.58600000000001</v>
      </c>
      <c r="AC32" s="3">
        <v>24</v>
      </c>
      <c r="AD32" s="2">
        <f t="shared" si="9"/>
        <v>1.454698131099871</v>
      </c>
    </row>
    <row r="33" spans="1:30" s="2" customFormat="1" x14ac:dyDescent="0.2">
      <c r="A33" s="1" t="s">
        <v>22</v>
      </c>
      <c r="B33" s="3">
        <v>24</v>
      </c>
      <c r="C33" s="1">
        <v>8.1</v>
      </c>
      <c r="D33" s="3">
        <v>0.18</v>
      </c>
      <c r="E33" s="3">
        <v>357.88</v>
      </c>
      <c r="F33" s="3">
        <v>68.22</v>
      </c>
      <c r="G33" s="3">
        <v>260.03500000000003</v>
      </c>
      <c r="H33" s="3">
        <v>261.85700000000003</v>
      </c>
      <c r="I33" s="3">
        <v>106.36499999999999</v>
      </c>
      <c r="J33" s="3">
        <v>109.623</v>
      </c>
      <c r="K33" s="3">
        <v>135.46799999999999</v>
      </c>
      <c r="L33" s="3">
        <v>149.75399999999999</v>
      </c>
      <c r="N33" s="2">
        <f t="shared" si="0"/>
        <v>1023.1020000000001</v>
      </c>
      <c r="O33" s="2">
        <f t="shared" si="1"/>
        <v>261.85700000000003</v>
      </c>
      <c r="P33" s="2">
        <f t="shared" si="2"/>
        <v>109.623</v>
      </c>
      <c r="Q33" s="2">
        <f t="shared" si="3"/>
        <v>149.75399999999999</v>
      </c>
      <c r="R33" s="2">
        <f t="shared" si="4"/>
        <v>0.99304200384179153</v>
      </c>
      <c r="S33" s="2">
        <f t="shared" si="5"/>
        <v>0.97027995949755064</v>
      </c>
      <c r="T33" s="2">
        <f t="shared" si="6"/>
        <v>0.90460354982170754</v>
      </c>
      <c r="V33" s="3">
        <v>357.88</v>
      </c>
      <c r="W33" s="2">
        <f t="shared" si="7"/>
        <v>261.85700000000003</v>
      </c>
      <c r="AA33" s="2">
        <f t="shared" ref="AA33:AA37" si="12">W33</f>
        <v>261.85700000000003</v>
      </c>
      <c r="AC33" s="3">
        <v>24</v>
      </c>
      <c r="AD33" s="2">
        <f t="shared" si="9"/>
        <v>1.4839656746511256</v>
      </c>
    </row>
    <row r="34" spans="1:30" s="2" customFormat="1" x14ac:dyDescent="0.2">
      <c r="A34" s="1" t="s">
        <v>22</v>
      </c>
      <c r="B34" s="3">
        <v>24</v>
      </c>
      <c r="C34" s="1">
        <v>8.1</v>
      </c>
      <c r="D34" s="3">
        <v>0.18</v>
      </c>
      <c r="E34" s="3">
        <v>343.37</v>
      </c>
      <c r="F34" s="3">
        <v>64.592500000000001</v>
      </c>
      <c r="G34" s="3">
        <v>250.08099999999999</v>
      </c>
      <c r="H34" s="3">
        <v>254.291</v>
      </c>
      <c r="I34" s="3">
        <v>101.387</v>
      </c>
      <c r="J34" s="3">
        <v>105.71</v>
      </c>
      <c r="K34" s="3">
        <v>118.187</v>
      </c>
      <c r="L34" s="3">
        <v>99.528000000000006</v>
      </c>
      <c r="N34" s="2">
        <f t="shared" si="0"/>
        <v>929.18400000000008</v>
      </c>
      <c r="O34" s="2">
        <f t="shared" si="1"/>
        <v>254.291</v>
      </c>
      <c r="P34" s="2">
        <f t="shared" si="2"/>
        <v>105.71</v>
      </c>
      <c r="Q34" s="2">
        <f t="shared" si="3"/>
        <v>118.187</v>
      </c>
      <c r="R34" s="2">
        <f t="shared" si="4"/>
        <v>0.98344416436287552</v>
      </c>
      <c r="S34" s="2">
        <f t="shared" si="5"/>
        <v>0.95910509885535911</v>
      </c>
      <c r="T34" s="2">
        <f t="shared" si="6"/>
        <v>0.84212307614204618</v>
      </c>
      <c r="V34" s="3">
        <v>343.37</v>
      </c>
      <c r="W34" s="2">
        <f t="shared" si="7"/>
        <v>254.291</v>
      </c>
      <c r="AA34" s="2">
        <f t="shared" si="12"/>
        <v>254.291</v>
      </c>
      <c r="AC34" s="3">
        <v>24</v>
      </c>
      <c r="AD34" s="2">
        <f t="shared" si="9"/>
        <v>1.5143800327495978</v>
      </c>
    </row>
    <row r="35" spans="1:30" s="2" customFormat="1" x14ac:dyDescent="0.2">
      <c r="A35" s="1" t="s">
        <v>22</v>
      </c>
      <c r="B35" s="3">
        <v>24</v>
      </c>
      <c r="C35" s="1">
        <v>8.1</v>
      </c>
      <c r="D35" s="3">
        <v>0.18</v>
      </c>
      <c r="E35" s="3">
        <v>337.54</v>
      </c>
      <c r="F35" s="3">
        <v>63.135000000000005</v>
      </c>
      <c r="G35" s="3">
        <v>250.04499999999999</v>
      </c>
      <c r="H35" s="3">
        <v>251.80600000000001</v>
      </c>
      <c r="I35" s="3">
        <v>84.463999999999999</v>
      </c>
      <c r="J35" s="3">
        <v>113.151</v>
      </c>
      <c r="K35" s="3">
        <v>98.501000000000005</v>
      </c>
      <c r="L35" s="3">
        <v>97.83</v>
      </c>
      <c r="N35" s="2">
        <f t="shared" si="0"/>
        <v>895.79700000000003</v>
      </c>
      <c r="O35" s="2">
        <f t="shared" si="1"/>
        <v>251.80600000000001</v>
      </c>
      <c r="P35" s="2">
        <f t="shared" si="2"/>
        <v>113.151</v>
      </c>
      <c r="Q35" s="2">
        <f t="shared" si="3"/>
        <v>98.501000000000005</v>
      </c>
      <c r="R35" s="2">
        <f t="shared" si="4"/>
        <v>0.9930065208930684</v>
      </c>
      <c r="S35" s="2">
        <f t="shared" si="5"/>
        <v>0.74647152919549986</v>
      </c>
      <c r="T35" s="2">
        <f t="shared" si="6"/>
        <v>0.99318788641739675</v>
      </c>
      <c r="V35" s="3">
        <v>337.54</v>
      </c>
      <c r="W35" s="2">
        <f t="shared" si="7"/>
        <v>251.80600000000001</v>
      </c>
      <c r="AA35" s="2">
        <f t="shared" si="12"/>
        <v>251.80600000000001</v>
      </c>
      <c r="AC35" s="3">
        <v>24</v>
      </c>
      <c r="AD35" s="2">
        <f t="shared" si="9"/>
        <v>1.5297463379872811</v>
      </c>
    </row>
    <row r="36" spans="1:30" s="2" customFormat="1" x14ac:dyDescent="0.2">
      <c r="A36" s="1" t="s">
        <v>22</v>
      </c>
      <c r="B36" s="3">
        <v>24</v>
      </c>
      <c r="C36" s="1">
        <v>8.1</v>
      </c>
      <c r="D36" s="3">
        <v>0.18</v>
      </c>
      <c r="E36" s="3">
        <v>363.07</v>
      </c>
      <c r="F36" s="3">
        <v>69.517499999999998</v>
      </c>
      <c r="G36" s="3">
        <v>275.52300000000002</v>
      </c>
      <c r="H36" s="3">
        <v>279.75299999999999</v>
      </c>
      <c r="I36" s="3">
        <v>119.473</v>
      </c>
      <c r="J36" s="3">
        <v>111.76</v>
      </c>
      <c r="K36" s="3">
        <v>112.56699999999999</v>
      </c>
      <c r="L36" s="3">
        <v>117.621</v>
      </c>
      <c r="N36" s="2">
        <f t="shared" si="0"/>
        <v>1016.697</v>
      </c>
      <c r="O36" s="2">
        <f t="shared" si="1"/>
        <v>279.75299999999999</v>
      </c>
      <c r="P36" s="2">
        <f t="shared" si="2"/>
        <v>119.473</v>
      </c>
      <c r="Q36" s="2">
        <f t="shared" si="3"/>
        <v>117.621</v>
      </c>
      <c r="R36" s="2">
        <f t="shared" si="4"/>
        <v>0.98487951871829804</v>
      </c>
      <c r="S36" s="2">
        <f t="shared" si="5"/>
        <v>0.93544148050187081</v>
      </c>
      <c r="T36" s="2">
        <f t="shared" si="6"/>
        <v>0.95703148247336778</v>
      </c>
      <c r="V36" s="3">
        <v>363.07</v>
      </c>
      <c r="W36" s="2">
        <f t="shared" si="7"/>
        <v>279.75299999999999</v>
      </c>
      <c r="AA36" s="2">
        <f t="shared" si="12"/>
        <v>279.75299999999999</v>
      </c>
      <c r="AC36" s="3">
        <v>24</v>
      </c>
      <c r="AD36" s="2">
        <f t="shared" si="9"/>
        <v>1.534994814220892</v>
      </c>
    </row>
    <row r="37" spans="1:30" s="2" customFormat="1" x14ac:dyDescent="0.2">
      <c r="A37" s="1" t="s">
        <v>22</v>
      </c>
      <c r="B37" s="3">
        <v>24</v>
      </c>
      <c r="C37" s="1">
        <v>8.1</v>
      </c>
      <c r="D37" s="3">
        <v>0.18</v>
      </c>
      <c r="E37" s="3">
        <v>385.96</v>
      </c>
      <c r="F37" s="3">
        <v>75.239999999999995</v>
      </c>
      <c r="G37" s="3">
        <v>298.83600000000001</v>
      </c>
      <c r="H37" s="3">
        <v>277.12099999999998</v>
      </c>
      <c r="I37" s="3">
        <v>93.528000000000006</v>
      </c>
      <c r="J37" s="3">
        <v>87.180999999999997</v>
      </c>
      <c r="K37" s="3">
        <v>139.16300000000001</v>
      </c>
      <c r="L37" s="3">
        <v>176.95599999999999</v>
      </c>
      <c r="N37" s="2">
        <f t="shared" si="0"/>
        <v>1072.7850000000001</v>
      </c>
      <c r="O37" s="2">
        <f t="shared" si="1"/>
        <v>298.83600000000001</v>
      </c>
      <c r="P37" s="2">
        <f t="shared" si="2"/>
        <v>93.528000000000006</v>
      </c>
      <c r="Q37" s="2">
        <f t="shared" si="3"/>
        <v>176.95599999999999</v>
      </c>
      <c r="R37" s="2">
        <f t="shared" si="4"/>
        <v>0.9273347254012233</v>
      </c>
      <c r="S37" s="2">
        <f t="shared" si="5"/>
        <v>0.93213796937815407</v>
      </c>
      <c r="T37" s="2">
        <f t="shared" si="6"/>
        <v>0.78642713442889767</v>
      </c>
      <c r="V37" s="3">
        <v>385.96</v>
      </c>
      <c r="W37" s="2">
        <f t="shared" si="7"/>
        <v>298.83600000000001</v>
      </c>
      <c r="AA37" s="2">
        <f t="shared" si="12"/>
        <v>298.83600000000001</v>
      </c>
      <c r="AC37" s="3">
        <v>24</v>
      </c>
      <c r="AD37" s="2">
        <f t="shared" si="9"/>
        <v>1.5164245069353326</v>
      </c>
    </row>
    <row r="38" spans="1:30" s="2" customFormat="1" x14ac:dyDescent="0.2">
      <c r="A38" s="1" t="s">
        <v>22</v>
      </c>
      <c r="B38" s="3">
        <v>30</v>
      </c>
      <c r="C38" s="1">
        <v>8.1</v>
      </c>
      <c r="D38" s="3">
        <v>0.18</v>
      </c>
      <c r="E38" s="3">
        <v>374.42</v>
      </c>
      <c r="F38" s="3">
        <v>72.355000000000004</v>
      </c>
      <c r="G38" s="3">
        <v>284.93299999999999</v>
      </c>
      <c r="H38" s="3">
        <v>287.416</v>
      </c>
      <c r="I38" s="3">
        <v>152.989</v>
      </c>
      <c r="J38" s="3">
        <v>173.495</v>
      </c>
      <c r="K38" s="3">
        <v>99.278000000000006</v>
      </c>
      <c r="L38" s="3">
        <v>107.989</v>
      </c>
      <c r="N38" s="2">
        <f t="shared" si="0"/>
        <v>1106.0999999999999</v>
      </c>
      <c r="O38" s="2">
        <f t="shared" si="1"/>
        <v>287.416</v>
      </c>
      <c r="P38" s="2">
        <f t="shared" si="2"/>
        <v>173.495</v>
      </c>
      <c r="Q38" s="2">
        <f t="shared" si="3"/>
        <v>107.989</v>
      </c>
      <c r="R38" s="2">
        <f t="shared" si="4"/>
        <v>0.99136095415704062</v>
      </c>
      <c r="S38" s="2">
        <f t="shared" si="5"/>
        <v>0.88180639211504652</v>
      </c>
      <c r="T38" s="2">
        <f t="shared" si="6"/>
        <v>0.91933437664947359</v>
      </c>
      <c r="V38" s="3">
        <v>374.42</v>
      </c>
      <c r="W38" s="2">
        <f t="shared" si="7"/>
        <v>287.416</v>
      </c>
      <c r="AC38" s="3">
        <v>30</v>
      </c>
      <c r="AD38" s="2">
        <f t="shared" si="9"/>
        <v>1.5184597436051623</v>
      </c>
    </row>
    <row r="39" spans="1:30" s="2" customFormat="1" ht="15.75" customHeight="1" x14ac:dyDescent="0.2">
      <c r="A39" s="1"/>
      <c r="B39" s="3"/>
      <c r="C39" s="1"/>
      <c r="D39" s="3"/>
      <c r="F39" s="3"/>
      <c r="AC39" s="3"/>
    </row>
    <row r="40" spans="1:30" s="2" customFormat="1" ht="15.75" customHeight="1" x14ac:dyDescent="0.2">
      <c r="A40" s="1"/>
      <c r="B40" s="3"/>
      <c r="C40" s="1"/>
      <c r="D40" s="3"/>
      <c r="F40" s="3"/>
      <c r="AC40" s="3"/>
    </row>
    <row r="41" spans="1:30" s="2" customFormat="1" ht="15.75" customHeight="1" x14ac:dyDescent="0.2">
      <c r="A41" s="1"/>
      <c r="B41" s="3"/>
      <c r="C41" s="1"/>
      <c r="D41" s="3"/>
      <c r="F41" s="3"/>
      <c r="AC41" s="3"/>
    </row>
    <row r="42" spans="1:30" s="2" customFormat="1" ht="15.75" customHeight="1" x14ac:dyDescent="0.2">
      <c r="A42" s="1"/>
      <c r="B42" s="3"/>
      <c r="C42" s="1"/>
      <c r="D42" s="3"/>
      <c r="F42" s="3"/>
      <c r="AC42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CA73-4A35-4EDD-AD5A-17DB89409C6A}">
  <dimension ref="A1:AE50"/>
  <sheetViews>
    <sheetView workbookViewId="0">
      <selection activeCell="AN68" sqref="A1:XFD1048576"/>
    </sheetView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1" t="s">
        <v>4</v>
      </c>
      <c r="W1" s="1" t="s">
        <v>15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D1" s="1" t="s">
        <v>3</v>
      </c>
      <c r="AE1" t="s">
        <v>38</v>
      </c>
    </row>
    <row r="2" spans="1:31" x14ac:dyDescent="0.2">
      <c r="A2" s="1" t="s">
        <v>19</v>
      </c>
      <c r="B2" s="3">
        <v>20</v>
      </c>
      <c r="C2" s="1">
        <v>8.1</v>
      </c>
      <c r="D2" s="3">
        <v>0.18</v>
      </c>
      <c r="E2" s="3">
        <v>362.86</v>
      </c>
      <c r="F2" s="3">
        <v>69.465000000000003</v>
      </c>
      <c r="G2" s="3">
        <v>268.14</v>
      </c>
      <c r="H2" s="3">
        <v>268.42</v>
      </c>
      <c r="I2" s="3">
        <v>180.73099999999999</v>
      </c>
      <c r="J2" s="3">
        <v>145.232</v>
      </c>
      <c r="K2" s="3">
        <v>138.321</v>
      </c>
      <c r="L2" s="3">
        <v>135.82900000000001</v>
      </c>
      <c r="M2" s="2"/>
      <c r="N2" s="2">
        <f>SUM(G2:L2)</f>
        <v>1136.673</v>
      </c>
      <c r="O2" s="2">
        <f>MAX(G2:H2)</f>
        <v>268.42</v>
      </c>
      <c r="P2" s="2">
        <f>MAX(I2:J2)</f>
        <v>180.73099999999999</v>
      </c>
      <c r="Q2" s="2">
        <f>MAX(K2:L2)</f>
        <v>138.321</v>
      </c>
      <c r="R2" s="2">
        <f>MIN(G2:H2)/MAX(G2:H2)</f>
        <v>0.99895685865434758</v>
      </c>
      <c r="S2" s="2">
        <f>MIN(I2:J2)/MAX(I2:J2)</f>
        <v>0.80358101266523174</v>
      </c>
      <c r="T2" s="2">
        <f>MIN(K2:L2)/MAX(K2:L2)</f>
        <v>0.98198393591717825</v>
      </c>
      <c r="V2" s="3">
        <v>362.86</v>
      </c>
      <c r="W2" s="3">
        <v>138.321</v>
      </c>
      <c r="X2">
        <f>W2</f>
        <v>138.321</v>
      </c>
      <c r="AD2" s="3">
        <v>0.18</v>
      </c>
      <c r="AE2">
        <f>(W2+170.43)/(0.891*V2)</f>
        <v>0.95497405479216635</v>
      </c>
    </row>
    <row r="3" spans="1:31" x14ac:dyDescent="0.2">
      <c r="A3" s="1" t="s">
        <v>19</v>
      </c>
      <c r="B3" s="3">
        <v>20</v>
      </c>
      <c r="C3" s="1">
        <v>8.1</v>
      </c>
      <c r="D3" s="3">
        <v>0.18</v>
      </c>
      <c r="E3" s="3">
        <v>409.02</v>
      </c>
      <c r="F3" s="3">
        <v>81.004999999999995</v>
      </c>
      <c r="G3" s="3">
        <v>293.28399999999999</v>
      </c>
      <c r="H3" s="3">
        <v>318.39</v>
      </c>
      <c r="I3" s="3">
        <v>336.77699999999999</v>
      </c>
      <c r="J3" s="3">
        <v>331.37299999999999</v>
      </c>
      <c r="K3" s="3">
        <v>199.17</v>
      </c>
      <c r="L3" s="3">
        <v>157.958</v>
      </c>
      <c r="M3" s="2"/>
      <c r="N3" s="2">
        <f t="shared" ref="N3:N50" si="0">SUM(G3:L3)</f>
        <v>1636.9520000000002</v>
      </c>
      <c r="O3" s="2">
        <f t="shared" ref="O3:O50" si="1">MAX(G3:H3)</f>
        <v>318.39</v>
      </c>
      <c r="P3" s="2">
        <f t="shared" ref="P3:P50" si="2">MAX(I3:J3)</f>
        <v>336.77699999999999</v>
      </c>
      <c r="Q3" s="2">
        <f t="shared" ref="Q3:Q50" si="3">MAX(K3:L3)</f>
        <v>199.17</v>
      </c>
      <c r="R3" s="2">
        <f t="shared" ref="R3:R50" si="4">MIN(G3:H3)/MAX(G3:H3)</f>
        <v>0.92114702094915046</v>
      </c>
      <c r="S3" s="2">
        <f t="shared" ref="S3:S50" si="5">MIN(I3:J3)/MAX(I3:J3)</f>
        <v>0.9839537735652969</v>
      </c>
      <c r="T3" s="2">
        <f t="shared" ref="T3:T50" si="6">MIN(K3:L3)/MAX(K3:L3)</f>
        <v>0.7930812873424713</v>
      </c>
      <c r="V3" s="3">
        <v>409.02</v>
      </c>
      <c r="W3" s="3">
        <v>199.17</v>
      </c>
      <c r="X3">
        <f t="shared" ref="X3:X11" si="7">W3</f>
        <v>199.17</v>
      </c>
      <c r="AD3" s="3">
        <v>0.18</v>
      </c>
      <c r="AE3">
        <f t="shared" ref="AE3:AE50" si="8">(W3+170.43)/(0.891*V3)</f>
        <v>1.0141675585908143</v>
      </c>
    </row>
    <row r="4" spans="1:31" x14ac:dyDescent="0.2">
      <c r="A4" s="1" t="s">
        <v>19</v>
      </c>
      <c r="B4" s="3">
        <v>20</v>
      </c>
      <c r="C4" s="1">
        <v>8.1</v>
      </c>
      <c r="D4" s="3">
        <v>0.18</v>
      </c>
      <c r="E4" s="3">
        <v>356.19</v>
      </c>
      <c r="F4" s="3">
        <v>67.797499999999999</v>
      </c>
      <c r="G4" s="3">
        <v>279.27600000000001</v>
      </c>
      <c r="H4" s="3">
        <v>281.41500000000002</v>
      </c>
      <c r="I4" s="3">
        <v>244.88900000000001</v>
      </c>
      <c r="J4" s="3">
        <v>189.10900000000001</v>
      </c>
      <c r="K4" s="3">
        <v>138.84299999999999</v>
      </c>
      <c r="L4" s="3">
        <v>142.91800000000001</v>
      </c>
      <c r="M4" s="2"/>
      <c r="N4" s="2">
        <f t="shared" si="0"/>
        <v>1276.4500000000003</v>
      </c>
      <c r="O4" s="2">
        <f t="shared" si="1"/>
        <v>281.41500000000002</v>
      </c>
      <c r="P4" s="2">
        <f t="shared" si="2"/>
        <v>244.88900000000001</v>
      </c>
      <c r="Q4" s="2">
        <f t="shared" si="3"/>
        <v>142.91800000000001</v>
      </c>
      <c r="R4" s="2">
        <f t="shared" si="4"/>
        <v>0.99239912584617018</v>
      </c>
      <c r="S4" s="2">
        <f t="shared" si="5"/>
        <v>0.77222333383696284</v>
      </c>
      <c r="T4" s="2">
        <f t="shared" si="6"/>
        <v>0.9714871464756013</v>
      </c>
      <c r="V4" s="3">
        <v>356.19</v>
      </c>
      <c r="W4" s="3">
        <v>142.91800000000001</v>
      </c>
      <c r="X4">
        <f t="shared" si="7"/>
        <v>142.91800000000001</v>
      </c>
      <c r="AD4" s="3">
        <v>0.18</v>
      </c>
      <c r="AE4">
        <f t="shared" si="8"/>
        <v>0.98734174742297742</v>
      </c>
    </row>
    <row r="5" spans="1:31" x14ac:dyDescent="0.2">
      <c r="A5" s="1" t="s">
        <v>19</v>
      </c>
      <c r="B5" s="3">
        <v>20</v>
      </c>
      <c r="C5" s="1">
        <v>8.1</v>
      </c>
      <c r="D5" s="3">
        <v>0.18</v>
      </c>
      <c r="E5" s="3">
        <v>361.06</v>
      </c>
      <c r="F5" s="3">
        <v>69.015000000000001</v>
      </c>
      <c r="G5" s="3">
        <v>263.73200000000003</v>
      </c>
      <c r="H5" s="3">
        <v>259.05099999999999</v>
      </c>
      <c r="I5" s="3">
        <v>253.02799999999999</v>
      </c>
      <c r="J5" s="3">
        <v>283.15199999999999</v>
      </c>
      <c r="K5" s="3">
        <v>152.48099999999999</v>
      </c>
      <c r="L5" s="3">
        <v>173.17</v>
      </c>
      <c r="M5" s="2"/>
      <c r="N5" s="2">
        <f t="shared" si="0"/>
        <v>1384.614</v>
      </c>
      <c r="O5" s="2">
        <f t="shared" si="1"/>
        <v>263.73200000000003</v>
      </c>
      <c r="P5" s="2">
        <f t="shared" si="2"/>
        <v>283.15199999999999</v>
      </c>
      <c r="Q5" s="2">
        <f t="shared" si="3"/>
        <v>173.17</v>
      </c>
      <c r="R5" s="2">
        <f t="shared" si="4"/>
        <v>0.98225092138989567</v>
      </c>
      <c r="S5" s="2">
        <f t="shared" si="5"/>
        <v>0.893611911623439</v>
      </c>
      <c r="T5" s="2">
        <f t="shared" si="6"/>
        <v>0.88052780504706363</v>
      </c>
      <c r="V5" s="3">
        <v>361.06</v>
      </c>
      <c r="W5" s="3">
        <v>173.17</v>
      </c>
      <c r="X5">
        <f t="shared" si="7"/>
        <v>173.17</v>
      </c>
      <c r="AD5" s="3">
        <v>0.18</v>
      </c>
      <c r="AE5">
        <f t="shared" si="8"/>
        <v>1.068061039626246</v>
      </c>
    </row>
    <row r="6" spans="1:31" x14ac:dyDescent="0.2">
      <c r="A6" s="1" t="s">
        <v>19</v>
      </c>
      <c r="B6" s="3">
        <v>20</v>
      </c>
      <c r="C6" s="1">
        <v>8.1</v>
      </c>
      <c r="D6" s="3">
        <v>0.18</v>
      </c>
      <c r="E6" s="3">
        <v>367.76</v>
      </c>
      <c r="F6" s="3">
        <v>70.69</v>
      </c>
      <c r="G6" s="3">
        <v>296.76600000000002</v>
      </c>
      <c r="H6" s="3">
        <v>285.714</v>
      </c>
      <c r="I6" s="3">
        <v>225.786</v>
      </c>
      <c r="J6" s="3">
        <v>233.715</v>
      </c>
      <c r="K6" s="3">
        <v>131.55500000000001</v>
      </c>
      <c r="L6" s="3">
        <v>137.405</v>
      </c>
      <c r="M6" s="2"/>
      <c r="N6" s="2">
        <f t="shared" si="0"/>
        <v>1310.941</v>
      </c>
      <c r="O6" s="2">
        <f t="shared" si="1"/>
        <v>296.76600000000002</v>
      </c>
      <c r="P6" s="2">
        <f t="shared" si="2"/>
        <v>233.715</v>
      </c>
      <c r="Q6" s="2">
        <f t="shared" si="3"/>
        <v>137.405</v>
      </c>
      <c r="R6" s="2">
        <f t="shared" si="4"/>
        <v>0.96275853702917447</v>
      </c>
      <c r="S6" s="2">
        <f t="shared" si="5"/>
        <v>0.96607406456581735</v>
      </c>
      <c r="T6" s="2">
        <f t="shared" si="6"/>
        <v>0.95742513008988028</v>
      </c>
      <c r="V6" s="3">
        <v>367.76</v>
      </c>
      <c r="W6" s="3">
        <v>137.405</v>
      </c>
      <c r="X6">
        <f t="shared" si="7"/>
        <v>137.405</v>
      </c>
      <c r="AD6" s="3">
        <v>0.18</v>
      </c>
      <c r="AE6">
        <f t="shared" si="8"/>
        <v>0.93945460942052939</v>
      </c>
    </row>
    <row r="7" spans="1:31" x14ac:dyDescent="0.2">
      <c r="A7" s="1" t="s">
        <v>19</v>
      </c>
      <c r="B7" s="3">
        <v>20</v>
      </c>
      <c r="C7" s="1">
        <v>8.1</v>
      </c>
      <c r="D7" s="3">
        <v>0.18</v>
      </c>
      <c r="E7" s="3">
        <v>383.31</v>
      </c>
      <c r="F7" s="3">
        <v>74.577500000000001</v>
      </c>
      <c r="G7" s="3">
        <v>272.34800000000001</v>
      </c>
      <c r="H7" s="3">
        <v>277.38400000000001</v>
      </c>
      <c r="I7" s="3">
        <v>204.125</v>
      </c>
      <c r="J7" s="3">
        <v>196.07</v>
      </c>
      <c r="K7" s="3">
        <v>165.90100000000001</v>
      </c>
      <c r="L7" s="3">
        <v>116.34699999999999</v>
      </c>
      <c r="M7" s="2"/>
      <c r="N7" s="2">
        <f t="shared" si="0"/>
        <v>1232.175</v>
      </c>
      <c r="O7" s="2">
        <f t="shared" si="1"/>
        <v>277.38400000000001</v>
      </c>
      <c r="P7" s="2">
        <f t="shared" si="2"/>
        <v>204.125</v>
      </c>
      <c r="Q7" s="2">
        <f t="shared" si="3"/>
        <v>165.90100000000001</v>
      </c>
      <c r="R7" s="2">
        <f t="shared" si="4"/>
        <v>0.98184466299426065</v>
      </c>
      <c r="S7" s="2">
        <f t="shared" si="5"/>
        <v>0.96053888548683397</v>
      </c>
      <c r="T7" s="2">
        <f t="shared" si="6"/>
        <v>0.70130378960946582</v>
      </c>
      <c r="V7" s="3">
        <v>383.31</v>
      </c>
      <c r="W7" s="3">
        <v>165.90100000000001</v>
      </c>
      <c r="X7">
        <f t="shared" si="7"/>
        <v>165.90100000000001</v>
      </c>
      <c r="AD7" s="3">
        <v>0.18</v>
      </c>
      <c r="AE7">
        <f t="shared" si="8"/>
        <v>0.98477960347813287</v>
      </c>
    </row>
    <row r="8" spans="1:31" x14ac:dyDescent="0.2">
      <c r="A8" s="1" t="s">
        <v>19</v>
      </c>
      <c r="B8" s="3">
        <v>20</v>
      </c>
      <c r="C8" s="1">
        <v>8.1</v>
      </c>
      <c r="D8" s="3">
        <v>0.18</v>
      </c>
      <c r="E8" s="3">
        <v>359.06</v>
      </c>
      <c r="F8" s="3">
        <v>68.515000000000001</v>
      </c>
      <c r="G8" s="3">
        <v>261.14299999999997</v>
      </c>
      <c r="H8" s="3">
        <v>261.512</v>
      </c>
      <c r="I8" s="3">
        <v>142.54599999999999</v>
      </c>
      <c r="J8" s="3">
        <v>166.28</v>
      </c>
      <c r="K8" s="3">
        <v>139.91900000000001</v>
      </c>
      <c r="L8" s="3">
        <v>138.11199999999999</v>
      </c>
      <c r="M8" s="2"/>
      <c r="N8" s="2">
        <f t="shared" si="0"/>
        <v>1109.5119999999999</v>
      </c>
      <c r="O8" s="2">
        <f t="shared" si="1"/>
        <v>261.512</v>
      </c>
      <c r="P8" s="2">
        <f t="shared" si="2"/>
        <v>166.28</v>
      </c>
      <c r="Q8" s="2">
        <f t="shared" si="3"/>
        <v>139.91900000000001</v>
      </c>
      <c r="R8" s="2">
        <f t="shared" si="4"/>
        <v>0.99858897488451759</v>
      </c>
      <c r="S8" s="2">
        <f t="shared" si="5"/>
        <v>0.85726485446235257</v>
      </c>
      <c r="T8" s="2">
        <f t="shared" si="6"/>
        <v>0.98708538511567401</v>
      </c>
      <c r="V8" s="3">
        <v>359.06</v>
      </c>
      <c r="W8" s="3">
        <v>139.91900000000001</v>
      </c>
      <c r="X8">
        <f t="shared" si="7"/>
        <v>139.91900000000001</v>
      </c>
      <c r="AD8" s="3">
        <v>0.18</v>
      </c>
      <c r="AE8">
        <f t="shared" si="8"/>
        <v>0.9700756864647766</v>
      </c>
    </row>
    <row r="9" spans="1:31" x14ac:dyDescent="0.2">
      <c r="A9" s="1" t="s">
        <v>19</v>
      </c>
      <c r="B9" s="3">
        <v>20</v>
      </c>
      <c r="C9" s="1">
        <v>8.1</v>
      </c>
      <c r="D9" s="3">
        <v>0.18</v>
      </c>
      <c r="E9" s="3">
        <v>347.84</v>
      </c>
      <c r="F9" s="3">
        <v>65.709999999999994</v>
      </c>
      <c r="G9" s="3">
        <v>251.02799999999999</v>
      </c>
      <c r="H9" s="3">
        <v>281.029</v>
      </c>
      <c r="I9" s="3">
        <v>193.066</v>
      </c>
      <c r="J9" s="3">
        <v>254.8</v>
      </c>
      <c r="K9" s="3">
        <v>151.602</v>
      </c>
      <c r="L9" s="3">
        <v>139.12799999999999</v>
      </c>
      <c r="M9" s="2"/>
      <c r="N9" s="2">
        <f t="shared" si="0"/>
        <v>1270.653</v>
      </c>
      <c r="O9" s="2">
        <f t="shared" si="1"/>
        <v>281.029</v>
      </c>
      <c r="P9" s="2">
        <f t="shared" si="2"/>
        <v>254.8</v>
      </c>
      <c r="Q9" s="2">
        <f t="shared" si="3"/>
        <v>151.602</v>
      </c>
      <c r="R9" s="2">
        <f t="shared" si="4"/>
        <v>0.893245892772632</v>
      </c>
      <c r="S9" s="2">
        <f t="shared" si="5"/>
        <v>0.75771585557299836</v>
      </c>
      <c r="T9" s="2">
        <f t="shared" si="6"/>
        <v>0.91771876360470162</v>
      </c>
      <c r="V9" s="3">
        <v>347.84</v>
      </c>
      <c r="W9" s="3">
        <v>151.602</v>
      </c>
      <c r="X9">
        <f t="shared" si="7"/>
        <v>151.602</v>
      </c>
      <c r="AD9" s="3">
        <v>0.18</v>
      </c>
      <c r="AE9">
        <f t="shared" si="8"/>
        <v>1.0390628145917937</v>
      </c>
    </row>
    <row r="10" spans="1:31" x14ac:dyDescent="0.2">
      <c r="A10" s="1" t="s">
        <v>19</v>
      </c>
      <c r="B10" s="3">
        <v>20</v>
      </c>
      <c r="C10" s="1">
        <v>8.1</v>
      </c>
      <c r="D10" s="3">
        <v>0.18</v>
      </c>
      <c r="E10" s="3">
        <v>365.61</v>
      </c>
      <c r="F10" s="3">
        <v>70.152500000000003</v>
      </c>
      <c r="G10" s="3">
        <v>256.86500000000001</v>
      </c>
      <c r="H10" s="3">
        <v>250.65899999999999</v>
      </c>
      <c r="I10" s="3">
        <v>252.24199999999999</v>
      </c>
      <c r="J10" s="3">
        <v>274.233</v>
      </c>
      <c r="K10" s="3">
        <v>157.71899999999999</v>
      </c>
      <c r="L10" s="3">
        <v>167.566</v>
      </c>
      <c r="M10" s="2"/>
      <c r="N10" s="2">
        <f t="shared" si="0"/>
        <v>1359.2840000000001</v>
      </c>
      <c r="O10" s="2">
        <f t="shared" si="1"/>
        <v>256.86500000000001</v>
      </c>
      <c r="P10" s="2">
        <f t="shared" si="2"/>
        <v>274.233</v>
      </c>
      <c r="Q10" s="2">
        <f t="shared" si="3"/>
        <v>167.566</v>
      </c>
      <c r="R10" s="2">
        <f t="shared" si="4"/>
        <v>0.97583944873766371</v>
      </c>
      <c r="S10" s="2">
        <f t="shared" si="5"/>
        <v>0.91980906747182134</v>
      </c>
      <c r="T10" s="2">
        <f t="shared" si="6"/>
        <v>0.94123509542508621</v>
      </c>
      <c r="V10" s="3">
        <v>365.61</v>
      </c>
      <c r="W10" s="3">
        <v>167.566</v>
      </c>
      <c r="X10">
        <f t="shared" si="7"/>
        <v>167.566</v>
      </c>
      <c r="AD10" s="3">
        <v>0.18</v>
      </c>
      <c r="AE10">
        <f t="shared" si="8"/>
        <v>1.0375661406358963</v>
      </c>
    </row>
    <row r="11" spans="1:31" x14ac:dyDescent="0.2">
      <c r="A11" s="1" t="s">
        <v>19</v>
      </c>
      <c r="B11" s="3">
        <v>20</v>
      </c>
      <c r="C11" s="1">
        <v>8.1</v>
      </c>
      <c r="D11" s="3">
        <v>0.18</v>
      </c>
      <c r="E11" s="3">
        <v>410.65</v>
      </c>
      <c r="F11" s="3">
        <v>81.412499999999994</v>
      </c>
      <c r="G11" s="3">
        <v>294.226</v>
      </c>
      <c r="H11" s="3">
        <v>315.02800000000002</v>
      </c>
      <c r="I11" s="3">
        <v>317.47199999999998</v>
      </c>
      <c r="J11" s="3">
        <v>341.36700000000002</v>
      </c>
      <c r="K11" s="3">
        <v>197.36</v>
      </c>
      <c r="L11" s="3">
        <v>176.26599999999999</v>
      </c>
      <c r="M11" s="2"/>
      <c r="N11" s="2">
        <f t="shared" si="0"/>
        <v>1641.7190000000001</v>
      </c>
      <c r="O11" s="2">
        <f t="shared" si="1"/>
        <v>315.02800000000002</v>
      </c>
      <c r="P11" s="2">
        <f t="shared" si="2"/>
        <v>341.36700000000002</v>
      </c>
      <c r="Q11" s="2">
        <f t="shared" si="3"/>
        <v>197.36</v>
      </c>
      <c r="R11" s="2">
        <f t="shared" si="4"/>
        <v>0.93396777429307865</v>
      </c>
      <c r="S11" s="2">
        <f t="shared" si="5"/>
        <v>0.93000202128500986</v>
      </c>
      <c r="T11" s="2">
        <f t="shared" si="6"/>
        <v>0.89311917308471822</v>
      </c>
      <c r="V11" s="3">
        <v>410.65</v>
      </c>
      <c r="W11" s="3">
        <v>197.36</v>
      </c>
      <c r="X11">
        <f t="shared" si="7"/>
        <v>197.36</v>
      </c>
      <c r="AD11" s="3">
        <v>0.18</v>
      </c>
      <c r="AE11">
        <f t="shared" si="8"/>
        <v>1.0051951526849048</v>
      </c>
    </row>
    <row r="12" spans="1:31" x14ac:dyDescent="0.2">
      <c r="A12" s="1" t="s">
        <v>19</v>
      </c>
      <c r="B12" s="3">
        <v>20</v>
      </c>
      <c r="C12" s="1">
        <v>8.1</v>
      </c>
      <c r="D12" s="3">
        <v>3</v>
      </c>
      <c r="E12" s="3">
        <v>423.69</v>
      </c>
      <c r="F12" s="3">
        <v>84.672499999999999</v>
      </c>
      <c r="G12" s="3">
        <v>328.22500000000002</v>
      </c>
      <c r="H12" s="3">
        <v>340.596</v>
      </c>
      <c r="I12" s="3">
        <v>232.03200000000001</v>
      </c>
      <c r="J12" s="3">
        <v>240.452</v>
      </c>
      <c r="K12" s="3">
        <v>172.047</v>
      </c>
      <c r="L12" s="3">
        <v>153.501</v>
      </c>
      <c r="M12" s="2"/>
      <c r="N12" s="2">
        <f t="shared" si="0"/>
        <v>1466.8530000000001</v>
      </c>
      <c r="O12" s="2">
        <f t="shared" si="1"/>
        <v>340.596</v>
      </c>
      <c r="P12" s="2">
        <f t="shared" si="2"/>
        <v>240.452</v>
      </c>
      <c r="Q12" s="2">
        <f t="shared" si="3"/>
        <v>172.047</v>
      </c>
      <c r="R12" s="2">
        <f t="shared" si="4"/>
        <v>0.96367837555344171</v>
      </c>
      <c r="S12" s="2">
        <f t="shared" si="5"/>
        <v>0.96498261607306246</v>
      </c>
      <c r="T12" s="2">
        <f t="shared" si="6"/>
        <v>0.89220387452265959</v>
      </c>
      <c r="V12" s="3">
        <v>423.69</v>
      </c>
      <c r="W12" s="3">
        <v>172.047</v>
      </c>
      <c r="Y12">
        <f>W12</f>
        <v>172.047</v>
      </c>
      <c r="AD12" s="3">
        <v>3</v>
      </c>
      <c r="AE12">
        <f t="shared" si="8"/>
        <v>0.90720512019102961</v>
      </c>
    </row>
    <row r="13" spans="1:31" x14ac:dyDescent="0.2">
      <c r="A13" s="1" t="s">
        <v>19</v>
      </c>
      <c r="B13" s="3">
        <v>20</v>
      </c>
      <c r="C13" s="1">
        <v>8.1</v>
      </c>
      <c r="D13" s="3">
        <v>3</v>
      </c>
      <c r="E13" s="3">
        <v>364.09</v>
      </c>
      <c r="F13" s="3">
        <v>69.772499999999994</v>
      </c>
      <c r="G13" s="3">
        <v>273.45100000000002</v>
      </c>
      <c r="H13" s="3">
        <v>287.11</v>
      </c>
      <c r="I13" s="3">
        <v>197.50399999999999</v>
      </c>
      <c r="J13" s="3">
        <v>189.41900000000001</v>
      </c>
      <c r="K13" s="3">
        <v>152.45699999999999</v>
      </c>
      <c r="L13" s="3">
        <v>159.834</v>
      </c>
      <c r="M13" s="2"/>
      <c r="N13" s="2">
        <f t="shared" si="0"/>
        <v>1259.7750000000001</v>
      </c>
      <c r="O13" s="2">
        <f t="shared" si="1"/>
        <v>287.11</v>
      </c>
      <c r="P13" s="2">
        <f t="shared" si="2"/>
        <v>197.50399999999999</v>
      </c>
      <c r="Q13" s="2">
        <f t="shared" si="3"/>
        <v>159.834</v>
      </c>
      <c r="R13" s="2">
        <f t="shared" si="4"/>
        <v>0.95242589948103518</v>
      </c>
      <c r="S13" s="2">
        <f t="shared" si="5"/>
        <v>0.95906412022035004</v>
      </c>
      <c r="T13" s="2">
        <f t="shared" si="6"/>
        <v>0.95384586508502567</v>
      </c>
      <c r="V13" s="3">
        <v>364.09</v>
      </c>
      <c r="W13" s="3">
        <v>159.834</v>
      </c>
      <c r="Y13">
        <f t="shared" ref="Y13:Y20" si="9">W13</f>
        <v>159.834</v>
      </c>
      <c r="AD13" s="3">
        <v>3</v>
      </c>
      <c r="AE13">
        <f t="shared" si="8"/>
        <v>1.0180632993673726</v>
      </c>
    </row>
    <row r="14" spans="1:31" x14ac:dyDescent="0.2">
      <c r="A14" s="1" t="s">
        <v>19</v>
      </c>
      <c r="B14" s="3">
        <v>20</v>
      </c>
      <c r="C14" s="1">
        <v>8.1</v>
      </c>
      <c r="D14" s="3">
        <v>3</v>
      </c>
      <c r="E14" s="3">
        <v>369.7</v>
      </c>
      <c r="F14" s="3">
        <v>71.174999999999997</v>
      </c>
      <c r="G14" s="3">
        <v>242.68100000000001</v>
      </c>
      <c r="H14" s="3">
        <v>248.00700000000001</v>
      </c>
      <c r="I14" s="3">
        <v>188.29</v>
      </c>
      <c r="J14" s="3">
        <v>227.9</v>
      </c>
      <c r="K14" s="3">
        <v>205.114</v>
      </c>
      <c r="L14" s="3">
        <v>126.372</v>
      </c>
      <c r="M14" s="2"/>
      <c r="N14" s="2">
        <f t="shared" si="0"/>
        <v>1238.364</v>
      </c>
      <c r="O14" s="2">
        <f t="shared" si="1"/>
        <v>248.00700000000001</v>
      </c>
      <c r="P14" s="2">
        <f t="shared" si="2"/>
        <v>227.9</v>
      </c>
      <c r="Q14" s="2">
        <f t="shared" si="3"/>
        <v>205.114</v>
      </c>
      <c r="R14" s="2">
        <f t="shared" si="4"/>
        <v>0.97852479970323425</v>
      </c>
      <c r="S14" s="2">
        <f t="shared" si="5"/>
        <v>0.82619569986836328</v>
      </c>
      <c r="T14" s="2">
        <f t="shared" si="6"/>
        <v>0.61610616535195062</v>
      </c>
      <c r="V14" s="3">
        <v>369.7</v>
      </c>
      <c r="W14" s="3">
        <v>205.114</v>
      </c>
      <c r="Y14">
        <f t="shared" si="9"/>
        <v>205.114</v>
      </c>
      <c r="AD14" s="3">
        <v>3</v>
      </c>
      <c r="AE14">
        <f t="shared" si="8"/>
        <v>1.1400756581533789</v>
      </c>
    </row>
    <row r="15" spans="1:31" x14ac:dyDescent="0.2">
      <c r="A15" s="1" t="s">
        <v>19</v>
      </c>
      <c r="B15" s="3">
        <v>20</v>
      </c>
      <c r="C15" s="1">
        <v>8.1</v>
      </c>
      <c r="D15" s="3">
        <v>3</v>
      </c>
      <c r="E15" s="3">
        <v>366.24</v>
      </c>
      <c r="F15" s="3">
        <v>70.31</v>
      </c>
      <c r="G15" s="3">
        <v>266.00099999999998</v>
      </c>
      <c r="H15" s="3">
        <v>253.898</v>
      </c>
      <c r="I15" s="3">
        <v>203.77099999999999</v>
      </c>
      <c r="J15" s="3">
        <v>184.49199999999999</v>
      </c>
      <c r="K15" s="3">
        <v>199.78200000000001</v>
      </c>
      <c r="L15" s="3">
        <v>146.208</v>
      </c>
      <c r="M15" s="2"/>
      <c r="N15" s="2">
        <f t="shared" si="0"/>
        <v>1254.152</v>
      </c>
      <c r="O15" s="2">
        <f t="shared" si="1"/>
        <v>266.00099999999998</v>
      </c>
      <c r="P15" s="2">
        <f t="shared" si="2"/>
        <v>203.77099999999999</v>
      </c>
      <c r="Q15" s="2">
        <f t="shared" si="3"/>
        <v>199.78200000000001</v>
      </c>
      <c r="R15" s="2">
        <f t="shared" si="4"/>
        <v>0.95450017105198859</v>
      </c>
      <c r="S15" s="2">
        <f t="shared" si="5"/>
        <v>0.90538889243317255</v>
      </c>
      <c r="T15" s="2">
        <f t="shared" si="6"/>
        <v>0.73183770309637497</v>
      </c>
      <c r="V15" s="3">
        <v>366.24</v>
      </c>
      <c r="W15" s="3">
        <v>199.78200000000001</v>
      </c>
      <c r="Y15">
        <f t="shared" si="9"/>
        <v>199.78200000000001</v>
      </c>
      <c r="AD15" s="3">
        <v>3</v>
      </c>
      <c r="AE15">
        <f t="shared" si="8"/>
        <v>1.1345065626411193</v>
      </c>
    </row>
    <row r="16" spans="1:31" x14ac:dyDescent="0.2">
      <c r="A16" s="1" t="s">
        <v>19</v>
      </c>
      <c r="B16" s="3">
        <v>20</v>
      </c>
      <c r="C16" s="1">
        <v>8.1</v>
      </c>
      <c r="D16" s="3">
        <v>3</v>
      </c>
      <c r="E16" s="3">
        <v>391.35</v>
      </c>
      <c r="F16" s="3">
        <v>76.587500000000006</v>
      </c>
      <c r="G16" s="3">
        <v>264.38900000000001</v>
      </c>
      <c r="H16" s="3">
        <v>267.49700000000001</v>
      </c>
      <c r="I16" s="3">
        <v>208.066</v>
      </c>
      <c r="J16" s="3">
        <v>255.76300000000001</v>
      </c>
      <c r="K16" s="3">
        <v>152.971</v>
      </c>
      <c r="L16" s="3">
        <v>166.501</v>
      </c>
      <c r="M16" s="2"/>
      <c r="N16" s="2">
        <f t="shared" si="0"/>
        <v>1315.1870000000001</v>
      </c>
      <c r="O16" s="2">
        <f t="shared" si="1"/>
        <v>267.49700000000001</v>
      </c>
      <c r="P16" s="2">
        <f t="shared" si="2"/>
        <v>255.76300000000001</v>
      </c>
      <c r="Q16" s="2">
        <f t="shared" si="3"/>
        <v>166.501</v>
      </c>
      <c r="R16" s="2">
        <f t="shared" si="4"/>
        <v>0.98838117810667037</v>
      </c>
      <c r="S16" s="2">
        <f t="shared" si="5"/>
        <v>0.81351094568018045</v>
      </c>
      <c r="T16" s="2">
        <f t="shared" si="6"/>
        <v>0.91873922679143072</v>
      </c>
      <c r="V16" s="3">
        <v>391.35</v>
      </c>
      <c r="W16" s="3">
        <v>166.501</v>
      </c>
      <c r="Y16">
        <f t="shared" si="9"/>
        <v>166.501</v>
      </c>
      <c r="AD16" s="3">
        <v>3</v>
      </c>
      <c r="AE16">
        <f t="shared" si="8"/>
        <v>0.96626873765837185</v>
      </c>
    </row>
    <row r="17" spans="1:31" x14ac:dyDescent="0.2">
      <c r="A17" s="1" t="s">
        <v>19</v>
      </c>
      <c r="B17" s="3">
        <v>20</v>
      </c>
      <c r="C17" s="1">
        <v>8.1</v>
      </c>
      <c r="D17" s="3">
        <v>3</v>
      </c>
      <c r="E17" s="3">
        <v>403.63</v>
      </c>
      <c r="F17" s="3">
        <v>79.657499999999999</v>
      </c>
      <c r="G17" s="3">
        <v>274.73500000000001</v>
      </c>
      <c r="H17" s="3">
        <v>285.08800000000002</v>
      </c>
      <c r="I17" s="3">
        <v>296.76400000000001</v>
      </c>
      <c r="J17" s="3">
        <v>269.50700000000001</v>
      </c>
      <c r="K17" s="3">
        <v>186.50800000000001</v>
      </c>
      <c r="L17" s="3">
        <v>220.34299999999999</v>
      </c>
      <c r="M17" s="2"/>
      <c r="N17" s="2">
        <f t="shared" si="0"/>
        <v>1532.9450000000002</v>
      </c>
      <c r="O17" s="2">
        <f t="shared" si="1"/>
        <v>285.08800000000002</v>
      </c>
      <c r="P17" s="2">
        <f t="shared" si="2"/>
        <v>296.76400000000001</v>
      </c>
      <c r="Q17" s="2">
        <f t="shared" si="3"/>
        <v>220.34299999999999</v>
      </c>
      <c r="R17" s="2">
        <f t="shared" si="4"/>
        <v>0.96368489729487028</v>
      </c>
      <c r="S17" s="2">
        <f t="shared" si="5"/>
        <v>0.90815260611125337</v>
      </c>
      <c r="T17" s="2">
        <f t="shared" si="6"/>
        <v>0.84644395329100552</v>
      </c>
      <c r="V17" s="3">
        <v>403.63</v>
      </c>
      <c r="W17" s="3">
        <v>220.34299999999999</v>
      </c>
      <c r="Y17">
        <f t="shared" si="9"/>
        <v>220.34299999999999</v>
      </c>
      <c r="AD17" s="3">
        <v>3</v>
      </c>
      <c r="AE17">
        <f t="shared" si="8"/>
        <v>1.0865842535110595</v>
      </c>
    </row>
    <row r="18" spans="1:31" x14ac:dyDescent="0.2">
      <c r="A18" s="1" t="s">
        <v>19</v>
      </c>
      <c r="B18" s="3">
        <v>20</v>
      </c>
      <c r="C18" s="1">
        <v>8.1</v>
      </c>
      <c r="D18" s="3">
        <v>3</v>
      </c>
      <c r="E18" s="3">
        <v>379.08</v>
      </c>
      <c r="F18" s="3">
        <v>73.52</v>
      </c>
      <c r="G18" s="3">
        <v>281.52</v>
      </c>
      <c r="H18" s="3">
        <v>280.803</v>
      </c>
      <c r="I18" s="3">
        <v>214.435</v>
      </c>
      <c r="J18" s="3">
        <v>191.91499999999999</v>
      </c>
      <c r="K18" s="3">
        <v>182.857</v>
      </c>
      <c r="L18" s="3">
        <v>98.915999999999997</v>
      </c>
      <c r="M18" s="2"/>
      <c r="N18" s="2">
        <f t="shared" si="0"/>
        <v>1250.4459999999999</v>
      </c>
      <c r="O18" s="2">
        <f t="shared" si="1"/>
        <v>281.52</v>
      </c>
      <c r="P18" s="2">
        <f t="shared" si="2"/>
        <v>214.435</v>
      </c>
      <c r="Q18" s="2">
        <f t="shared" si="3"/>
        <v>182.857</v>
      </c>
      <c r="R18" s="2">
        <f t="shared" si="4"/>
        <v>0.9974531116794545</v>
      </c>
      <c r="S18" s="2">
        <f t="shared" si="5"/>
        <v>0.89497983071793308</v>
      </c>
      <c r="T18" s="2">
        <f t="shared" si="6"/>
        <v>0.54094729761507621</v>
      </c>
      <c r="V18" s="3">
        <v>379.08</v>
      </c>
      <c r="W18" s="3">
        <v>182.857</v>
      </c>
      <c r="Y18">
        <f t="shared" si="9"/>
        <v>182.857</v>
      </c>
      <c r="AD18" s="3">
        <v>3</v>
      </c>
      <c r="AE18">
        <f t="shared" si="8"/>
        <v>1.045969644506453</v>
      </c>
    </row>
    <row r="19" spans="1:31" x14ac:dyDescent="0.2">
      <c r="A19" s="1" t="s">
        <v>19</v>
      </c>
      <c r="B19" s="3">
        <v>20</v>
      </c>
      <c r="C19" s="1">
        <v>8.1</v>
      </c>
      <c r="D19" s="3">
        <v>3</v>
      </c>
      <c r="E19" s="3">
        <v>375.82</v>
      </c>
      <c r="F19" s="3">
        <v>72.704999999999998</v>
      </c>
      <c r="G19" s="3">
        <v>278.798</v>
      </c>
      <c r="H19" s="3">
        <v>273.67200000000003</v>
      </c>
      <c r="I19" s="3">
        <v>211.87799999999999</v>
      </c>
      <c r="J19" s="3">
        <v>241.40600000000001</v>
      </c>
      <c r="K19" s="3">
        <v>172.56299999999999</v>
      </c>
      <c r="L19" s="3">
        <v>176.46199999999999</v>
      </c>
      <c r="M19" s="2"/>
      <c r="N19" s="2">
        <f t="shared" si="0"/>
        <v>1354.779</v>
      </c>
      <c r="O19" s="2">
        <f t="shared" si="1"/>
        <v>278.798</v>
      </c>
      <c r="P19" s="2">
        <f t="shared" si="2"/>
        <v>241.40600000000001</v>
      </c>
      <c r="Q19" s="2">
        <f t="shared" si="3"/>
        <v>176.46199999999999</v>
      </c>
      <c r="R19" s="2">
        <f t="shared" si="4"/>
        <v>0.98161392836390515</v>
      </c>
      <c r="S19" s="2">
        <f t="shared" si="5"/>
        <v>0.87768323902471346</v>
      </c>
      <c r="T19" s="2">
        <f t="shared" si="6"/>
        <v>0.97790459135677932</v>
      </c>
      <c r="V19" s="3">
        <v>375.82</v>
      </c>
      <c r="W19" s="3">
        <v>176.46199999999999</v>
      </c>
      <c r="Y19">
        <f t="shared" si="9"/>
        <v>176.46199999999999</v>
      </c>
      <c r="AD19" s="3">
        <v>3</v>
      </c>
      <c r="AE19">
        <f t="shared" si="8"/>
        <v>1.0359449842890498</v>
      </c>
    </row>
    <row r="20" spans="1:31" x14ac:dyDescent="0.2">
      <c r="A20" s="1" t="s">
        <v>19</v>
      </c>
      <c r="B20" s="3">
        <v>20</v>
      </c>
      <c r="C20" s="1">
        <v>8.1</v>
      </c>
      <c r="D20" s="3">
        <v>3</v>
      </c>
      <c r="E20" s="3">
        <v>380.94</v>
      </c>
      <c r="F20" s="3">
        <v>73.984999999999999</v>
      </c>
      <c r="G20" s="3">
        <v>254.69</v>
      </c>
      <c r="H20" s="3">
        <v>314.24900000000002</v>
      </c>
      <c r="I20" s="3">
        <v>192.3</v>
      </c>
      <c r="J20" s="3">
        <v>189.18899999999999</v>
      </c>
      <c r="K20" s="3">
        <v>188.56899999999999</v>
      </c>
      <c r="L20" s="3">
        <v>131.744</v>
      </c>
      <c r="M20" s="2"/>
      <c r="N20" s="2">
        <f t="shared" si="0"/>
        <v>1270.741</v>
      </c>
      <c r="O20" s="2">
        <f t="shared" si="1"/>
        <v>314.24900000000002</v>
      </c>
      <c r="P20" s="2">
        <f t="shared" si="2"/>
        <v>192.3</v>
      </c>
      <c r="Q20" s="2">
        <f t="shared" si="3"/>
        <v>188.56899999999999</v>
      </c>
      <c r="R20" s="2">
        <f t="shared" si="4"/>
        <v>0.81047195058695487</v>
      </c>
      <c r="S20" s="2">
        <f t="shared" si="5"/>
        <v>0.9838221528861153</v>
      </c>
      <c r="T20" s="2">
        <f t="shared" si="6"/>
        <v>0.69865142202588981</v>
      </c>
      <c r="V20" s="3">
        <v>380.94</v>
      </c>
      <c r="W20" s="3">
        <v>188.56899999999999</v>
      </c>
      <c r="Y20">
        <f t="shared" si="9"/>
        <v>188.56899999999999</v>
      </c>
      <c r="AD20" s="3">
        <v>3</v>
      </c>
      <c r="AE20">
        <f t="shared" si="8"/>
        <v>1.0576913615012353</v>
      </c>
    </row>
    <row r="21" spans="1:31" x14ac:dyDescent="0.2">
      <c r="A21" s="1" t="s">
        <v>19</v>
      </c>
      <c r="B21" s="3">
        <v>20</v>
      </c>
      <c r="C21" s="1">
        <v>8.1</v>
      </c>
      <c r="D21" s="3">
        <v>7</v>
      </c>
      <c r="E21" s="3">
        <v>377.41</v>
      </c>
      <c r="F21" s="3">
        <v>73.102500000000006</v>
      </c>
      <c r="G21" s="3">
        <v>278.601</v>
      </c>
      <c r="H21" s="3">
        <v>283.24299999999999</v>
      </c>
      <c r="I21" s="3">
        <v>299.041</v>
      </c>
      <c r="J21" s="3">
        <v>309.03800000000001</v>
      </c>
      <c r="K21" s="3">
        <v>213.92099999999999</v>
      </c>
      <c r="L21" s="3">
        <v>202.06899999999999</v>
      </c>
      <c r="M21" s="2"/>
      <c r="N21" s="2">
        <f t="shared" si="0"/>
        <v>1585.913</v>
      </c>
      <c r="O21" s="2">
        <f t="shared" si="1"/>
        <v>283.24299999999999</v>
      </c>
      <c r="P21" s="2">
        <f t="shared" si="2"/>
        <v>309.03800000000001</v>
      </c>
      <c r="Q21" s="2">
        <f t="shared" si="3"/>
        <v>213.92099999999999</v>
      </c>
      <c r="R21" s="2">
        <f t="shared" si="4"/>
        <v>0.98361124546767265</v>
      </c>
      <c r="S21" s="2">
        <f t="shared" si="5"/>
        <v>0.96765122735715348</v>
      </c>
      <c r="T21" s="2">
        <f t="shared" si="6"/>
        <v>0.94459636968787541</v>
      </c>
      <c r="V21" s="3">
        <v>377.41</v>
      </c>
      <c r="W21" s="3">
        <v>213.92099999999999</v>
      </c>
      <c r="Z21">
        <f>W21</f>
        <v>213.92099999999999</v>
      </c>
      <c r="AD21" s="3">
        <v>7</v>
      </c>
      <c r="AE21">
        <f t="shared" si="8"/>
        <v>1.1429754653304638</v>
      </c>
    </row>
    <row r="22" spans="1:31" x14ac:dyDescent="0.2">
      <c r="A22" s="1" t="s">
        <v>19</v>
      </c>
      <c r="B22" s="3">
        <v>20</v>
      </c>
      <c r="C22" s="1">
        <v>8.1</v>
      </c>
      <c r="D22" s="3">
        <v>7</v>
      </c>
      <c r="E22" s="3">
        <v>389.56</v>
      </c>
      <c r="F22" s="3">
        <v>76.14</v>
      </c>
      <c r="G22" s="3">
        <v>316.98500000000001</v>
      </c>
      <c r="H22" s="3">
        <v>310.85399999999998</v>
      </c>
      <c r="I22" s="3">
        <v>299.78300000000002</v>
      </c>
      <c r="J22" s="3">
        <v>303.72300000000001</v>
      </c>
      <c r="K22" s="3">
        <v>222.93199999999999</v>
      </c>
      <c r="L22" s="3">
        <v>202.23699999999999</v>
      </c>
      <c r="M22" s="2"/>
      <c r="N22" s="2">
        <f t="shared" si="0"/>
        <v>1656.5140000000001</v>
      </c>
      <c r="O22" s="2">
        <f t="shared" si="1"/>
        <v>316.98500000000001</v>
      </c>
      <c r="P22" s="2">
        <f t="shared" si="2"/>
        <v>303.72300000000001</v>
      </c>
      <c r="Q22" s="2">
        <f t="shared" si="3"/>
        <v>222.93199999999999</v>
      </c>
      <c r="R22" s="2">
        <f t="shared" si="4"/>
        <v>0.9806583907755887</v>
      </c>
      <c r="S22" s="2">
        <f t="shared" si="5"/>
        <v>0.98702765348689436</v>
      </c>
      <c r="T22" s="2">
        <f t="shared" si="6"/>
        <v>0.90716900220695107</v>
      </c>
      <c r="V22" s="3">
        <v>389.56</v>
      </c>
      <c r="W22" s="3">
        <v>222.93199999999999</v>
      </c>
      <c r="Z22">
        <f t="shared" ref="Z22:Z30" si="10">W22</f>
        <v>222.93199999999999</v>
      </c>
      <c r="AD22" s="3">
        <v>7</v>
      </c>
      <c r="AE22">
        <f t="shared" si="8"/>
        <v>1.1332881357182276</v>
      </c>
    </row>
    <row r="23" spans="1:31" x14ac:dyDescent="0.2">
      <c r="A23" s="1" t="s">
        <v>19</v>
      </c>
      <c r="B23" s="3">
        <v>20</v>
      </c>
      <c r="C23" s="1">
        <v>8.1</v>
      </c>
      <c r="D23" s="3">
        <v>7</v>
      </c>
      <c r="E23" s="3">
        <v>394.28</v>
      </c>
      <c r="F23" s="3">
        <v>77.319999999999993</v>
      </c>
      <c r="G23" s="3">
        <v>297.45400000000001</v>
      </c>
      <c r="H23" s="3">
        <v>283.66800000000001</v>
      </c>
      <c r="I23" s="3">
        <v>215.571</v>
      </c>
      <c r="J23" s="3">
        <v>193.733</v>
      </c>
      <c r="K23" s="3">
        <v>209.15700000000001</v>
      </c>
      <c r="L23" s="3">
        <v>206.94499999999999</v>
      </c>
      <c r="M23" s="2"/>
      <c r="N23" s="2">
        <f t="shared" si="0"/>
        <v>1406.528</v>
      </c>
      <c r="O23" s="2">
        <f t="shared" si="1"/>
        <v>297.45400000000001</v>
      </c>
      <c r="P23" s="2">
        <f t="shared" si="2"/>
        <v>215.571</v>
      </c>
      <c r="Q23" s="2">
        <f t="shared" si="3"/>
        <v>209.15700000000001</v>
      </c>
      <c r="R23" s="2">
        <f t="shared" si="4"/>
        <v>0.95365333799511853</v>
      </c>
      <c r="S23" s="2">
        <f t="shared" si="5"/>
        <v>0.89869694903303321</v>
      </c>
      <c r="T23" s="2">
        <f t="shared" si="6"/>
        <v>0.98942421243372192</v>
      </c>
      <c r="V23" s="3">
        <v>394.28</v>
      </c>
      <c r="W23" s="3">
        <v>209.15700000000001</v>
      </c>
      <c r="Z23">
        <f t="shared" si="10"/>
        <v>209.15700000000001</v>
      </c>
      <c r="AD23" s="3">
        <v>7</v>
      </c>
      <c r="AE23">
        <f t="shared" si="8"/>
        <v>1.0805102186861344</v>
      </c>
    </row>
    <row r="24" spans="1:31" x14ac:dyDescent="0.2">
      <c r="A24" s="1" t="s">
        <v>19</v>
      </c>
      <c r="B24" s="3">
        <v>20</v>
      </c>
      <c r="C24" s="1">
        <v>8.1</v>
      </c>
      <c r="D24" s="3">
        <v>7</v>
      </c>
      <c r="E24" s="3">
        <v>367.4</v>
      </c>
      <c r="F24" s="3">
        <v>70.599999999999994</v>
      </c>
      <c r="G24" s="3">
        <v>274.44</v>
      </c>
      <c r="H24" s="3">
        <v>284.75599999999997</v>
      </c>
      <c r="I24" s="3">
        <v>254.8</v>
      </c>
      <c r="J24" s="3">
        <v>290.69600000000003</v>
      </c>
      <c r="K24" s="3">
        <v>202.22300000000001</v>
      </c>
      <c r="L24" s="3">
        <v>191.465</v>
      </c>
      <c r="M24" s="2"/>
      <c r="N24" s="2">
        <f t="shared" si="0"/>
        <v>1498.3799999999999</v>
      </c>
      <c r="O24" s="2">
        <f t="shared" si="1"/>
        <v>284.75599999999997</v>
      </c>
      <c r="P24" s="2">
        <f t="shared" si="2"/>
        <v>290.69600000000003</v>
      </c>
      <c r="Q24" s="2">
        <f t="shared" si="3"/>
        <v>202.22300000000001</v>
      </c>
      <c r="R24" s="2">
        <f t="shared" si="4"/>
        <v>0.96377249294132528</v>
      </c>
      <c r="S24" s="2">
        <f t="shared" si="5"/>
        <v>0.87651704873820069</v>
      </c>
      <c r="T24" s="2">
        <f t="shared" si="6"/>
        <v>0.94680130351146996</v>
      </c>
      <c r="V24" s="3">
        <v>367.4</v>
      </c>
      <c r="W24" s="3">
        <v>202.22300000000001</v>
      </c>
      <c r="Z24">
        <f t="shared" si="10"/>
        <v>202.22300000000001</v>
      </c>
      <c r="AD24" s="3">
        <v>7</v>
      </c>
      <c r="AE24">
        <f t="shared" si="8"/>
        <v>1.1383813334457502</v>
      </c>
    </row>
    <row r="25" spans="1:31" x14ac:dyDescent="0.2">
      <c r="A25" s="1" t="s">
        <v>19</v>
      </c>
      <c r="B25" s="3">
        <v>20</v>
      </c>
      <c r="C25" s="1">
        <v>8.1</v>
      </c>
      <c r="D25" s="3">
        <v>7</v>
      </c>
      <c r="E25" s="3">
        <v>399.97</v>
      </c>
      <c r="F25" s="3">
        <v>78.742500000000007</v>
      </c>
      <c r="G25" s="3">
        <v>322.83199999999999</v>
      </c>
      <c r="H25" s="3">
        <v>327.06200000000001</v>
      </c>
      <c r="I25" s="3">
        <v>282.96699999999998</v>
      </c>
      <c r="J25" s="3">
        <v>270.49</v>
      </c>
      <c r="K25" s="3">
        <v>230.27699999999999</v>
      </c>
      <c r="L25" s="3">
        <v>240.733</v>
      </c>
      <c r="M25" s="2"/>
      <c r="N25" s="2">
        <f t="shared" si="0"/>
        <v>1674.3610000000001</v>
      </c>
      <c r="O25" s="2">
        <f t="shared" si="1"/>
        <v>327.06200000000001</v>
      </c>
      <c r="P25" s="2">
        <f t="shared" si="2"/>
        <v>282.96699999999998</v>
      </c>
      <c r="Q25" s="2">
        <f t="shared" si="3"/>
        <v>240.733</v>
      </c>
      <c r="R25" s="2">
        <f t="shared" si="4"/>
        <v>0.98706667237404522</v>
      </c>
      <c r="S25" s="2">
        <f t="shared" si="5"/>
        <v>0.95590651913474023</v>
      </c>
      <c r="T25" s="2">
        <f t="shared" si="6"/>
        <v>0.95656598804484627</v>
      </c>
      <c r="V25" s="3">
        <v>399.97</v>
      </c>
      <c r="W25" s="3">
        <v>240.733</v>
      </c>
      <c r="Z25">
        <f t="shared" si="10"/>
        <v>240.733</v>
      </c>
      <c r="AD25" s="3">
        <v>7</v>
      </c>
      <c r="AE25">
        <f t="shared" si="8"/>
        <v>1.1537425351794761</v>
      </c>
    </row>
    <row r="26" spans="1:31" x14ac:dyDescent="0.2">
      <c r="A26" s="1" t="s">
        <v>19</v>
      </c>
      <c r="B26" s="3">
        <v>20</v>
      </c>
      <c r="C26" s="1">
        <v>8.1</v>
      </c>
      <c r="D26" s="3">
        <v>7</v>
      </c>
      <c r="E26" s="3">
        <v>382.65</v>
      </c>
      <c r="F26" s="3">
        <v>74.412499999999994</v>
      </c>
      <c r="G26" s="3">
        <v>268.21699999999998</v>
      </c>
      <c r="H26" s="3">
        <v>257.50700000000001</v>
      </c>
      <c r="I26" s="3">
        <v>337.22500000000002</v>
      </c>
      <c r="J26" s="3">
        <v>320.43099999999998</v>
      </c>
      <c r="K26" s="3">
        <v>250.911</v>
      </c>
      <c r="L26" s="3">
        <v>247.023</v>
      </c>
      <c r="M26" s="2"/>
      <c r="N26" s="2">
        <f t="shared" si="0"/>
        <v>1681.3139999999999</v>
      </c>
      <c r="O26" s="2">
        <f t="shared" si="1"/>
        <v>268.21699999999998</v>
      </c>
      <c r="P26" s="2">
        <f t="shared" si="2"/>
        <v>337.22500000000002</v>
      </c>
      <c r="Q26" s="2">
        <f t="shared" si="3"/>
        <v>250.911</v>
      </c>
      <c r="R26" s="2">
        <f t="shared" si="4"/>
        <v>0.96006964510079529</v>
      </c>
      <c r="S26" s="2">
        <f t="shared" si="5"/>
        <v>0.95019942175105632</v>
      </c>
      <c r="T26" s="2">
        <f t="shared" si="6"/>
        <v>0.98450446572689121</v>
      </c>
      <c r="V26" s="3">
        <v>382.65</v>
      </c>
      <c r="W26" s="3">
        <v>250.911</v>
      </c>
      <c r="Z26">
        <f t="shared" si="10"/>
        <v>250.911</v>
      </c>
      <c r="AD26" s="3">
        <v>7</v>
      </c>
      <c r="AE26">
        <f t="shared" si="8"/>
        <v>1.2358173837332338</v>
      </c>
    </row>
    <row r="27" spans="1:31" x14ac:dyDescent="0.2">
      <c r="A27" s="1" t="s">
        <v>19</v>
      </c>
      <c r="B27" s="3">
        <v>20</v>
      </c>
      <c r="C27" s="1">
        <v>8.1</v>
      </c>
      <c r="D27" s="3">
        <v>7</v>
      </c>
      <c r="E27" s="3">
        <v>389.64</v>
      </c>
      <c r="F27" s="3">
        <v>76.16</v>
      </c>
      <c r="G27" s="3">
        <v>291.52699999999999</v>
      </c>
      <c r="H27" s="3">
        <v>315.18599999999998</v>
      </c>
      <c r="I27" s="3">
        <v>297.108</v>
      </c>
      <c r="J27" s="3">
        <v>195.596</v>
      </c>
      <c r="K27" s="3">
        <v>200.679</v>
      </c>
      <c r="L27" s="3">
        <v>144.38499999999999</v>
      </c>
      <c r="M27" s="2"/>
      <c r="N27" s="2">
        <f t="shared" si="0"/>
        <v>1444.481</v>
      </c>
      <c r="O27" s="2">
        <f t="shared" si="1"/>
        <v>315.18599999999998</v>
      </c>
      <c r="P27" s="2">
        <f t="shared" si="2"/>
        <v>297.108</v>
      </c>
      <c r="Q27" s="2">
        <f t="shared" si="3"/>
        <v>200.679</v>
      </c>
      <c r="R27" s="2">
        <f t="shared" si="4"/>
        <v>0.9249363867684478</v>
      </c>
      <c r="S27" s="2">
        <f t="shared" si="5"/>
        <v>0.65833299675538859</v>
      </c>
      <c r="T27" s="2">
        <f t="shared" si="6"/>
        <v>0.71948235739663835</v>
      </c>
      <c r="V27" s="3">
        <v>389.64</v>
      </c>
      <c r="W27" s="3">
        <v>200.679</v>
      </c>
      <c r="Z27">
        <f t="shared" si="10"/>
        <v>200.679</v>
      </c>
      <c r="AD27" s="3">
        <v>7</v>
      </c>
      <c r="AE27">
        <f t="shared" si="8"/>
        <v>1.0689570308705922</v>
      </c>
    </row>
    <row r="28" spans="1:31" x14ac:dyDescent="0.2">
      <c r="A28" s="1" t="s">
        <v>19</v>
      </c>
      <c r="B28" s="3">
        <v>20</v>
      </c>
      <c r="C28" s="1">
        <v>8.1</v>
      </c>
      <c r="D28" s="3">
        <v>7</v>
      </c>
      <c r="E28" s="3">
        <v>368.09</v>
      </c>
      <c r="F28" s="3">
        <v>70.772499999999994</v>
      </c>
      <c r="G28" s="3">
        <v>267.06200000000001</v>
      </c>
      <c r="H28" s="3">
        <v>262.13600000000002</v>
      </c>
      <c r="I28" s="3">
        <v>231.44499999999999</v>
      </c>
      <c r="J28" s="3">
        <v>187.797</v>
      </c>
      <c r="K28" s="3">
        <v>172.83099999999999</v>
      </c>
      <c r="L28" s="3">
        <v>166.553</v>
      </c>
      <c r="M28" s="2"/>
      <c r="N28" s="2">
        <f t="shared" si="0"/>
        <v>1287.8240000000001</v>
      </c>
      <c r="O28" s="2">
        <f t="shared" si="1"/>
        <v>267.06200000000001</v>
      </c>
      <c r="P28" s="2">
        <f t="shared" si="2"/>
        <v>231.44499999999999</v>
      </c>
      <c r="Q28" s="2">
        <f t="shared" si="3"/>
        <v>172.83099999999999</v>
      </c>
      <c r="R28" s="2">
        <f t="shared" si="4"/>
        <v>0.98155484494237299</v>
      </c>
      <c r="S28" s="2">
        <f t="shared" si="5"/>
        <v>0.81141091836073365</v>
      </c>
      <c r="T28" s="2">
        <f t="shared" si="6"/>
        <v>0.96367549802986741</v>
      </c>
      <c r="V28" s="3">
        <v>368.09</v>
      </c>
      <c r="W28" s="3">
        <v>172.83099999999999</v>
      </c>
      <c r="Z28">
        <f t="shared" si="10"/>
        <v>172.83099999999999</v>
      </c>
      <c r="AD28" s="3">
        <v>7</v>
      </c>
      <c r="AE28">
        <f t="shared" si="8"/>
        <v>1.0466289428861988</v>
      </c>
    </row>
    <row r="29" spans="1:31" x14ac:dyDescent="0.2">
      <c r="A29" s="1" t="s">
        <v>19</v>
      </c>
      <c r="B29" s="3">
        <v>20</v>
      </c>
      <c r="C29" s="1">
        <v>8.1</v>
      </c>
      <c r="D29" s="3">
        <v>7</v>
      </c>
      <c r="E29" s="3">
        <v>379.88</v>
      </c>
      <c r="F29" s="3">
        <v>73.72</v>
      </c>
      <c r="G29" s="3">
        <v>240.89400000000001</v>
      </c>
      <c r="H29" s="3">
        <v>252.047</v>
      </c>
      <c r="I29" s="3">
        <v>319.70699999999999</v>
      </c>
      <c r="J29" s="3">
        <v>333.77</v>
      </c>
      <c r="K29" s="3">
        <v>253.22499999999999</v>
      </c>
      <c r="L29" s="3">
        <v>255.376</v>
      </c>
      <c r="M29" s="2"/>
      <c r="N29" s="2">
        <f t="shared" si="0"/>
        <v>1655.019</v>
      </c>
      <c r="O29" s="2">
        <f t="shared" si="1"/>
        <v>252.047</v>
      </c>
      <c r="P29" s="2">
        <f t="shared" si="2"/>
        <v>333.77</v>
      </c>
      <c r="Q29" s="2">
        <f t="shared" si="3"/>
        <v>255.376</v>
      </c>
      <c r="R29" s="2">
        <f t="shared" si="4"/>
        <v>0.95575031640924113</v>
      </c>
      <c r="S29" s="2">
        <f t="shared" si="5"/>
        <v>0.95786619528417771</v>
      </c>
      <c r="T29" s="2">
        <f t="shared" si="6"/>
        <v>0.99157712549339005</v>
      </c>
      <c r="V29" s="3">
        <v>379.88</v>
      </c>
      <c r="W29" s="3">
        <v>255.376</v>
      </c>
      <c r="Z29">
        <f t="shared" si="10"/>
        <v>255.376</v>
      </c>
      <c r="AD29" s="3">
        <v>7</v>
      </c>
      <c r="AE29">
        <f t="shared" si="8"/>
        <v>1.2580202833265206</v>
      </c>
    </row>
    <row r="30" spans="1:31" x14ac:dyDescent="0.2">
      <c r="A30" s="1" t="s">
        <v>19</v>
      </c>
      <c r="B30" s="3">
        <v>20</v>
      </c>
      <c r="C30" s="1">
        <v>8.1</v>
      </c>
      <c r="D30" s="3">
        <v>7</v>
      </c>
      <c r="E30" s="3">
        <v>394.59</v>
      </c>
      <c r="F30" s="3">
        <v>77.397499999999994</v>
      </c>
      <c r="G30" s="3">
        <v>292.584</v>
      </c>
      <c r="H30" s="3">
        <v>295.221</v>
      </c>
      <c r="I30" s="3">
        <v>300.24799999999999</v>
      </c>
      <c r="J30" s="3">
        <v>180.21100000000001</v>
      </c>
      <c r="K30" s="3">
        <v>179.209</v>
      </c>
      <c r="L30" s="3">
        <v>136.876</v>
      </c>
      <c r="M30" s="2"/>
      <c r="N30" s="2">
        <f t="shared" si="0"/>
        <v>1384.3490000000002</v>
      </c>
      <c r="O30" s="2">
        <f t="shared" si="1"/>
        <v>295.221</v>
      </c>
      <c r="P30" s="2">
        <f t="shared" si="2"/>
        <v>300.24799999999999</v>
      </c>
      <c r="Q30" s="2">
        <f t="shared" si="3"/>
        <v>179.209</v>
      </c>
      <c r="R30" s="2">
        <f t="shared" si="4"/>
        <v>0.99106770859796556</v>
      </c>
      <c r="S30" s="2">
        <f t="shared" si="5"/>
        <v>0.60020716207934777</v>
      </c>
      <c r="T30" s="2">
        <f t="shared" si="6"/>
        <v>0.76377860486917515</v>
      </c>
      <c r="V30" s="3">
        <v>394.59</v>
      </c>
      <c r="W30" s="3">
        <v>179.209</v>
      </c>
      <c r="Z30">
        <f t="shared" si="10"/>
        <v>179.209</v>
      </c>
      <c r="AD30" s="3">
        <v>7</v>
      </c>
      <c r="AE30">
        <f t="shared" si="8"/>
        <v>0.99448008501287444</v>
      </c>
    </row>
    <row r="31" spans="1:31" x14ac:dyDescent="0.2">
      <c r="A31" s="1" t="s">
        <v>19</v>
      </c>
      <c r="B31" s="3">
        <v>20</v>
      </c>
      <c r="C31" s="1">
        <v>8.1</v>
      </c>
      <c r="D31" s="3">
        <v>10</v>
      </c>
      <c r="E31" s="3">
        <v>387.12</v>
      </c>
      <c r="F31" s="3">
        <v>75.53</v>
      </c>
      <c r="G31" s="3">
        <v>280.75200000000001</v>
      </c>
      <c r="H31" s="3">
        <v>278.85300000000001</v>
      </c>
      <c r="I31" s="3">
        <v>264.17099999999999</v>
      </c>
      <c r="J31" s="3">
        <v>277.03100000000001</v>
      </c>
      <c r="K31" s="3">
        <v>169.8</v>
      </c>
      <c r="L31" s="3">
        <v>154.75700000000001</v>
      </c>
      <c r="M31" s="2"/>
      <c r="N31" s="2">
        <f t="shared" si="0"/>
        <v>1425.364</v>
      </c>
      <c r="O31" s="2">
        <f t="shared" si="1"/>
        <v>280.75200000000001</v>
      </c>
      <c r="P31" s="2">
        <f t="shared" si="2"/>
        <v>277.03100000000001</v>
      </c>
      <c r="Q31" s="2">
        <f t="shared" si="3"/>
        <v>169.8</v>
      </c>
      <c r="R31" s="2">
        <f t="shared" si="4"/>
        <v>0.99323602325183791</v>
      </c>
      <c r="S31" s="2">
        <f t="shared" si="5"/>
        <v>0.95357920232753735</v>
      </c>
      <c r="T31" s="2">
        <f t="shared" si="6"/>
        <v>0.91140753828032972</v>
      </c>
      <c r="V31" s="3">
        <v>387.12</v>
      </c>
      <c r="W31" s="3">
        <v>169.8</v>
      </c>
      <c r="AA31">
        <f>W31</f>
        <v>169.8</v>
      </c>
      <c r="AD31" s="3">
        <v>10</v>
      </c>
      <c r="AE31">
        <f t="shared" si="8"/>
        <v>0.98639143379792271</v>
      </c>
    </row>
    <row r="32" spans="1:31" x14ac:dyDescent="0.2">
      <c r="A32" s="1" t="s">
        <v>19</v>
      </c>
      <c r="B32" s="3">
        <v>20</v>
      </c>
      <c r="C32" s="1">
        <v>8.1</v>
      </c>
      <c r="D32" s="3">
        <v>10</v>
      </c>
      <c r="E32" s="3">
        <v>368.83</v>
      </c>
      <c r="F32" s="3">
        <v>70.957499999999996</v>
      </c>
      <c r="G32" s="3">
        <v>275.03699999999998</v>
      </c>
      <c r="H32" s="3">
        <v>289.35700000000003</v>
      </c>
      <c r="I32" s="3">
        <v>228.566</v>
      </c>
      <c r="J32" s="3">
        <v>203.95699999999999</v>
      </c>
      <c r="K32" s="3">
        <v>165.18799999999999</v>
      </c>
      <c r="L32" s="3">
        <v>151.583</v>
      </c>
      <c r="M32" s="2"/>
      <c r="N32" s="2">
        <f t="shared" si="0"/>
        <v>1313.6880000000001</v>
      </c>
      <c r="O32" s="2">
        <f t="shared" si="1"/>
        <v>289.35700000000003</v>
      </c>
      <c r="P32" s="2">
        <f t="shared" si="2"/>
        <v>228.566</v>
      </c>
      <c r="Q32" s="2">
        <f t="shared" si="3"/>
        <v>165.18799999999999</v>
      </c>
      <c r="R32" s="2">
        <f t="shared" si="4"/>
        <v>0.95051096050899042</v>
      </c>
      <c r="S32" s="2">
        <f t="shared" si="5"/>
        <v>0.89233306791036282</v>
      </c>
      <c r="T32" s="2">
        <f t="shared" si="6"/>
        <v>0.91763929583262716</v>
      </c>
      <c r="V32" s="3">
        <v>368.83</v>
      </c>
      <c r="W32" s="3">
        <v>165.18799999999999</v>
      </c>
      <c r="AA32">
        <f t="shared" ref="AA32:AA40" si="11">W32</f>
        <v>165.18799999999999</v>
      </c>
      <c r="AD32" s="3">
        <v>10</v>
      </c>
      <c r="AE32">
        <f t="shared" si="8"/>
        <v>1.0212717114722556</v>
      </c>
    </row>
    <row r="33" spans="1:31" x14ac:dyDescent="0.2">
      <c r="A33" s="1" t="s">
        <v>19</v>
      </c>
      <c r="B33" s="3">
        <v>20</v>
      </c>
      <c r="C33" s="1">
        <v>8.1</v>
      </c>
      <c r="D33" s="3">
        <v>10</v>
      </c>
      <c r="E33" s="3">
        <v>370.54</v>
      </c>
      <c r="F33" s="3">
        <v>71.385000000000005</v>
      </c>
      <c r="G33" s="3">
        <v>247.43100000000001</v>
      </c>
      <c r="H33" s="3">
        <v>253.751</v>
      </c>
      <c r="I33" s="3">
        <v>270.81599999999997</v>
      </c>
      <c r="J33" s="3">
        <v>264.411</v>
      </c>
      <c r="K33" s="3">
        <v>194.44</v>
      </c>
      <c r="L33" s="3">
        <v>160.77799999999999</v>
      </c>
      <c r="M33" s="2"/>
      <c r="N33" s="2">
        <f t="shared" si="0"/>
        <v>1391.6270000000002</v>
      </c>
      <c r="O33" s="2">
        <f t="shared" si="1"/>
        <v>253.751</v>
      </c>
      <c r="P33" s="2">
        <f t="shared" si="2"/>
        <v>270.81599999999997</v>
      </c>
      <c r="Q33" s="2">
        <f t="shared" si="3"/>
        <v>194.44</v>
      </c>
      <c r="R33" s="2">
        <f t="shared" si="4"/>
        <v>0.97509369421204251</v>
      </c>
      <c r="S33" s="2">
        <f t="shared" si="5"/>
        <v>0.97634925558312669</v>
      </c>
      <c r="T33" s="2">
        <f t="shared" si="6"/>
        <v>0.82687718576424596</v>
      </c>
      <c r="V33" s="3">
        <v>370.54</v>
      </c>
      <c r="W33" s="3">
        <v>194.44</v>
      </c>
      <c r="AA33">
        <f t="shared" si="11"/>
        <v>194.44</v>
      </c>
      <c r="AD33" s="3">
        <v>10</v>
      </c>
      <c r="AE33">
        <f t="shared" si="8"/>
        <v>1.1051605031562211</v>
      </c>
    </row>
    <row r="34" spans="1:31" x14ac:dyDescent="0.2">
      <c r="A34" s="1" t="s">
        <v>19</v>
      </c>
      <c r="B34" s="3">
        <v>20</v>
      </c>
      <c r="C34" s="1">
        <v>8.1</v>
      </c>
      <c r="D34" s="3">
        <v>10</v>
      </c>
      <c r="E34" s="3">
        <v>378.82</v>
      </c>
      <c r="F34" s="3">
        <v>73.454999999999998</v>
      </c>
      <c r="G34" s="3">
        <v>269.995</v>
      </c>
      <c r="H34" s="3">
        <v>287.19799999999998</v>
      </c>
      <c r="I34" s="3">
        <v>257.202</v>
      </c>
      <c r="J34" s="3">
        <v>274.166</v>
      </c>
      <c r="K34" s="3">
        <v>162.316</v>
      </c>
      <c r="L34" s="3">
        <v>174.601</v>
      </c>
      <c r="M34" s="2"/>
      <c r="N34" s="2">
        <f t="shared" si="0"/>
        <v>1425.4780000000001</v>
      </c>
      <c r="O34" s="2">
        <f t="shared" si="1"/>
        <v>287.19799999999998</v>
      </c>
      <c r="P34" s="2">
        <f t="shared" si="2"/>
        <v>274.166</v>
      </c>
      <c r="Q34" s="2">
        <f t="shared" si="3"/>
        <v>174.601</v>
      </c>
      <c r="R34" s="2">
        <f t="shared" si="4"/>
        <v>0.94010055780332735</v>
      </c>
      <c r="S34" s="2">
        <f t="shared" si="5"/>
        <v>0.93812507750778729</v>
      </c>
      <c r="T34" s="2">
        <f t="shared" si="6"/>
        <v>0.9296395782383835</v>
      </c>
      <c r="V34" s="3">
        <v>378.82</v>
      </c>
      <c r="W34" s="3">
        <v>174.601</v>
      </c>
      <c r="AA34">
        <f t="shared" si="11"/>
        <v>174.601</v>
      </c>
      <c r="AD34" s="3">
        <v>10</v>
      </c>
      <c r="AE34">
        <f t="shared" si="8"/>
        <v>1.0222273891914706</v>
      </c>
    </row>
    <row r="35" spans="1:31" x14ac:dyDescent="0.2">
      <c r="A35" s="1" t="s">
        <v>19</v>
      </c>
      <c r="B35" s="3">
        <v>20</v>
      </c>
      <c r="C35" s="1">
        <v>8.1</v>
      </c>
      <c r="D35" s="3">
        <v>10</v>
      </c>
      <c r="E35" s="3">
        <v>326.61</v>
      </c>
      <c r="F35" s="3">
        <v>60.402500000000003</v>
      </c>
      <c r="G35" s="3">
        <v>212.77099999999999</v>
      </c>
      <c r="H35" s="3">
        <v>204.05600000000001</v>
      </c>
      <c r="I35" s="3">
        <v>226.16900000000001</v>
      </c>
      <c r="J35" s="3">
        <v>251.21100000000001</v>
      </c>
      <c r="K35" s="3">
        <v>183.97</v>
      </c>
      <c r="L35" s="3">
        <v>203.13300000000001</v>
      </c>
      <c r="M35" s="2"/>
      <c r="N35" s="2">
        <f t="shared" si="0"/>
        <v>1281.31</v>
      </c>
      <c r="O35" s="2">
        <f t="shared" si="1"/>
        <v>212.77099999999999</v>
      </c>
      <c r="P35" s="2">
        <f t="shared" si="2"/>
        <v>251.21100000000001</v>
      </c>
      <c r="Q35" s="2">
        <f t="shared" si="3"/>
        <v>203.13300000000001</v>
      </c>
      <c r="R35" s="2">
        <f t="shared" si="4"/>
        <v>0.95904047074084353</v>
      </c>
      <c r="S35" s="2">
        <f t="shared" si="5"/>
        <v>0.90031487474672689</v>
      </c>
      <c r="T35" s="2">
        <f t="shared" si="6"/>
        <v>0.9056627923577163</v>
      </c>
      <c r="V35" s="3">
        <v>326.61</v>
      </c>
      <c r="W35" s="3">
        <v>203.13300000000001</v>
      </c>
      <c r="AA35">
        <f t="shared" si="11"/>
        <v>203.13300000000001</v>
      </c>
      <c r="AD35" s="3">
        <v>10</v>
      </c>
      <c r="AE35">
        <f t="shared" si="8"/>
        <v>1.2836796983026428</v>
      </c>
    </row>
    <row r="36" spans="1:31" x14ac:dyDescent="0.2">
      <c r="A36" s="1" t="s">
        <v>19</v>
      </c>
      <c r="B36" s="3">
        <v>20</v>
      </c>
      <c r="C36" s="1">
        <v>8.1</v>
      </c>
      <c r="D36" s="3">
        <v>10</v>
      </c>
      <c r="E36" s="3">
        <v>347.21</v>
      </c>
      <c r="F36" s="3">
        <v>65.552499999999995</v>
      </c>
      <c r="G36" s="3">
        <v>274.375</v>
      </c>
      <c r="H36" s="3">
        <v>260.56700000000001</v>
      </c>
      <c r="I36" s="3">
        <v>224.59200000000001</v>
      </c>
      <c r="J36" s="3">
        <v>223.03100000000001</v>
      </c>
      <c r="K36" s="3">
        <v>127.178</v>
      </c>
      <c r="L36" s="3">
        <v>144.28899999999999</v>
      </c>
      <c r="M36" s="2"/>
      <c r="N36" s="2">
        <f t="shared" si="0"/>
        <v>1254.0319999999999</v>
      </c>
      <c r="O36" s="2">
        <f t="shared" si="1"/>
        <v>274.375</v>
      </c>
      <c r="P36" s="2">
        <f t="shared" si="2"/>
        <v>224.59200000000001</v>
      </c>
      <c r="Q36" s="2">
        <f t="shared" si="3"/>
        <v>144.28899999999999</v>
      </c>
      <c r="R36" s="2">
        <f t="shared" si="4"/>
        <v>0.94967471526195901</v>
      </c>
      <c r="S36" s="2">
        <f t="shared" si="5"/>
        <v>0.99304961886442966</v>
      </c>
      <c r="T36" s="2">
        <f t="shared" si="6"/>
        <v>0.88141161141874991</v>
      </c>
      <c r="V36" s="3">
        <v>347.21</v>
      </c>
      <c r="W36" s="3">
        <v>144.28899999999999</v>
      </c>
      <c r="AA36">
        <f t="shared" si="11"/>
        <v>144.28899999999999</v>
      </c>
      <c r="AD36" s="3">
        <v>10</v>
      </c>
      <c r="AE36">
        <f t="shared" si="8"/>
        <v>1.0173093446424668</v>
      </c>
    </row>
    <row r="37" spans="1:31" x14ac:dyDescent="0.2">
      <c r="A37" s="1" t="s">
        <v>19</v>
      </c>
      <c r="B37" s="3">
        <v>20</v>
      </c>
      <c r="C37" s="1">
        <v>8.1</v>
      </c>
      <c r="D37" s="3">
        <v>10</v>
      </c>
      <c r="E37" s="3">
        <v>286.51</v>
      </c>
      <c r="F37" s="3">
        <v>50.377499999999998</v>
      </c>
      <c r="G37" s="3">
        <v>205.858</v>
      </c>
      <c r="H37" s="3">
        <v>203.71899999999999</v>
      </c>
      <c r="I37" s="3">
        <v>137.48500000000001</v>
      </c>
      <c r="J37" s="3">
        <v>132.71</v>
      </c>
      <c r="K37" s="3">
        <v>100.59699999999999</v>
      </c>
      <c r="L37" s="3">
        <v>100.37</v>
      </c>
      <c r="M37" s="2"/>
      <c r="N37" s="2">
        <f t="shared" si="0"/>
        <v>880.73900000000003</v>
      </c>
      <c r="O37" s="2">
        <f t="shared" si="1"/>
        <v>205.858</v>
      </c>
      <c r="P37" s="2">
        <f t="shared" si="2"/>
        <v>137.48500000000001</v>
      </c>
      <c r="Q37" s="2">
        <f t="shared" si="3"/>
        <v>100.59699999999999</v>
      </c>
      <c r="R37" s="2">
        <f t="shared" si="4"/>
        <v>0.98960934236221076</v>
      </c>
      <c r="S37" s="2">
        <f t="shared" si="5"/>
        <v>0.96526893842964678</v>
      </c>
      <c r="T37" s="2">
        <f t="shared" si="6"/>
        <v>0.99774347147529263</v>
      </c>
      <c r="V37" s="3">
        <v>286.51</v>
      </c>
      <c r="W37" s="3">
        <v>100.59699999999999</v>
      </c>
      <c r="AA37">
        <f t="shared" si="11"/>
        <v>100.59699999999999</v>
      </c>
      <c r="AD37" s="3">
        <v>10</v>
      </c>
      <c r="AE37">
        <f t="shared" si="8"/>
        <v>1.0616835032504062</v>
      </c>
    </row>
    <row r="38" spans="1:31" x14ac:dyDescent="0.2">
      <c r="A38" s="1" t="s">
        <v>19</v>
      </c>
      <c r="B38" s="3">
        <v>20</v>
      </c>
      <c r="C38" s="1">
        <v>8.1</v>
      </c>
      <c r="D38" s="3">
        <v>10</v>
      </c>
      <c r="E38" s="3">
        <v>382.92</v>
      </c>
      <c r="F38" s="3">
        <v>74.48</v>
      </c>
      <c r="G38" s="3">
        <v>309.45999999999998</v>
      </c>
      <c r="H38" s="3">
        <v>312.62299999999999</v>
      </c>
      <c r="I38" s="3">
        <v>147.476</v>
      </c>
      <c r="J38" s="3">
        <v>175.273</v>
      </c>
      <c r="K38" s="3">
        <v>122.105</v>
      </c>
      <c r="L38" s="3">
        <v>163.39099999999999</v>
      </c>
      <c r="M38" s="2"/>
      <c r="N38" s="2">
        <f t="shared" si="0"/>
        <v>1230.328</v>
      </c>
      <c r="O38" s="2">
        <f t="shared" si="1"/>
        <v>312.62299999999999</v>
      </c>
      <c r="P38" s="2">
        <f t="shared" si="2"/>
        <v>175.273</v>
      </c>
      <c r="Q38" s="2">
        <f t="shared" si="3"/>
        <v>163.39099999999999</v>
      </c>
      <c r="R38" s="2">
        <f t="shared" si="4"/>
        <v>0.9898823822943289</v>
      </c>
      <c r="S38" s="2">
        <f t="shared" si="5"/>
        <v>0.84140740444905948</v>
      </c>
      <c r="T38" s="2">
        <f t="shared" si="6"/>
        <v>0.74731778372125768</v>
      </c>
      <c r="V38" s="3">
        <v>382.92</v>
      </c>
      <c r="W38" s="3">
        <v>163.39099999999999</v>
      </c>
      <c r="AA38">
        <f t="shared" si="11"/>
        <v>163.39099999999999</v>
      </c>
      <c r="AD38" s="3">
        <v>10</v>
      </c>
      <c r="AE38">
        <f t="shared" si="8"/>
        <v>0.97842580780705368</v>
      </c>
    </row>
    <row r="39" spans="1:31" x14ac:dyDescent="0.2">
      <c r="A39" s="1" t="s">
        <v>19</v>
      </c>
      <c r="B39" s="3">
        <v>20</v>
      </c>
      <c r="C39" s="1">
        <v>8.1</v>
      </c>
      <c r="D39" s="3">
        <v>10</v>
      </c>
      <c r="E39" s="3">
        <v>410.71</v>
      </c>
      <c r="F39" s="3">
        <v>81.427499999999995</v>
      </c>
      <c r="G39" s="3">
        <v>292.55900000000003</v>
      </c>
      <c r="H39" s="3">
        <v>289.75900000000001</v>
      </c>
      <c r="I39" s="3">
        <v>250.97</v>
      </c>
      <c r="J39" s="3">
        <v>256.14400000000001</v>
      </c>
      <c r="K39" s="3">
        <v>224.97900000000001</v>
      </c>
      <c r="L39" s="3">
        <v>208.40700000000001</v>
      </c>
      <c r="M39" s="2"/>
      <c r="N39" s="2">
        <f t="shared" si="0"/>
        <v>1522.818</v>
      </c>
      <c r="O39" s="2">
        <f t="shared" si="1"/>
        <v>292.55900000000003</v>
      </c>
      <c r="P39" s="2">
        <f t="shared" si="2"/>
        <v>256.14400000000001</v>
      </c>
      <c r="Q39" s="2">
        <f t="shared" si="3"/>
        <v>224.97900000000001</v>
      </c>
      <c r="R39" s="2">
        <f t="shared" si="4"/>
        <v>0.99042928093136762</v>
      </c>
      <c r="S39" s="2">
        <f t="shared" si="5"/>
        <v>0.97980042476107188</v>
      </c>
      <c r="T39" s="2">
        <f t="shared" si="6"/>
        <v>0.92633979171389325</v>
      </c>
      <c r="V39" s="3">
        <v>410.71</v>
      </c>
      <c r="W39" s="3">
        <v>224.97900000000001</v>
      </c>
      <c r="AA39">
        <f t="shared" si="11"/>
        <v>224.97900000000001</v>
      </c>
      <c r="AD39" s="3">
        <v>10</v>
      </c>
      <c r="AE39">
        <f t="shared" si="8"/>
        <v>1.0805218883911878</v>
      </c>
    </row>
    <row r="40" spans="1:31" x14ac:dyDescent="0.2">
      <c r="A40" s="1" t="s">
        <v>19</v>
      </c>
      <c r="B40" s="3">
        <v>20</v>
      </c>
      <c r="C40" s="1">
        <v>8.1</v>
      </c>
      <c r="D40" s="3">
        <v>10</v>
      </c>
      <c r="E40" s="3">
        <v>385.13</v>
      </c>
      <c r="F40" s="3">
        <v>75.032499999999999</v>
      </c>
      <c r="G40" s="3">
        <v>261.79700000000003</v>
      </c>
      <c r="H40" s="3">
        <v>251.982</v>
      </c>
      <c r="I40" s="3">
        <v>262.45999999999998</v>
      </c>
      <c r="J40" s="3">
        <v>233.006</v>
      </c>
      <c r="K40" s="3">
        <v>220.06700000000001</v>
      </c>
      <c r="L40" s="3">
        <v>203.86500000000001</v>
      </c>
      <c r="M40" s="2"/>
      <c r="N40" s="2">
        <f t="shared" si="0"/>
        <v>1433.1769999999999</v>
      </c>
      <c r="O40" s="2">
        <f t="shared" si="1"/>
        <v>261.79700000000003</v>
      </c>
      <c r="P40" s="2">
        <f t="shared" si="2"/>
        <v>262.45999999999998</v>
      </c>
      <c r="Q40" s="2">
        <f t="shared" si="3"/>
        <v>220.06700000000001</v>
      </c>
      <c r="R40" s="2">
        <f t="shared" si="4"/>
        <v>0.96250911966141695</v>
      </c>
      <c r="S40" s="2">
        <f t="shared" si="5"/>
        <v>0.88777718509487169</v>
      </c>
      <c r="T40" s="2">
        <f t="shared" si="6"/>
        <v>0.92637696701459105</v>
      </c>
      <c r="V40" s="3">
        <v>385.13</v>
      </c>
      <c r="W40" s="3">
        <v>220.06700000000001</v>
      </c>
      <c r="AA40">
        <f t="shared" si="11"/>
        <v>220.06700000000001</v>
      </c>
      <c r="AD40" s="3">
        <v>10</v>
      </c>
      <c r="AE40">
        <f t="shared" si="8"/>
        <v>1.137974808337197</v>
      </c>
    </row>
    <row r="41" spans="1:31" x14ac:dyDescent="0.2">
      <c r="A41" s="1" t="s">
        <v>19</v>
      </c>
      <c r="B41" s="3">
        <v>20</v>
      </c>
      <c r="C41" s="1">
        <v>8.1</v>
      </c>
      <c r="D41" s="3">
        <v>20</v>
      </c>
      <c r="E41" s="3">
        <v>380.65</v>
      </c>
      <c r="F41" s="3">
        <v>73.912499999999994</v>
      </c>
      <c r="G41" s="3">
        <v>282.697</v>
      </c>
      <c r="H41" s="3">
        <v>283.72199999999998</v>
      </c>
      <c r="I41" s="3">
        <v>347.584</v>
      </c>
      <c r="J41" s="3">
        <v>349.17399999999998</v>
      </c>
      <c r="K41" s="3">
        <v>219.876</v>
      </c>
      <c r="L41" s="3">
        <v>205.685</v>
      </c>
      <c r="M41" s="2"/>
      <c r="N41" s="2">
        <f t="shared" si="0"/>
        <v>1688.7379999999998</v>
      </c>
      <c r="O41" s="2">
        <f t="shared" si="1"/>
        <v>283.72199999999998</v>
      </c>
      <c r="P41" s="2">
        <f t="shared" si="2"/>
        <v>349.17399999999998</v>
      </c>
      <c r="Q41" s="2">
        <f t="shared" si="3"/>
        <v>219.876</v>
      </c>
      <c r="R41" s="2">
        <f t="shared" si="4"/>
        <v>0.99638730870359027</v>
      </c>
      <c r="S41" s="2">
        <f t="shared" si="5"/>
        <v>0.99544639635253496</v>
      </c>
      <c r="T41" s="2">
        <f t="shared" si="6"/>
        <v>0.93545907693427199</v>
      </c>
      <c r="V41" s="3">
        <v>380.65</v>
      </c>
      <c r="W41" s="3">
        <v>219.876</v>
      </c>
      <c r="AB41">
        <f>W41</f>
        <v>219.876</v>
      </c>
      <c r="AD41" s="3">
        <v>20</v>
      </c>
      <c r="AE41">
        <f t="shared" si="8"/>
        <v>1.1508048655034075</v>
      </c>
    </row>
    <row r="42" spans="1:31" x14ac:dyDescent="0.2">
      <c r="A42" s="1" t="s">
        <v>19</v>
      </c>
      <c r="B42" s="3">
        <v>20</v>
      </c>
      <c r="C42" s="1">
        <v>8.1</v>
      </c>
      <c r="D42" s="3">
        <v>20</v>
      </c>
      <c r="E42" s="3">
        <v>349.73</v>
      </c>
      <c r="F42" s="3">
        <v>66.182500000000005</v>
      </c>
      <c r="G42" s="3">
        <v>246.072</v>
      </c>
      <c r="H42" s="3">
        <v>255.13800000000001</v>
      </c>
      <c r="I42" s="3">
        <v>264.39</v>
      </c>
      <c r="J42" s="3">
        <v>224.404</v>
      </c>
      <c r="K42" s="3">
        <v>171.898</v>
      </c>
      <c r="L42" s="3">
        <v>158.67699999999999</v>
      </c>
      <c r="M42" s="2"/>
      <c r="N42" s="2">
        <f t="shared" si="0"/>
        <v>1320.579</v>
      </c>
      <c r="O42" s="2">
        <f t="shared" si="1"/>
        <v>255.13800000000001</v>
      </c>
      <c r="P42" s="2">
        <f t="shared" si="2"/>
        <v>264.39</v>
      </c>
      <c r="Q42" s="2">
        <f t="shared" si="3"/>
        <v>171.898</v>
      </c>
      <c r="R42" s="2">
        <f t="shared" si="4"/>
        <v>0.9644662888319262</v>
      </c>
      <c r="S42" s="2">
        <f t="shared" si="5"/>
        <v>0.84876129959529489</v>
      </c>
      <c r="T42" s="2">
        <f t="shared" si="6"/>
        <v>0.92308811039104588</v>
      </c>
      <c r="V42" s="3">
        <v>349.73</v>
      </c>
      <c r="W42" s="3">
        <v>171.898</v>
      </c>
      <c r="AB42">
        <f t="shared" ref="AB42:AB50" si="12">W42</f>
        <v>171.898</v>
      </c>
      <c r="AD42" s="3">
        <v>20</v>
      </c>
      <c r="AE42">
        <f t="shared" si="8"/>
        <v>1.098580360677788</v>
      </c>
    </row>
    <row r="43" spans="1:31" x14ac:dyDescent="0.2">
      <c r="A43" s="1" t="s">
        <v>19</v>
      </c>
      <c r="B43" s="3">
        <v>20</v>
      </c>
      <c r="C43" s="1">
        <v>8.1</v>
      </c>
      <c r="D43" s="3">
        <v>20</v>
      </c>
      <c r="E43" s="3">
        <v>375.92</v>
      </c>
      <c r="F43" s="3">
        <v>72.73</v>
      </c>
      <c r="G43" s="3">
        <v>280.11399999999998</v>
      </c>
      <c r="H43" s="3">
        <v>277.66000000000003</v>
      </c>
      <c r="I43" s="3">
        <v>292.94499999999999</v>
      </c>
      <c r="J43" s="3">
        <v>283.25200000000001</v>
      </c>
      <c r="K43" s="3">
        <v>194.44</v>
      </c>
      <c r="L43" s="3">
        <v>197.16800000000001</v>
      </c>
      <c r="M43" s="2"/>
      <c r="N43" s="2">
        <f t="shared" si="0"/>
        <v>1525.5790000000002</v>
      </c>
      <c r="O43" s="2">
        <f t="shared" si="1"/>
        <v>280.11399999999998</v>
      </c>
      <c r="P43" s="2">
        <f t="shared" si="2"/>
        <v>292.94499999999999</v>
      </c>
      <c r="Q43" s="2">
        <f t="shared" si="3"/>
        <v>197.16800000000001</v>
      </c>
      <c r="R43" s="2">
        <f t="shared" si="4"/>
        <v>0.99123928114981774</v>
      </c>
      <c r="S43" s="2">
        <f t="shared" si="5"/>
        <v>0.96691187765621534</v>
      </c>
      <c r="T43" s="2">
        <f t="shared" si="6"/>
        <v>0.98616408342124473</v>
      </c>
      <c r="V43" s="3">
        <v>375.92</v>
      </c>
      <c r="W43" s="3">
        <v>197.16800000000001</v>
      </c>
      <c r="AB43">
        <f t="shared" si="12"/>
        <v>197.16800000000001</v>
      </c>
      <c r="AD43" s="3">
        <v>20</v>
      </c>
      <c r="AE43">
        <f t="shared" si="8"/>
        <v>1.0974885646801658</v>
      </c>
    </row>
    <row r="44" spans="1:31" x14ac:dyDescent="0.2">
      <c r="A44" s="1" t="s">
        <v>19</v>
      </c>
      <c r="B44" s="3">
        <v>20</v>
      </c>
      <c r="C44" s="1">
        <v>8.1</v>
      </c>
      <c r="D44" s="3">
        <v>20</v>
      </c>
      <c r="E44" s="3">
        <v>347.41</v>
      </c>
      <c r="F44" s="3">
        <v>65.602500000000006</v>
      </c>
      <c r="G44" s="3">
        <v>249.36099999999999</v>
      </c>
      <c r="H44" s="3">
        <v>233.845</v>
      </c>
      <c r="I44" s="3">
        <v>253.845</v>
      </c>
      <c r="J44" s="3">
        <v>243.36199999999999</v>
      </c>
      <c r="K44" s="3">
        <v>202.904</v>
      </c>
      <c r="L44" s="3">
        <v>174.958</v>
      </c>
      <c r="M44" s="2"/>
      <c r="N44" s="2">
        <f t="shared" si="0"/>
        <v>1358.2750000000001</v>
      </c>
      <c r="O44" s="2">
        <f t="shared" si="1"/>
        <v>249.36099999999999</v>
      </c>
      <c r="P44" s="2">
        <f t="shared" si="2"/>
        <v>253.845</v>
      </c>
      <c r="Q44" s="2">
        <f t="shared" si="3"/>
        <v>202.904</v>
      </c>
      <c r="R44" s="2">
        <f t="shared" si="4"/>
        <v>0.93777695790440374</v>
      </c>
      <c r="S44" s="2">
        <f t="shared" si="5"/>
        <v>0.95870314562035885</v>
      </c>
      <c r="T44" s="2">
        <f t="shared" si="6"/>
        <v>0.86226984189567479</v>
      </c>
      <c r="V44" s="3">
        <v>347.41</v>
      </c>
      <c r="W44" s="3">
        <v>202.904</v>
      </c>
      <c r="AB44">
        <f t="shared" si="12"/>
        <v>202.904</v>
      </c>
      <c r="AD44" s="3">
        <v>20</v>
      </c>
      <c r="AE44">
        <f t="shared" si="8"/>
        <v>1.2060839114368564</v>
      </c>
    </row>
    <row r="45" spans="1:31" x14ac:dyDescent="0.2">
      <c r="A45" s="1" t="s">
        <v>19</v>
      </c>
      <c r="B45" s="3">
        <v>20</v>
      </c>
      <c r="C45" s="1">
        <v>8.1</v>
      </c>
      <c r="D45" s="3">
        <v>20</v>
      </c>
      <c r="E45" s="3">
        <v>345.27</v>
      </c>
      <c r="F45" s="3">
        <v>65.067499999999995</v>
      </c>
      <c r="G45" s="3">
        <v>257.78699999999998</v>
      </c>
      <c r="H45" s="3">
        <v>247.964</v>
      </c>
      <c r="I45" s="3">
        <v>319.37599999999998</v>
      </c>
      <c r="J45" s="3">
        <v>321.47800000000001</v>
      </c>
      <c r="K45" s="3">
        <v>188.447</v>
      </c>
      <c r="L45" s="3">
        <v>189.29400000000001</v>
      </c>
      <c r="M45" s="2"/>
      <c r="N45" s="2">
        <f t="shared" si="0"/>
        <v>1524.3460000000002</v>
      </c>
      <c r="O45" s="2">
        <f t="shared" si="1"/>
        <v>257.78699999999998</v>
      </c>
      <c r="P45" s="2">
        <f t="shared" si="2"/>
        <v>321.47800000000001</v>
      </c>
      <c r="Q45" s="2">
        <f t="shared" si="3"/>
        <v>189.29400000000001</v>
      </c>
      <c r="R45" s="2">
        <f t="shared" si="4"/>
        <v>0.96189489772564174</v>
      </c>
      <c r="S45" s="2">
        <f t="shared" si="5"/>
        <v>0.99346144992814434</v>
      </c>
      <c r="T45" s="2">
        <f t="shared" si="6"/>
        <v>0.99552547888469778</v>
      </c>
      <c r="V45" s="3">
        <v>345.27</v>
      </c>
      <c r="W45" s="3">
        <v>189.29400000000001</v>
      </c>
      <c r="AB45">
        <f t="shared" si="12"/>
        <v>189.29400000000001</v>
      </c>
      <c r="AD45" s="3">
        <v>20</v>
      </c>
      <c r="AE45">
        <f t="shared" si="8"/>
        <v>1.1693186194301266</v>
      </c>
    </row>
    <row r="46" spans="1:31" x14ac:dyDescent="0.2">
      <c r="A46" s="1" t="s">
        <v>19</v>
      </c>
      <c r="B46" s="3">
        <v>20</v>
      </c>
      <c r="C46" s="1">
        <v>8.1</v>
      </c>
      <c r="D46" s="3">
        <v>20</v>
      </c>
      <c r="E46" s="3">
        <v>341.4</v>
      </c>
      <c r="F46" s="3">
        <v>64.099999999999994</v>
      </c>
      <c r="G46" s="3">
        <v>243.96899999999999</v>
      </c>
      <c r="H46" s="3">
        <v>240.501</v>
      </c>
      <c r="I46" s="3">
        <v>227.32</v>
      </c>
      <c r="J46" s="3">
        <v>238.15299999999999</v>
      </c>
      <c r="K46" s="3">
        <v>149.852</v>
      </c>
      <c r="L46" s="3">
        <v>161.69300000000001</v>
      </c>
      <c r="M46" s="2"/>
      <c r="N46" s="2">
        <f t="shared" si="0"/>
        <v>1261.4880000000001</v>
      </c>
      <c r="O46" s="2">
        <f t="shared" si="1"/>
        <v>243.96899999999999</v>
      </c>
      <c r="P46" s="2">
        <f t="shared" si="2"/>
        <v>238.15299999999999</v>
      </c>
      <c r="Q46" s="2">
        <f t="shared" si="3"/>
        <v>161.69300000000001</v>
      </c>
      <c r="R46" s="2">
        <f t="shared" si="4"/>
        <v>0.9857850792518722</v>
      </c>
      <c r="S46" s="2">
        <f t="shared" si="5"/>
        <v>0.95451243528320029</v>
      </c>
      <c r="T46" s="2">
        <f t="shared" si="6"/>
        <v>0.9267686294397407</v>
      </c>
      <c r="V46" s="3">
        <v>341.4</v>
      </c>
      <c r="W46" s="3">
        <v>161.69300000000001</v>
      </c>
      <c r="AB46">
        <f t="shared" si="12"/>
        <v>161.69300000000001</v>
      </c>
      <c r="AD46" s="3">
        <v>20</v>
      </c>
      <c r="AE46">
        <f t="shared" si="8"/>
        <v>1.0918368084937118</v>
      </c>
    </row>
    <row r="47" spans="1:31" x14ac:dyDescent="0.2">
      <c r="A47" s="1" t="s">
        <v>19</v>
      </c>
      <c r="B47" s="3">
        <v>20</v>
      </c>
      <c r="C47" s="1">
        <v>8.1</v>
      </c>
      <c r="D47" s="3">
        <v>20</v>
      </c>
      <c r="E47" s="3">
        <v>334.24</v>
      </c>
      <c r="F47" s="3">
        <v>62.31</v>
      </c>
      <c r="G47" s="3">
        <v>254.78299999999999</v>
      </c>
      <c r="H47" s="3">
        <v>262.48399999999998</v>
      </c>
      <c r="I47" s="3">
        <v>260.65600000000001</v>
      </c>
      <c r="J47" s="3">
        <v>290.32100000000003</v>
      </c>
      <c r="K47" s="3">
        <v>157.96299999999999</v>
      </c>
      <c r="L47" s="3">
        <v>151.37799999999999</v>
      </c>
      <c r="M47" s="2"/>
      <c r="N47" s="2">
        <f t="shared" si="0"/>
        <v>1377.585</v>
      </c>
      <c r="O47" s="2">
        <f t="shared" si="1"/>
        <v>262.48399999999998</v>
      </c>
      <c r="P47" s="2">
        <f t="shared" si="2"/>
        <v>290.32100000000003</v>
      </c>
      <c r="Q47" s="2">
        <f t="shared" si="3"/>
        <v>157.96299999999999</v>
      </c>
      <c r="R47" s="2">
        <f t="shared" si="4"/>
        <v>0.97066106886514991</v>
      </c>
      <c r="S47" s="2">
        <f t="shared" si="5"/>
        <v>0.897819999242218</v>
      </c>
      <c r="T47" s="2">
        <f t="shared" si="6"/>
        <v>0.95831302266986562</v>
      </c>
      <c r="V47" s="3">
        <v>334.24</v>
      </c>
      <c r="W47" s="3">
        <v>157.96299999999999</v>
      </c>
      <c r="AB47">
        <f t="shared" si="12"/>
        <v>157.96299999999999</v>
      </c>
      <c r="AD47" s="3">
        <v>20</v>
      </c>
      <c r="AE47">
        <f t="shared" si="8"/>
        <v>1.1027009900075164</v>
      </c>
    </row>
    <row r="48" spans="1:31" x14ac:dyDescent="0.2">
      <c r="A48" s="1" t="s">
        <v>19</v>
      </c>
      <c r="B48" s="3">
        <v>20</v>
      </c>
      <c r="C48" s="1">
        <v>8.1</v>
      </c>
      <c r="D48" s="3">
        <v>20</v>
      </c>
      <c r="E48" s="3">
        <v>360.51</v>
      </c>
      <c r="F48" s="3">
        <v>68.877499999999998</v>
      </c>
      <c r="G48" s="3">
        <v>261.38499999999999</v>
      </c>
      <c r="H48" s="3">
        <v>284.75299999999999</v>
      </c>
      <c r="I48" s="3">
        <v>281.87</v>
      </c>
      <c r="J48" s="3">
        <v>282.45699999999999</v>
      </c>
      <c r="K48" s="3">
        <v>181.09299999999999</v>
      </c>
      <c r="L48" s="3">
        <v>204.52699999999999</v>
      </c>
      <c r="M48" s="2"/>
      <c r="N48" s="2">
        <f t="shared" si="0"/>
        <v>1496.085</v>
      </c>
      <c r="O48" s="2">
        <f t="shared" si="1"/>
        <v>284.75299999999999</v>
      </c>
      <c r="P48" s="2">
        <f t="shared" si="2"/>
        <v>282.45699999999999</v>
      </c>
      <c r="Q48" s="2">
        <f t="shared" si="3"/>
        <v>204.52699999999999</v>
      </c>
      <c r="R48" s="2">
        <f t="shared" si="4"/>
        <v>0.91793589531980346</v>
      </c>
      <c r="S48" s="2">
        <f t="shared" si="5"/>
        <v>0.99792180756716953</v>
      </c>
      <c r="T48" s="2">
        <f t="shared" si="6"/>
        <v>0.88542344042595844</v>
      </c>
      <c r="V48" s="3">
        <v>360.51</v>
      </c>
      <c r="W48" s="3">
        <v>204.52699999999999</v>
      </c>
      <c r="AB48">
        <f t="shared" si="12"/>
        <v>204.52699999999999</v>
      </c>
      <c r="AD48" s="3">
        <v>20</v>
      </c>
      <c r="AE48">
        <f t="shared" si="8"/>
        <v>1.1673106446251897</v>
      </c>
    </row>
    <row r="49" spans="1:31" x14ac:dyDescent="0.2">
      <c r="A49" s="1" t="s">
        <v>19</v>
      </c>
      <c r="B49" s="3">
        <v>20</v>
      </c>
      <c r="C49" s="1">
        <v>8.1</v>
      </c>
      <c r="D49" s="3">
        <v>20</v>
      </c>
      <c r="E49" s="3">
        <v>355.27</v>
      </c>
      <c r="F49" s="3">
        <v>67.567499999999995</v>
      </c>
      <c r="G49" s="3">
        <v>252.916</v>
      </c>
      <c r="H49" s="3">
        <v>252.392</v>
      </c>
      <c r="I49" s="3">
        <v>289.71199999999999</v>
      </c>
      <c r="J49" s="3">
        <v>296.45400000000001</v>
      </c>
      <c r="K49" s="3">
        <v>166.43299999999999</v>
      </c>
      <c r="L49" s="3">
        <v>170.22</v>
      </c>
      <c r="M49" s="2"/>
      <c r="N49" s="2">
        <f t="shared" si="0"/>
        <v>1428.127</v>
      </c>
      <c r="O49" s="2">
        <f t="shared" si="1"/>
        <v>252.916</v>
      </c>
      <c r="P49" s="2">
        <f t="shared" si="2"/>
        <v>296.45400000000001</v>
      </c>
      <c r="Q49" s="2">
        <f t="shared" si="3"/>
        <v>170.22</v>
      </c>
      <c r="R49" s="2">
        <f t="shared" si="4"/>
        <v>0.99792816587325439</v>
      </c>
      <c r="S49" s="2">
        <f t="shared" si="5"/>
        <v>0.97725785450693858</v>
      </c>
      <c r="T49" s="2">
        <f t="shared" si="6"/>
        <v>0.97775232052637762</v>
      </c>
      <c r="V49" s="3">
        <v>355.27</v>
      </c>
      <c r="W49" s="3">
        <v>170.22</v>
      </c>
      <c r="AB49">
        <f t="shared" si="12"/>
        <v>170.22</v>
      </c>
      <c r="AD49" s="3">
        <v>20</v>
      </c>
      <c r="AE49">
        <f t="shared" si="8"/>
        <v>1.0761483725708119</v>
      </c>
    </row>
    <row r="50" spans="1:31" x14ac:dyDescent="0.2">
      <c r="A50" s="1" t="s">
        <v>19</v>
      </c>
      <c r="B50" s="3">
        <v>20</v>
      </c>
      <c r="C50" s="1">
        <v>8.1</v>
      </c>
      <c r="D50" s="3">
        <v>20</v>
      </c>
      <c r="E50" s="3">
        <v>336.57</v>
      </c>
      <c r="F50" s="3">
        <v>62.892499999999998</v>
      </c>
      <c r="G50" s="3">
        <v>240.023</v>
      </c>
      <c r="H50" s="3">
        <v>245.143</v>
      </c>
      <c r="I50" s="3">
        <v>275.09899999999999</v>
      </c>
      <c r="J50" s="3">
        <v>248.26400000000001</v>
      </c>
      <c r="K50" s="3">
        <v>155.476</v>
      </c>
      <c r="L50" s="3">
        <v>150.03899999999999</v>
      </c>
      <c r="M50" s="2"/>
      <c r="N50" s="2">
        <f t="shared" si="0"/>
        <v>1314.0440000000001</v>
      </c>
      <c r="O50" s="2">
        <f t="shared" si="1"/>
        <v>245.143</v>
      </c>
      <c r="P50" s="2">
        <f t="shared" si="2"/>
        <v>275.09899999999999</v>
      </c>
      <c r="Q50" s="2">
        <f t="shared" si="3"/>
        <v>155.476</v>
      </c>
      <c r="R50" s="2">
        <f t="shared" si="4"/>
        <v>0.97911423128541297</v>
      </c>
      <c r="S50" s="2">
        <f t="shared" si="5"/>
        <v>0.90245329863067481</v>
      </c>
      <c r="T50" s="2">
        <f t="shared" si="6"/>
        <v>0.96502997247163547</v>
      </c>
      <c r="V50" s="3">
        <v>336.57</v>
      </c>
      <c r="W50" s="3">
        <v>155.476</v>
      </c>
      <c r="AB50">
        <f t="shared" si="12"/>
        <v>155.476</v>
      </c>
      <c r="AD50" s="3">
        <v>20</v>
      </c>
      <c r="AE50">
        <f t="shared" si="8"/>
        <v>1.0867740235578527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DA5E-ACC5-964E-9973-E460AF11BFFC}">
  <dimension ref="A1:AE50"/>
  <sheetViews>
    <sheetView topLeftCell="B1" workbookViewId="0">
      <selection activeCell="AH57" sqref="AH57"/>
    </sheetView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1" t="s">
        <v>4</v>
      </c>
      <c r="W1" s="1" t="s">
        <v>14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D1" s="1" t="s">
        <v>3</v>
      </c>
      <c r="AE1" t="s">
        <v>42</v>
      </c>
    </row>
    <row r="2" spans="1:31" x14ac:dyDescent="0.2">
      <c r="A2" s="1" t="s">
        <v>19</v>
      </c>
      <c r="B2" s="3">
        <v>20</v>
      </c>
      <c r="C2" s="1">
        <v>8.1</v>
      </c>
      <c r="D2" s="3">
        <v>0.18</v>
      </c>
      <c r="E2" s="3">
        <v>362.86</v>
      </c>
      <c r="F2" s="3">
        <v>69.465000000000003</v>
      </c>
      <c r="G2" s="3">
        <v>268.14</v>
      </c>
      <c r="H2" s="3">
        <v>268.42</v>
      </c>
      <c r="I2" s="3">
        <v>180.73099999999999</v>
      </c>
      <c r="J2" s="3">
        <v>145.232</v>
      </c>
      <c r="K2" s="3">
        <v>138.321</v>
      </c>
      <c r="L2" s="3">
        <v>135.82900000000001</v>
      </c>
      <c r="M2" s="2"/>
      <c r="N2" s="2">
        <f>SUM(G2:L2)</f>
        <v>1136.673</v>
      </c>
      <c r="O2" s="2">
        <f>MAX(G2:H2)</f>
        <v>268.42</v>
      </c>
      <c r="P2" s="2">
        <f>MAX(I2:J2)</f>
        <v>180.73099999999999</v>
      </c>
      <c r="Q2" s="2">
        <f>MAX(K2:L2)</f>
        <v>138.321</v>
      </c>
      <c r="R2" s="2">
        <f>MIN(G2:H2)/MAX(G2:H2)</f>
        <v>0.99895685865434758</v>
      </c>
      <c r="S2" s="2">
        <f>MIN(I2:J2)/MAX(I2:J2)</f>
        <v>0.80358101266523174</v>
      </c>
      <c r="T2" s="2">
        <f>MIN(K2:L2)/MAX(K2:L2)</f>
        <v>0.98198393591717825</v>
      </c>
      <c r="V2" s="3">
        <v>362.86</v>
      </c>
      <c r="W2" s="3">
        <f>P2</f>
        <v>180.73099999999999</v>
      </c>
      <c r="X2">
        <f>W2</f>
        <v>180.73099999999999</v>
      </c>
      <c r="AD2" s="3">
        <v>0.18</v>
      </c>
      <c r="AE2">
        <f>(W2+400.12)/(1.7514*V2)</f>
        <v>0.91398759166854115</v>
      </c>
    </row>
    <row r="3" spans="1:31" x14ac:dyDescent="0.2">
      <c r="A3" s="1" t="s">
        <v>19</v>
      </c>
      <c r="B3" s="3">
        <v>20</v>
      </c>
      <c r="C3" s="1">
        <v>8.1</v>
      </c>
      <c r="D3" s="3">
        <v>0.18</v>
      </c>
      <c r="E3" s="3">
        <v>409.02</v>
      </c>
      <c r="F3" s="3">
        <v>81.004999999999995</v>
      </c>
      <c r="G3" s="3">
        <v>293.28399999999999</v>
      </c>
      <c r="H3" s="3">
        <v>318.39</v>
      </c>
      <c r="I3" s="3">
        <v>336.77699999999999</v>
      </c>
      <c r="J3" s="3">
        <v>331.37299999999999</v>
      </c>
      <c r="K3" s="3">
        <v>199.17</v>
      </c>
      <c r="L3" s="3">
        <v>157.958</v>
      </c>
      <c r="M3" s="2"/>
      <c r="N3" s="2">
        <f t="shared" ref="N3:N50" si="0">SUM(G3:L3)</f>
        <v>1636.9520000000002</v>
      </c>
      <c r="O3" s="2">
        <f t="shared" ref="O3:O50" si="1">MAX(G3:H3)</f>
        <v>318.39</v>
      </c>
      <c r="P3" s="2">
        <f t="shared" ref="P3:P50" si="2">MAX(I3:J3)</f>
        <v>336.77699999999999</v>
      </c>
      <c r="Q3" s="2">
        <f t="shared" ref="Q3:Q50" si="3">MAX(K3:L3)</f>
        <v>199.17</v>
      </c>
      <c r="R3" s="2">
        <f t="shared" ref="R3:R50" si="4">MIN(G3:H3)/MAX(G3:H3)</f>
        <v>0.92114702094915046</v>
      </c>
      <c r="S3" s="2">
        <f t="shared" ref="S3:S50" si="5">MIN(I3:J3)/MAX(I3:J3)</f>
        <v>0.9839537735652969</v>
      </c>
      <c r="T3" s="2">
        <f t="shared" ref="T3:T50" si="6">MIN(K3:L3)/MAX(K3:L3)</f>
        <v>0.7930812873424713</v>
      </c>
      <c r="V3" s="3">
        <v>409.02</v>
      </c>
      <c r="W3" s="3">
        <f t="shared" ref="W3:W50" si="7">P3</f>
        <v>336.77699999999999</v>
      </c>
      <c r="X3">
        <f t="shared" ref="X3:X11" si="8">W3</f>
        <v>336.77699999999999</v>
      </c>
      <c r="AD3" s="3">
        <v>0.18</v>
      </c>
      <c r="AE3">
        <f t="shared" ref="AE3:AE50" si="9">(W3+400.12)/(1.7514*V3)</f>
        <v>1.0286719526632861</v>
      </c>
    </row>
    <row r="4" spans="1:31" x14ac:dyDescent="0.2">
      <c r="A4" s="1" t="s">
        <v>19</v>
      </c>
      <c r="B4" s="3">
        <v>20</v>
      </c>
      <c r="C4" s="1">
        <v>8.1</v>
      </c>
      <c r="D4" s="3">
        <v>0.18</v>
      </c>
      <c r="E4" s="3">
        <v>356.19</v>
      </c>
      <c r="F4" s="3">
        <v>67.797499999999999</v>
      </c>
      <c r="G4" s="3">
        <v>279.27600000000001</v>
      </c>
      <c r="H4" s="3">
        <v>281.41500000000002</v>
      </c>
      <c r="I4" s="3">
        <v>244.88900000000001</v>
      </c>
      <c r="J4" s="3">
        <v>189.10900000000001</v>
      </c>
      <c r="K4" s="3">
        <v>138.84299999999999</v>
      </c>
      <c r="L4" s="3">
        <v>142.91800000000001</v>
      </c>
      <c r="M4" s="2"/>
      <c r="N4" s="2">
        <f t="shared" si="0"/>
        <v>1276.4500000000003</v>
      </c>
      <c r="O4" s="2">
        <f t="shared" si="1"/>
        <v>281.41500000000002</v>
      </c>
      <c r="P4" s="2">
        <f t="shared" si="2"/>
        <v>244.88900000000001</v>
      </c>
      <c r="Q4" s="2">
        <f t="shared" si="3"/>
        <v>142.91800000000001</v>
      </c>
      <c r="R4" s="2">
        <f t="shared" si="4"/>
        <v>0.99239912584617018</v>
      </c>
      <c r="S4" s="2">
        <f t="shared" si="5"/>
        <v>0.77222333383696284</v>
      </c>
      <c r="T4" s="2">
        <f t="shared" si="6"/>
        <v>0.9714871464756013</v>
      </c>
      <c r="V4" s="3">
        <v>356.19</v>
      </c>
      <c r="W4" s="3">
        <f t="shared" si="7"/>
        <v>244.88900000000001</v>
      </c>
      <c r="X4">
        <f t="shared" si="8"/>
        <v>244.88900000000001</v>
      </c>
      <c r="AD4" s="3">
        <v>0.18</v>
      </c>
      <c r="AE4">
        <f t="shared" si="9"/>
        <v>1.0339480217633115</v>
      </c>
    </row>
    <row r="5" spans="1:31" x14ac:dyDescent="0.2">
      <c r="A5" s="1" t="s">
        <v>19</v>
      </c>
      <c r="B5" s="3">
        <v>20</v>
      </c>
      <c r="C5" s="1">
        <v>8.1</v>
      </c>
      <c r="D5" s="3">
        <v>0.18</v>
      </c>
      <c r="E5" s="3">
        <v>361.06</v>
      </c>
      <c r="F5" s="3">
        <v>69.015000000000001</v>
      </c>
      <c r="G5" s="3">
        <v>263.73200000000003</v>
      </c>
      <c r="H5" s="3">
        <v>259.05099999999999</v>
      </c>
      <c r="I5" s="3">
        <v>253.02799999999999</v>
      </c>
      <c r="J5" s="3">
        <v>283.15199999999999</v>
      </c>
      <c r="K5" s="3">
        <v>152.48099999999999</v>
      </c>
      <c r="L5" s="3">
        <v>173.17</v>
      </c>
      <c r="M5" s="2"/>
      <c r="N5" s="2">
        <f t="shared" si="0"/>
        <v>1384.614</v>
      </c>
      <c r="O5" s="2">
        <f t="shared" si="1"/>
        <v>263.73200000000003</v>
      </c>
      <c r="P5" s="2">
        <f t="shared" si="2"/>
        <v>283.15199999999999</v>
      </c>
      <c r="Q5" s="2">
        <f t="shared" si="3"/>
        <v>173.17</v>
      </c>
      <c r="R5" s="2">
        <f t="shared" si="4"/>
        <v>0.98225092138989567</v>
      </c>
      <c r="S5" s="2">
        <f t="shared" si="5"/>
        <v>0.893611911623439</v>
      </c>
      <c r="T5" s="2">
        <f t="shared" si="6"/>
        <v>0.88052780504706363</v>
      </c>
      <c r="V5" s="3">
        <v>361.06</v>
      </c>
      <c r="W5" s="3">
        <f t="shared" si="7"/>
        <v>283.15199999999999</v>
      </c>
      <c r="X5">
        <f t="shared" si="8"/>
        <v>283.15199999999999</v>
      </c>
      <c r="AD5" s="3">
        <v>0.18</v>
      </c>
      <c r="AE5">
        <f t="shared" si="9"/>
        <v>1.080510274263121</v>
      </c>
    </row>
    <row r="6" spans="1:31" x14ac:dyDescent="0.2">
      <c r="A6" s="1" t="s">
        <v>19</v>
      </c>
      <c r="B6" s="3">
        <v>20</v>
      </c>
      <c r="C6" s="1">
        <v>8.1</v>
      </c>
      <c r="D6" s="3">
        <v>0.18</v>
      </c>
      <c r="E6" s="3">
        <v>367.76</v>
      </c>
      <c r="F6" s="3">
        <v>70.69</v>
      </c>
      <c r="G6" s="3">
        <v>296.76600000000002</v>
      </c>
      <c r="H6" s="3">
        <v>285.714</v>
      </c>
      <c r="I6" s="3">
        <v>225.786</v>
      </c>
      <c r="J6" s="3">
        <v>233.715</v>
      </c>
      <c r="K6" s="3">
        <v>131.55500000000001</v>
      </c>
      <c r="L6" s="3">
        <v>137.405</v>
      </c>
      <c r="M6" s="2"/>
      <c r="N6" s="2">
        <f t="shared" si="0"/>
        <v>1310.941</v>
      </c>
      <c r="O6" s="2">
        <f t="shared" si="1"/>
        <v>296.76600000000002</v>
      </c>
      <c r="P6" s="2">
        <f t="shared" si="2"/>
        <v>233.715</v>
      </c>
      <c r="Q6" s="2">
        <f t="shared" si="3"/>
        <v>137.405</v>
      </c>
      <c r="R6" s="2">
        <f t="shared" si="4"/>
        <v>0.96275853702917447</v>
      </c>
      <c r="S6" s="2">
        <f t="shared" si="5"/>
        <v>0.96607406456581735</v>
      </c>
      <c r="T6" s="2">
        <f t="shared" si="6"/>
        <v>0.95742513008988028</v>
      </c>
      <c r="V6" s="3">
        <v>367.76</v>
      </c>
      <c r="W6" s="3">
        <f t="shared" si="7"/>
        <v>233.715</v>
      </c>
      <c r="X6">
        <f t="shared" si="8"/>
        <v>233.715</v>
      </c>
      <c r="AD6" s="3">
        <v>0.18</v>
      </c>
      <c r="AE6">
        <f t="shared" si="9"/>
        <v>0.98407088059003678</v>
      </c>
    </row>
    <row r="7" spans="1:31" x14ac:dyDescent="0.2">
      <c r="A7" s="1" t="s">
        <v>19</v>
      </c>
      <c r="B7" s="3">
        <v>20</v>
      </c>
      <c r="C7" s="1">
        <v>8.1</v>
      </c>
      <c r="D7" s="3">
        <v>0.18</v>
      </c>
      <c r="E7" s="3">
        <v>383.31</v>
      </c>
      <c r="F7" s="3">
        <v>74.577500000000001</v>
      </c>
      <c r="G7" s="3">
        <v>272.34800000000001</v>
      </c>
      <c r="H7" s="3">
        <v>277.38400000000001</v>
      </c>
      <c r="I7" s="3">
        <v>204.125</v>
      </c>
      <c r="J7" s="3">
        <v>196.07</v>
      </c>
      <c r="K7" s="3">
        <v>165.90100000000001</v>
      </c>
      <c r="L7" s="3">
        <v>116.34699999999999</v>
      </c>
      <c r="M7" s="2"/>
      <c r="N7" s="2">
        <f t="shared" si="0"/>
        <v>1232.175</v>
      </c>
      <c r="O7" s="2">
        <f t="shared" si="1"/>
        <v>277.38400000000001</v>
      </c>
      <c r="P7" s="2">
        <f t="shared" si="2"/>
        <v>204.125</v>
      </c>
      <c r="Q7" s="2">
        <f t="shared" si="3"/>
        <v>165.90100000000001</v>
      </c>
      <c r="R7" s="2">
        <f t="shared" si="4"/>
        <v>0.98184466299426065</v>
      </c>
      <c r="S7" s="2">
        <f t="shared" si="5"/>
        <v>0.96053888548683397</v>
      </c>
      <c r="T7" s="2">
        <f t="shared" si="6"/>
        <v>0.70130378960946582</v>
      </c>
      <c r="V7" s="3">
        <v>383.31</v>
      </c>
      <c r="W7" s="3">
        <f t="shared" si="7"/>
        <v>204.125</v>
      </c>
      <c r="X7">
        <f t="shared" si="8"/>
        <v>204.125</v>
      </c>
      <c r="AD7" s="3">
        <v>0.18</v>
      </c>
      <c r="AE7">
        <f t="shared" si="9"/>
        <v>0.90007266093117289</v>
      </c>
    </row>
    <row r="8" spans="1:31" x14ac:dyDescent="0.2">
      <c r="A8" s="1" t="s">
        <v>19</v>
      </c>
      <c r="B8" s="3">
        <v>20</v>
      </c>
      <c r="C8" s="1">
        <v>8.1</v>
      </c>
      <c r="D8" s="3">
        <v>0.18</v>
      </c>
      <c r="E8" s="3">
        <v>359.06</v>
      </c>
      <c r="F8" s="3">
        <v>68.515000000000001</v>
      </c>
      <c r="G8" s="3">
        <v>261.14299999999997</v>
      </c>
      <c r="H8" s="3">
        <v>261.512</v>
      </c>
      <c r="I8" s="3">
        <v>142.54599999999999</v>
      </c>
      <c r="J8" s="3">
        <v>166.28</v>
      </c>
      <c r="K8" s="3">
        <v>139.91900000000001</v>
      </c>
      <c r="L8" s="3">
        <v>138.11199999999999</v>
      </c>
      <c r="M8" s="2"/>
      <c r="N8" s="2">
        <f t="shared" si="0"/>
        <v>1109.5119999999999</v>
      </c>
      <c r="O8" s="2">
        <f t="shared" si="1"/>
        <v>261.512</v>
      </c>
      <c r="P8" s="2">
        <f t="shared" si="2"/>
        <v>166.28</v>
      </c>
      <c r="Q8" s="2">
        <f t="shared" si="3"/>
        <v>139.91900000000001</v>
      </c>
      <c r="R8" s="2">
        <f t="shared" si="4"/>
        <v>0.99858897488451759</v>
      </c>
      <c r="S8" s="2">
        <f t="shared" si="5"/>
        <v>0.85726485446235257</v>
      </c>
      <c r="T8" s="2">
        <f t="shared" si="6"/>
        <v>0.98708538511567401</v>
      </c>
      <c r="V8" s="3">
        <v>359.06</v>
      </c>
      <c r="W8" s="3">
        <f t="shared" si="7"/>
        <v>166.28</v>
      </c>
      <c r="X8">
        <f t="shared" si="8"/>
        <v>166.28</v>
      </c>
      <c r="AD8" s="3">
        <v>0.18</v>
      </c>
      <c r="AE8">
        <f t="shared" si="9"/>
        <v>0.90068073335333521</v>
      </c>
    </row>
    <row r="9" spans="1:31" x14ac:dyDescent="0.2">
      <c r="A9" s="1" t="s">
        <v>19</v>
      </c>
      <c r="B9" s="3">
        <v>20</v>
      </c>
      <c r="C9" s="1">
        <v>8.1</v>
      </c>
      <c r="D9" s="3">
        <v>0.18</v>
      </c>
      <c r="E9" s="3">
        <v>347.84</v>
      </c>
      <c r="F9" s="3">
        <v>65.709999999999994</v>
      </c>
      <c r="G9" s="3">
        <v>251.02799999999999</v>
      </c>
      <c r="H9" s="3">
        <v>281.029</v>
      </c>
      <c r="I9" s="3">
        <v>193.066</v>
      </c>
      <c r="J9" s="3">
        <v>254.8</v>
      </c>
      <c r="K9" s="3">
        <v>151.602</v>
      </c>
      <c r="L9" s="3">
        <v>139.12799999999999</v>
      </c>
      <c r="M9" s="2"/>
      <c r="N9" s="2">
        <f t="shared" si="0"/>
        <v>1270.653</v>
      </c>
      <c r="O9" s="2">
        <f t="shared" si="1"/>
        <v>281.029</v>
      </c>
      <c r="P9" s="2">
        <f t="shared" si="2"/>
        <v>254.8</v>
      </c>
      <c r="Q9" s="2">
        <f t="shared" si="3"/>
        <v>151.602</v>
      </c>
      <c r="R9" s="2">
        <f t="shared" si="4"/>
        <v>0.893245892772632</v>
      </c>
      <c r="S9" s="2">
        <f t="shared" si="5"/>
        <v>0.75771585557299836</v>
      </c>
      <c r="T9" s="2">
        <f t="shared" si="6"/>
        <v>0.91771876360470162</v>
      </c>
      <c r="V9" s="3">
        <v>347.84</v>
      </c>
      <c r="W9" s="3">
        <f t="shared" si="7"/>
        <v>254.8</v>
      </c>
      <c r="X9">
        <f t="shared" si="8"/>
        <v>254.8</v>
      </c>
      <c r="AD9" s="3">
        <v>0.18</v>
      </c>
      <c r="AE9">
        <f t="shared" si="9"/>
        <v>1.0750369345737762</v>
      </c>
    </row>
    <row r="10" spans="1:31" x14ac:dyDescent="0.2">
      <c r="A10" s="1" t="s">
        <v>19</v>
      </c>
      <c r="B10" s="3">
        <v>20</v>
      </c>
      <c r="C10" s="1">
        <v>8.1</v>
      </c>
      <c r="D10" s="3">
        <v>0.18</v>
      </c>
      <c r="E10" s="3">
        <v>365.61</v>
      </c>
      <c r="F10" s="3">
        <v>70.152500000000003</v>
      </c>
      <c r="G10" s="3">
        <v>256.86500000000001</v>
      </c>
      <c r="H10" s="3">
        <v>250.65899999999999</v>
      </c>
      <c r="I10" s="3">
        <v>252.24199999999999</v>
      </c>
      <c r="J10" s="3">
        <v>274.233</v>
      </c>
      <c r="K10" s="3">
        <v>157.71899999999999</v>
      </c>
      <c r="L10" s="3">
        <v>167.566</v>
      </c>
      <c r="M10" s="2"/>
      <c r="N10" s="2">
        <f t="shared" si="0"/>
        <v>1359.2840000000001</v>
      </c>
      <c r="O10" s="2">
        <f t="shared" si="1"/>
        <v>256.86500000000001</v>
      </c>
      <c r="P10" s="2">
        <f t="shared" si="2"/>
        <v>274.233</v>
      </c>
      <c r="Q10" s="2">
        <f t="shared" si="3"/>
        <v>167.566</v>
      </c>
      <c r="R10" s="2">
        <f t="shared" si="4"/>
        <v>0.97583944873766371</v>
      </c>
      <c r="S10" s="2">
        <f t="shared" si="5"/>
        <v>0.91980906747182134</v>
      </c>
      <c r="T10" s="2">
        <f t="shared" si="6"/>
        <v>0.94123509542508621</v>
      </c>
      <c r="V10" s="3">
        <v>365.61</v>
      </c>
      <c r="W10" s="3">
        <f t="shared" si="7"/>
        <v>274.233</v>
      </c>
      <c r="X10">
        <f t="shared" si="8"/>
        <v>274.233</v>
      </c>
      <c r="AD10" s="3">
        <v>0.18</v>
      </c>
      <c r="AE10">
        <f t="shared" si="9"/>
        <v>1.0531346029780793</v>
      </c>
    </row>
    <row r="11" spans="1:31" x14ac:dyDescent="0.2">
      <c r="A11" s="1" t="s">
        <v>19</v>
      </c>
      <c r="B11" s="3">
        <v>20</v>
      </c>
      <c r="C11" s="1">
        <v>8.1</v>
      </c>
      <c r="D11" s="3">
        <v>0.18</v>
      </c>
      <c r="E11" s="3">
        <v>410.65</v>
      </c>
      <c r="F11" s="3">
        <v>81.412499999999994</v>
      </c>
      <c r="G11" s="3">
        <v>294.226</v>
      </c>
      <c r="H11" s="3">
        <v>315.02800000000002</v>
      </c>
      <c r="I11" s="3">
        <v>317.47199999999998</v>
      </c>
      <c r="J11" s="3">
        <v>341.36700000000002</v>
      </c>
      <c r="K11" s="3">
        <v>197.36</v>
      </c>
      <c r="L11" s="3">
        <v>176.26599999999999</v>
      </c>
      <c r="M11" s="2"/>
      <c r="N11" s="2">
        <f t="shared" si="0"/>
        <v>1641.7190000000001</v>
      </c>
      <c r="O11" s="2">
        <f t="shared" si="1"/>
        <v>315.02800000000002</v>
      </c>
      <c r="P11" s="2">
        <f t="shared" si="2"/>
        <v>341.36700000000002</v>
      </c>
      <c r="Q11" s="2">
        <f t="shared" si="3"/>
        <v>197.36</v>
      </c>
      <c r="R11" s="2">
        <f t="shared" si="4"/>
        <v>0.93396777429307865</v>
      </c>
      <c r="S11" s="2">
        <f t="shared" si="5"/>
        <v>0.93000202128500986</v>
      </c>
      <c r="T11" s="2">
        <f t="shared" si="6"/>
        <v>0.89311917308471822</v>
      </c>
      <c r="V11" s="3">
        <v>410.65</v>
      </c>
      <c r="W11" s="3">
        <f t="shared" si="7"/>
        <v>341.36700000000002</v>
      </c>
      <c r="X11">
        <f t="shared" si="8"/>
        <v>341.36700000000002</v>
      </c>
      <c r="AD11" s="3">
        <v>0.18</v>
      </c>
      <c r="AE11">
        <f t="shared" si="9"/>
        <v>1.030970808748976</v>
      </c>
    </row>
    <row r="12" spans="1:31" x14ac:dyDescent="0.2">
      <c r="A12" s="1" t="s">
        <v>19</v>
      </c>
      <c r="B12" s="3">
        <v>20</v>
      </c>
      <c r="C12" s="1">
        <v>8.1</v>
      </c>
      <c r="D12" s="3">
        <v>3</v>
      </c>
      <c r="E12" s="3">
        <v>423.69</v>
      </c>
      <c r="F12" s="3">
        <v>84.672499999999999</v>
      </c>
      <c r="G12" s="3">
        <v>328.22500000000002</v>
      </c>
      <c r="H12" s="3">
        <v>340.596</v>
      </c>
      <c r="I12" s="3">
        <v>232.03200000000001</v>
      </c>
      <c r="J12" s="3">
        <v>240.452</v>
      </c>
      <c r="K12" s="3">
        <v>172.047</v>
      </c>
      <c r="L12" s="3">
        <v>153.501</v>
      </c>
      <c r="M12" s="2"/>
      <c r="N12" s="2">
        <f t="shared" si="0"/>
        <v>1466.8530000000001</v>
      </c>
      <c r="O12" s="2">
        <f t="shared" si="1"/>
        <v>340.596</v>
      </c>
      <c r="P12" s="2">
        <f t="shared" si="2"/>
        <v>240.452</v>
      </c>
      <c r="Q12" s="2">
        <f t="shared" si="3"/>
        <v>172.047</v>
      </c>
      <c r="R12" s="2">
        <f t="shared" si="4"/>
        <v>0.96367837555344171</v>
      </c>
      <c r="S12" s="2">
        <f t="shared" si="5"/>
        <v>0.96498261607306246</v>
      </c>
      <c r="T12" s="2">
        <f t="shared" si="6"/>
        <v>0.89220387452265959</v>
      </c>
      <c r="V12" s="3">
        <v>423.69</v>
      </c>
      <c r="W12" s="3">
        <f t="shared" si="7"/>
        <v>240.452</v>
      </c>
      <c r="Y12">
        <f>W12</f>
        <v>240.452</v>
      </c>
      <c r="AD12" s="3">
        <v>3</v>
      </c>
      <c r="AE12">
        <f t="shared" si="9"/>
        <v>0.86324563719211056</v>
      </c>
    </row>
    <row r="13" spans="1:31" x14ac:dyDescent="0.2">
      <c r="A13" s="1" t="s">
        <v>19</v>
      </c>
      <c r="B13" s="3">
        <v>20</v>
      </c>
      <c r="C13" s="1">
        <v>8.1</v>
      </c>
      <c r="D13" s="3">
        <v>3</v>
      </c>
      <c r="E13" s="3">
        <v>364.09</v>
      </c>
      <c r="F13" s="3">
        <v>69.772499999999994</v>
      </c>
      <c r="G13" s="3">
        <v>273.45100000000002</v>
      </c>
      <c r="H13" s="3">
        <v>287.11</v>
      </c>
      <c r="I13" s="3">
        <v>197.50399999999999</v>
      </c>
      <c r="J13" s="3">
        <v>189.41900000000001</v>
      </c>
      <c r="K13" s="3">
        <v>152.45699999999999</v>
      </c>
      <c r="L13" s="3">
        <v>159.834</v>
      </c>
      <c r="M13" s="2"/>
      <c r="N13" s="2">
        <f t="shared" si="0"/>
        <v>1259.7750000000001</v>
      </c>
      <c r="O13" s="2">
        <f t="shared" si="1"/>
        <v>287.11</v>
      </c>
      <c r="P13" s="2">
        <f t="shared" si="2"/>
        <v>197.50399999999999</v>
      </c>
      <c r="Q13" s="2">
        <f t="shared" si="3"/>
        <v>159.834</v>
      </c>
      <c r="R13" s="2">
        <f t="shared" si="4"/>
        <v>0.95242589948103518</v>
      </c>
      <c r="S13" s="2">
        <f t="shared" si="5"/>
        <v>0.95906412022035004</v>
      </c>
      <c r="T13" s="2">
        <f t="shared" si="6"/>
        <v>0.95384586508502567</v>
      </c>
      <c r="V13" s="3">
        <v>364.09</v>
      </c>
      <c r="W13" s="3">
        <f t="shared" si="7"/>
        <v>197.50399999999999</v>
      </c>
      <c r="Y13">
        <f t="shared" ref="Y13:Y20" si="10">W13</f>
        <v>197.50399999999999</v>
      </c>
      <c r="AD13" s="3">
        <v>3</v>
      </c>
      <c r="AE13">
        <f t="shared" si="9"/>
        <v>0.93720356893487267</v>
      </c>
    </row>
    <row r="14" spans="1:31" x14ac:dyDescent="0.2">
      <c r="A14" s="1" t="s">
        <v>19</v>
      </c>
      <c r="B14" s="3">
        <v>20</v>
      </c>
      <c r="C14" s="1">
        <v>8.1</v>
      </c>
      <c r="D14" s="3">
        <v>3</v>
      </c>
      <c r="E14" s="3">
        <v>369.7</v>
      </c>
      <c r="F14" s="3">
        <v>71.174999999999997</v>
      </c>
      <c r="G14" s="3">
        <v>242.68100000000001</v>
      </c>
      <c r="H14" s="3">
        <v>248.00700000000001</v>
      </c>
      <c r="I14" s="3">
        <v>188.29</v>
      </c>
      <c r="J14" s="3">
        <v>227.9</v>
      </c>
      <c r="K14" s="3">
        <v>205.114</v>
      </c>
      <c r="L14" s="3">
        <v>126.372</v>
      </c>
      <c r="M14" s="2"/>
      <c r="N14" s="2">
        <f t="shared" si="0"/>
        <v>1238.364</v>
      </c>
      <c r="O14" s="2">
        <f t="shared" si="1"/>
        <v>248.00700000000001</v>
      </c>
      <c r="P14" s="2">
        <f t="shared" si="2"/>
        <v>227.9</v>
      </c>
      <c r="Q14" s="2">
        <f t="shared" si="3"/>
        <v>205.114</v>
      </c>
      <c r="R14" s="2">
        <f t="shared" si="4"/>
        <v>0.97852479970323425</v>
      </c>
      <c r="S14" s="2">
        <f t="shared" si="5"/>
        <v>0.82619569986836328</v>
      </c>
      <c r="T14" s="2">
        <f t="shared" si="6"/>
        <v>0.61610616535195062</v>
      </c>
      <c r="V14" s="3">
        <v>369.7</v>
      </c>
      <c r="W14" s="3">
        <f t="shared" si="7"/>
        <v>227.9</v>
      </c>
      <c r="Y14">
        <f t="shared" si="10"/>
        <v>227.9</v>
      </c>
      <c r="AD14" s="3">
        <v>3</v>
      </c>
      <c r="AE14">
        <f t="shared" si="9"/>
        <v>0.96992617274471316</v>
      </c>
    </row>
    <row r="15" spans="1:31" x14ac:dyDescent="0.2">
      <c r="A15" s="1" t="s">
        <v>19</v>
      </c>
      <c r="B15" s="3">
        <v>20</v>
      </c>
      <c r="C15" s="1">
        <v>8.1</v>
      </c>
      <c r="D15" s="3">
        <v>3</v>
      </c>
      <c r="E15" s="3">
        <v>366.24</v>
      </c>
      <c r="F15" s="3">
        <v>70.31</v>
      </c>
      <c r="G15" s="3">
        <v>266.00099999999998</v>
      </c>
      <c r="H15" s="3">
        <v>253.898</v>
      </c>
      <c r="I15" s="3">
        <v>203.77099999999999</v>
      </c>
      <c r="J15" s="3">
        <v>184.49199999999999</v>
      </c>
      <c r="K15" s="3">
        <v>199.78200000000001</v>
      </c>
      <c r="L15" s="3">
        <v>146.208</v>
      </c>
      <c r="M15" s="2"/>
      <c r="N15" s="2">
        <f t="shared" si="0"/>
        <v>1254.152</v>
      </c>
      <c r="O15" s="2">
        <f t="shared" si="1"/>
        <v>266.00099999999998</v>
      </c>
      <c r="P15" s="2">
        <f t="shared" si="2"/>
        <v>203.77099999999999</v>
      </c>
      <c r="Q15" s="2">
        <f t="shared" si="3"/>
        <v>199.78200000000001</v>
      </c>
      <c r="R15" s="2">
        <f t="shared" si="4"/>
        <v>0.95450017105198859</v>
      </c>
      <c r="S15" s="2">
        <f t="shared" si="5"/>
        <v>0.90538889243317255</v>
      </c>
      <c r="T15" s="2">
        <f t="shared" si="6"/>
        <v>0.73183770309637497</v>
      </c>
      <c r="V15" s="3">
        <v>366.24</v>
      </c>
      <c r="W15" s="3">
        <f t="shared" si="7"/>
        <v>203.77099999999999</v>
      </c>
      <c r="Y15">
        <f t="shared" si="10"/>
        <v>203.77099999999999</v>
      </c>
      <c r="AD15" s="3">
        <v>3</v>
      </c>
      <c r="AE15">
        <f t="shared" si="9"/>
        <v>0.94147206107048442</v>
      </c>
    </row>
    <row r="16" spans="1:31" x14ac:dyDescent="0.2">
      <c r="A16" s="1" t="s">
        <v>19</v>
      </c>
      <c r="B16" s="3">
        <v>20</v>
      </c>
      <c r="C16" s="1">
        <v>8.1</v>
      </c>
      <c r="D16" s="3">
        <v>3</v>
      </c>
      <c r="E16" s="3">
        <v>391.35</v>
      </c>
      <c r="F16" s="3">
        <v>76.587500000000006</v>
      </c>
      <c r="G16" s="3">
        <v>264.38900000000001</v>
      </c>
      <c r="H16" s="3">
        <v>267.49700000000001</v>
      </c>
      <c r="I16" s="3">
        <v>208.066</v>
      </c>
      <c r="J16" s="3">
        <v>255.76300000000001</v>
      </c>
      <c r="K16" s="3">
        <v>152.971</v>
      </c>
      <c r="L16" s="3">
        <v>166.501</v>
      </c>
      <c r="M16" s="2"/>
      <c r="N16" s="2">
        <f t="shared" si="0"/>
        <v>1315.1870000000001</v>
      </c>
      <c r="O16" s="2">
        <f t="shared" si="1"/>
        <v>267.49700000000001</v>
      </c>
      <c r="P16" s="2">
        <f t="shared" si="2"/>
        <v>255.76300000000001</v>
      </c>
      <c r="Q16" s="2">
        <f t="shared" si="3"/>
        <v>166.501</v>
      </c>
      <c r="R16" s="2">
        <f t="shared" si="4"/>
        <v>0.98838117810667037</v>
      </c>
      <c r="S16" s="2">
        <f t="shared" si="5"/>
        <v>0.81351094568018045</v>
      </c>
      <c r="T16" s="2">
        <f t="shared" si="6"/>
        <v>0.91873922679143072</v>
      </c>
      <c r="V16" s="3">
        <v>391.35</v>
      </c>
      <c r="W16" s="3">
        <f t="shared" si="7"/>
        <v>255.76300000000001</v>
      </c>
      <c r="Y16">
        <f t="shared" si="10"/>
        <v>255.76300000000001</v>
      </c>
      <c r="AD16" s="3">
        <v>3</v>
      </c>
      <c r="AE16">
        <f t="shared" si="9"/>
        <v>0.95692013072635207</v>
      </c>
    </row>
    <row r="17" spans="1:31" x14ac:dyDescent="0.2">
      <c r="A17" s="1" t="s">
        <v>19</v>
      </c>
      <c r="B17" s="3">
        <v>20</v>
      </c>
      <c r="C17" s="1">
        <v>8.1</v>
      </c>
      <c r="D17" s="3">
        <v>3</v>
      </c>
      <c r="E17" s="3">
        <v>403.63</v>
      </c>
      <c r="F17" s="3">
        <v>79.657499999999999</v>
      </c>
      <c r="G17" s="3">
        <v>274.73500000000001</v>
      </c>
      <c r="H17" s="3">
        <v>285.08800000000002</v>
      </c>
      <c r="I17" s="3">
        <v>296.76400000000001</v>
      </c>
      <c r="J17" s="3">
        <v>269.50700000000001</v>
      </c>
      <c r="K17" s="3">
        <v>186.50800000000001</v>
      </c>
      <c r="L17" s="3">
        <v>220.34299999999999</v>
      </c>
      <c r="M17" s="2"/>
      <c r="N17" s="2">
        <f t="shared" si="0"/>
        <v>1532.9450000000002</v>
      </c>
      <c r="O17" s="2">
        <f t="shared" si="1"/>
        <v>285.08800000000002</v>
      </c>
      <c r="P17" s="2">
        <f t="shared" si="2"/>
        <v>296.76400000000001</v>
      </c>
      <c r="Q17" s="2">
        <f t="shared" si="3"/>
        <v>220.34299999999999</v>
      </c>
      <c r="R17" s="2">
        <f t="shared" si="4"/>
        <v>0.96368489729487028</v>
      </c>
      <c r="S17" s="2">
        <f t="shared" si="5"/>
        <v>0.90815260611125337</v>
      </c>
      <c r="T17" s="2">
        <f t="shared" si="6"/>
        <v>0.84644395329100552</v>
      </c>
      <c r="V17" s="3">
        <v>403.63</v>
      </c>
      <c r="W17" s="3">
        <f t="shared" si="7"/>
        <v>296.76400000000001</v>
      </c>
      <c r="Y17">
        <f t="shared" si="10"/>
        <v>296.76400000000001</v>
      </c>
      <c r="AD17" s="3">
        <v>3</v>
      </c>
      <c r="AE17">
        <f t="shared" si="9"/>
        <v>0.98580657454916709</v>
      </c>
    </row>
    <row r="18" spans="1:31" x14ac:dyDescent="0.2">
      <c r="A18" s="1" t="s">
        <v>19</v>
      </c>
      <c r="B18" s="3">
        <v>20</v>
      </c>
      <c r="C18" s="1">
        <v>8.1</v>
      </c>
      <c r="D18" s="3">
        <v>3</v>
      </c>
      <c r="E18" s="3">
        <v>379.08</v>
      </c>
      <c r="F18" s="3">
        <v>73.52</v>
      </c>
      <c r="G18" s="3">
        <v>281.52</v>
      </c>
      <c r="H18" s="3">
        <v>280.803</v>
      </c>
      <c r="I18" s="3">
        <v>214.435</v>
      </c>
      <c r="J18" s="3">
        <v>191.91499999999999</v>
      </c>
      <c r="K18" s="3">
        <v>182.857</v>
      </c>
      <c r="L18" s="3">
        <v>98.915999999999997</v>
      </c>
      <c r="M18" s="2"/>
      <c r="N18" s="2">
        <f t="shared" si="0"/>
        <v>1250.4459999999999</v>
      </c>
      <c r="O18" s="2">
        <f t="shared" si="1"/>
        <v>281.52</v>
      </c>
      <c r="P18" s="2">
        <f t="shared" si="2"/>
        <v>214.435</v>
      </c>
      <c r="Q18" s="2">
        <f t="shared" si="3"/>
        <v>182.857</v>
      </c>
      <c r="R18" s="2">
        <f t="shared" si="4"/>
        <v>0.9974531116794545</v>
      </c>
      <c r="S18" s="2">
        <f t="shared" si="5"/>
        <v>0.89497983071793308</v>
      </c>
      <c r="T18" s="2">
        <f t="shared" si="6"/>
        <v>0.54094729761507621</v>
      </c>
      <c r="V18" s="3">
        <v>379.08</v>
      </c>
      <c r="W18" s="3">
        <f t="shared" si="7"/>
        <v>214.435</v>
      </c>
      <c r="Y18">
        <f t="shared" si="10"/>
        <v>214.435</v>
      </c>
      <c r="AD18" s="3">
        <v>3</v>
      </c>
      <c r="AE18">
        <f t="shared" si="9"/>
        <v>0.92564516950933751</v>
      </c>
    </row>
    <row r="19" spans="1:31" x14ac:dyDescent="0.2">
      <c r="A19" s="1" t="s">
        <v>19</v>
      </c>
      <c r="B19" s="3">
        <v>20</v>
      </c>
      <c r="C19" s="1">
        <v>8.1</v>
      </c>
      <c r="D19" s="3">
        <v>3</v>
      </c>
      <c r="E19" s="3">
        <v>375.82</v>
      </c>
      <c r="F19" s="3">
        <v>72.704999999999998</v>
      </c>
      <c r="G19" s="3">
        <v>278.798</v>
      </c>
      <c r="H19" s="3">
        <v>273.67200000000003</v>
      </c>
      <c r="I19" s="3">
        <v>211.87799999999999</v>
      </c>
      <c r="J19" s="3">
        <v>241.40600000000001</v>
      </c>
      <c r="K19" s="3">
        <v>172.56299999999999</v>
      </c>
      <c r="L19" s="3">
        <v>176.46199999999999</v>
      </c>
      <c r="M19" s="2"/>
      <c r="N19" s="2">
        <f t="shared" si="0"/>
        <v>1354.779</v>
      </c>
      <c r="O19" s="2">
        <f t="shared" si="1"/>
        <v>278.798</v>
      </c>
      <c r="P19" s="2">
        <f t="shared" si="2"/>
        <v>241.40600000000001</v>
      </c>
      <c r="Q19" s="2">
        <f t="shared" si="3"/>
        <v>176.46199999999999</v>
      </c>
      <c r="R19" s="2">
        <f t="shared" si="4"/>
        <v>0.98161392836390515</v>
      </c>
      <c r="S19" s="2">
        <f t="shared" si="5"/>
        <v>0.87768323902471346</v>
      </c>
      <c r="T19" s="2">
        <f t="shared" si="6"/>
        <v>0.97790459135677932</v>
      </c>
      <c r="V19" s="3">
        <v>375.82</v>
      </c>
      <c r="W19" s="3">
        <f t="shared" si="7"/>
        <v>241.40600000000001</v>
      </c>
      <c r="Y19">
        <f t="shared" si="10"/>
        <v>241.40600000000001</v>
      </c>
      <c r="AD19" s="3">
        <v>3</v>
      </c>
      <c r="AE19">
        <f t="shared" si="9"/>
        <v>0.97465076662603123</v>
      </c>
    </row>
    <row r="20" spans="1:31" x14ac:dyDescent="0.2">
      <c r="A20" s="1" t="s">
        <v>19</v>
      </c>
      <c r="B20" s="3">
        <v>20</v>
      </c>
      <c r="C20" s="1">
        <v>8.1</v>
      </c>
      <c r="D20" s="3">
        <v>3</v>
      </c>
      <c r="E20" s="3">
        <v>380.94</v>
      </c>
      <c r="F20" s="3">
        <v>73.984999999999999</v>
      </c>
      <c r="G20" s="3">
        <v>254.69</v>
      </c>
      <c r="H20" s="3">
        <v>314.24900000000002</v>
      </c>
      <c r="I20" s="3">
        <v>192.3</v>
      </c>
      <c r="J20" s="3">
        <v>189.18899999999999</v>
      </c>
      <c r="K20" s="3">
        <v>188.56899999999999</v>
      </c>
      <c r="L20" s="3">
        <v>131.744</v>
      </c>
      <c r="M20" s="2"/>
      <c r="N20" s="2">
        <f t="shared" si="0"/>
        <v>1270.741</v>
      </c>
      <c r="O20" s="2">
        <f t="shared" si="1"/>
        <v>314.24900000000002</v>
      </c>
      <c r="P20" s="2">
        <f t="shared" si="2"/>
        <v>192.3</v>
      </c>
      <c r="Q20" s="2">
        <f t="shared" si="3"/>
        <v>188.56899999999999</v>
      </c>
      <c r="R20" s="2">
        <f t="shared" si="4"/>
        <v>0.81047195058695487</v>
      </c>
      <c r="S20" s="2">
        <f t="shared" si="5"/>
        <v>0.9838221528861153</v>
      </c>
      <c r="T20" s="2">
        <f t="shared" si="6"/>
        <v>0.69865142202588981</v>
      </c>
      <c r="V20" s="3">
        <v>380.94</v>
      </c>
      <c r="W20" s="3">
        <f t="shared" si="7"/>
        <v>192.3</v>
      </c>
      <c r="Y20">
        <f t="shared" si="10"/>
        <v>192.3</v>
      </c>
      <c r="AD20" s="3">
        <v>3</v>
      </c>
      <c r="AE20">
        <f t="shared" si="9"/>
        <v>0.88794852259556956</v>
      </c>
    </row>
    <row r="21" spans="1:31" x14ac:dyDescent="0.2">
      <c r="A21" s="1" t="s">
        <v>19</v>
      </c>
      <c r="B21" s="3">
        <v>20</v>
      </c>
      <c r="C21" s="1">
        <v>8.1</v>
      </c>
      <c r="D21" s="3">
        <v>7</v>
      </c>
      <c r="E21" s="3">
        <v>377.41</v>
      </c>
      <c r="F21" s="3">
        <v>73.102500000000006</v>
      </c>
      <c r="G21" s="3">
        <v>278.601</v>
      </c>
      <c r="H21" s="3">
        <v>283.24299999999999</v>
      </c>
      <c r="I21" s="3">
        <v>299.041</v>
      </c>
      <c r="J21" s="3">
        <v>309.03800000000001</v>
      </c>
      <c r="K21" s="3">
        <v>213.92099999999999</v>
      </c>
      <c r="L21" s="3">
        <v>202.06899999999999</v>
      </c>
      <c r="M21" s="2"/>
      <c r="N21" s="2">
        <f t="shared" si="0"/>
        <v>1585.913</v>
      </c>
      <c r="O21" s="2">
        <f t="shared" si="1"/>
        <v>283.24299999999999</v>
      </c>
      <c r="P21" s="2">
        <f t="shared" si="2"/>
        <v>309.03800000000001</v>
      </c>
      <c r="Q21" s="2">
        <f t="shared" si="3"/>
        <v>213.92099999999999</v>
      </c>
      <c r="R21" s="2">
        <f t="shared" si="4"/>
        <v>0.98361124546767265</v>
      </c>
      <c r="S21" s="2">
        <f t="shared" si="5"/>
        <v>0.96765122735715348</v>
      </c>
      <c r="T21" s="2">
        <f t="shared" si="6"/>
        <v>0.94459636968787541</v>
      </c>
      <c r="V21" s="3">
        <v>377.41</v>
      </c>
      <c r="W21" s="3">
        <f t="shared" si="7"/>
        <v>309.03800000000001</v>
      </c>
      <c r="Z21">
        <f>W21</f>
        <v>309.03800000000001</v>
      </c>
      <c r="AD21" s="3">
        <v>7</v>
      </c>
      <c r="AE21">
        <f t="shared" si="9"/>
        <v>1.0728629752384808</v>
      </c>
    </row>
    <row r="22" spans="1:31" x14ac:dyDescent="0.2">
      <c r="A22" s="1" t="s">
        <v>19</v>
      </c>
      <c r="B22" s="3">
        <v>20</v>
      </c>
      <c r="C22" s="1">
        <v>8.1</v>
      </c>
      <c r="D22" s="3">
        <v>7</v>
      </c>
      <c r="E22" s="3">
        <v>389.56</v>
      </c>
      <c r="F22" s="3">
        <v>76.14</v>
      </c>
      <c r="G22" s="3">
        <v>316.98500000000001</v>
      </c>
      <c r="H22" s="3">
        <v>310.85399999999998</v>
      </c>
      <c r="I22" s="3">
        <v>299.78300000000002</v>
      </c>
      <c r="J22" s="3">
        <v>303.72300000000001</v>
      </c>
      <c r="K22" s="3">
        <v>222.93199999999999</v>
      </c>
      <c r="L22" s="3">
        <v>202.23699999999999</v>
      </c>
      <c r="M22" s="2"/>
      <c r="N22" s="2">
        <f t="shared" si="0"/>
        <v>1656.5140000000001</v>
      </c>
      <c r="O22" s="2">
        <f t="shared" si="1"/>
        <v>316.98500000000001</v>
      </c>
      <c r="P22" s="2">
        <f t="shared" si="2"/>
        <v>303.72300000000001</v>
      </c>
      <c r="Q22" s="2">
        <f t="shared" si="3"/>
        <v>222.93199999999999</v>
      </c>
      <c r="R22" s="2">
        <f t="shared" si="4"/>
        <v>0.9806583907755887</v>
      </c>
      <c r="S22" s="2">
        <f t="shared" si="5"/>
        <v>0.98702765348689436</v>
      </c>
      <c r="T22" s="2">
        <f t="shared" si="6"/>
        <v>0.90716900220695107</v>
      </c>
      <c r="V22" s="3">
        <v>389.56</v>
      </c>
      <c r="W22" s="3">
        <f t="shared" si="7"/>
        <v>303.72300000000001</v>
      </c>
      <c r="Z22">
        <f t="shared" ref="Z22:Z30" si="11">W22</f>
        <v>303.72300000000001</v>
      </c>
      <c r="AD22" s="3">
        <v>7</v>
      </c>
      <c r="AE22">
        <f t="shared" si="9"/>
        <v>1.0316113060881</v>
      </c>
    </row>
    <row r="23" spans="1:31" x14ac:dyDescent="0.2">
      <c r="A23" s="1" t="s">
        <v>19</v>
      </c>
      <c r="B23" s="3">
        <v>20</v>
      </c>
      <c r="C23" s="1">
        <v>8.1</v>
      </c>
      <c r="D23" s="3">
        <v>7</v>
      </c>
      <c r="E23" s="3">
        <v>394.28</v>
      </c>
      <c r="F23" s="3">
        <v>77.319999999999993</v>
      </c>
      <c r="G23" s="3">
        <v>297.45400000000001</v>
      </c>
      <c r="H23" s="3">
        <v>283.66800000000001</v>
      </c>
      <c r="I23" s="3">
        <v>215.571</v>
      </c>
      <c r="J23" s="3">
        <v>193.733</v>
      </c>
      <c r="K23" s="3">
        <v>209.15700000000001</v>
      </c>
      <c r="L23" s="3">
        <v>206.94499999999999</v>
      </c>
      <c r="M23" s="2"/>
      <c r="N23" s="2">
        <f t="shared" si="0"/>
        <v>1406.528</v>
      </c>
      <c r="O23" s="2">
        <f t="shared" si="1"/>
        <v>297.45400000000001</v>
      </c>
      <c r="P23" s="2">
        <f t="shared" si="2"/>
        <v>215.571</v>
      </c>
      <c r="Q23" s="2">
        <f t="shared" si="3"/>
        <v>209.15700000000001</v>
      </c>
      <c r="R23" s="2">
        <f t="shared" si="4"/>
        <v>0.95365333799511853</v>
      </c>
      <c r="S23" s="2">
        <f t="shared" si="5"/>
        <v>0.89869694903303321</v>
      </c>
      <c r="T23" s="2">
        <f t="shared" si="6"/>
        <v>0.98942421243372192</v>
      </c>
      <c r="V23" s="3">
        <v>394.28</v>
      </c>
      <c r="W23" s="3">
        <f t="shared" si="7"/>
        <v>215.571</v>
      </c>
      <c r="Z23">
        <f t="shared" si="11"/>
        <v>215.571</v>
      </c>
      <c r="AD23" s="3">
        <v>7</v>
      </c>
      <c r="AE23">
        <f t="shared" si="9"/>
        <v>0.89160544490102511</v>
      </c>
    </row>
    <row r="24" spans="1:31" x14ac:dyDescent="0.2">
      <c r="A24" s="1" t="s">
        <v>19</v>
      </c>
      <c r="B24" s="3">
        <v>20</v>
      </c>
      <c r="C24" s="1">
        <v>8.1</v>
      </c>
      <c r="D24" s="3">
        <v>7</v>
      </c>
      <c r="E24" s="3">
        <v>367.4</v>
      </c>
      <c r="F24" s="3">
        <v>70.599999999999994</v>
      </c>
      <c r="G24" s="3">
        <v>274.44</v>
      </c>
      <c r="H24" s="3">
        <v>284.75599999999997</v>
      </c>
      <c r="I24" s="3">
        <v>254.8</v>
      </c>
      <c r="J24" s="3">
        <v>290.69600000000003</v>
      </c>
      <c r="K24" s="3">
        <v>202.22300000000001</v>
      </c>
      <c r="L24" s="3">
        <v>191.465</v>
      </c>
      <c r="M24" s="2"/>
      <c r="N24" s="2">
        <f t="shared" si="0"/>
        <v>1498.3799999999999</v>
      </c>
      <c r="O24" s="2">
        <f t="shared" si="1"/>
        <v>284.75599999999997</v>
      </c>
      <c r="P24" s="2">
        <f t="shared" si="2"/>
        <v>290.69600000000003</v>
      </c>
      <c r="Q24" s="2">
        <f t="shared" si="3"/>
        <v>202.22300000000001</v>
      </c>
      <c r="R24" s="2">
        <f t="shared" si="4"/>
        <v>0.96377249294132528</v>
      </c>
      <c r="S24" s="2">
        <f t="shared" si="5"/>
        <v>0.87651704873820069</v>
      </c>
      <c r="T24" s="2">
        <f t="shared" si="6"/>
        <v>0.94680130351146996</v>
      </c>
      <c r="V24" s="3">
        <v>367.4</v>
      </c>
      <c r="W24" s="3">
        <f t="shared" si="7"/>
        <v>290.69600000000003</v>
      </c>
      <c r="Z24">
        <f t="shared" si="11"/>
        <v>290.69600000000003</v>
      </c>
      <c r="AD24" s="3">
        <v>7</v>
      </c>
      <c r="AE24">
        <f t="shared" si="9"/>
        <v>1.0735885978207094</v>
      </c>
    </row>
    <row r="25" spans="1:31" x14ac:dyDescent="0.2">
      <c r="A25" s="1" t="s">
        <v>19</v>
      </c>
      <c r="B25" s="3">
        <v>20</v>
      </c>
      <c r="C25" s="1">
        <v>8.1</v>
      </c>
      <c r="D25" s="3">
        <v>7</v>
      </c>
      <c r="E25" s="3">
        <v>399.97</v>
      </c>
      <c r="F25" s="3">
        <v>78.742500000000007</v>
      </c>
      <c r="G25" s="3">
        <v>322.83199999999999</v>
      </c>
      <c r="H25" s="3">
        <v>327.06200000000001</v>
      </c>
      <c r="I25" s="3">
        <v>282.96699999999998</v>
      </c>
      <c r="J25" s="3">
        <v>270.49</v>
      </c>
      <c r="K25" s="3">
        <v>230.27699999999999</v>
      </c>
      <c r="L25" s="3">
        <v>240.733</v>
      </c>
      <c r="M25" s="2"/>
      <c r="N25" s="2">
        <f t="shared" si="0"/>
        <v>1674.3610000000001</v>
      </c>
      <c r="O25" s="2">
        <f t="shared" si="1"/>
        <v>327.06200000000001</v>
      </c>
      <c r="P25" s="2">
        <f t="shared" si="2"/>
        <v>282.96699999999998</v>
      </c>
      <c r="Q25" s="2">
        <f t="shared" si="3"/>
        <v>240.733</v>
      </c>
      <c r="R25" s="2">
        <f t="shared" si="4"/>
        <v>0.98706667237404522</v>
      </c>
      <c r="S25" s="2">
        <f t="shared" si="5"/>
        <v>0.95590651913474023</v>
      </c>
      <c r="T25" s="2">
        <f t="shared" si="6"/>
        <v>0.95656598804484627</v>
      </c>
      <c r="V25" s="3">
        <v>399.97</v>
      </c>
      <c r="W25" s="3">
        <f t="shared" si="7"/>
        <v>282.96699999999998</v>
      </c>
      <c r="Z25">
        <f t="shared" si="11"/>
        <v>282.96699999999998</v>
      </c>
      <c r="AD25" s="3">
        <v>7</v>
      </c>
      <c r="AE25">
        <f t="shared" si="9"/>
        <v>0.97513165948334546</v>
      </c>
    </row>
    <row r="26" spans="1:31" x14ac:dyDescent="0.2">
      <c r="A26" s="1" t="s">
        <v>19</v>
      </c>
      <c r="B26" s="3">
        <v>20</v>
      </c>
      <c r="C26" s="1">
        <v>8.1</v>
      </c>
      <c r="D26" s="3">
        <v>7</v>
      </c>
      <c r="E26" s="3">
        <v>382.65</v>
      </c>
      <c r="F26" s="3">
        <v>74.412499999999994</v>
      </c>
      <c r="G26" s="3">
        <v>268.21699999999998</v>
      </c>
      <c r="H26" s="3">
        <v>257.50700000000001</v>
      </c>
      <c r="I26" s="3">
        <v>337.22500000000002</v>
      </c>
      <c r="J26" s="3">
        <v>320.43099999999998</v>
      </c>
      <c r="K26" s="3">
        <v>250.911</v>
      </c>
      <c r="L26" s="3">
        <v>247.023</v>
      </c>
      <c r="M26" s="2"/>
      <c r="N26" s="2">
        <f t="shared" si="0"/>
        <v>1681.3139999999999</v>
      </c>
      <c r="O26" s="2">
        <f t="shared" si="1"/>
        <v>268.21699999999998</v>
      </c>
      <c r="P26" s="2">
        <f t="shared" si="2"/>
        <v>337.22500000000002</v>
      </c>
      <c r="Q26" s="2">
        <f t="shared" si="3"/>
        <v>250.911</v>
      </c>
      <c r="R26" s="2">
        <f t="shared" si="4"/>
        <v>0.96006964510079529</v>
      </c>
      <c r="S26" s="2">
        <f t="shared" si="5"/>
        <v>0.95019942175105632</v>
      </c>
      <c r="T26" s="2">
        <f t="shared" si="6"/>
        <v>0.98450446572689121</v>
      </c>
      <c r="V26" s="3">
        <v>382.65</v>
      </c>
      <c r="W26" s="3">
        <f t="shared" si="7"/>
        <v>337.22500000000002</v>
      </c>
      <c r="Z26">
        <f t="shared" si="11"/>
        <v>337.22500000000002</v>
      </c>
      <c r="AD26" s="3">
        <v>7</v>
      </c>
      <c r="AE26">
        <f t="shared" si="9"/>
        <v>1.1002304911591438</v>
      </c>
    </row>
    <row r="27" spans="1:31" x14ac:dyDescent="0.2">
      <c r="A27" s="1" t="s">
        <v>19</v>
      </c>
      <c r="B27" s="3">
        <v>20</v>
      </c>
      <c r="C27" s="1">
        <v>8.1</v>
      </c>
      <c r="D27" s="3">
        <v>7</v>
      </c>
      <c r="E27" s="3">
        <v>389.64</v>
      </c>
      <c r="F27" s="3">
        <v>76.16</v>
      </c>
      <c r="G27" s="3">
        <v>291.52699999999999</v>
      </c>
      <c r="H27" s="3">
        <v>315.18599999999998</v>
      </c>
      <c r="I27" s="3">
        <v>297.108</v>
      </c>
      <c r="J27" s="3">
        <v>195.596</v>
      </c>
      <c r="K27" s="3">
        <v>200.679</v>
      </c>
      <c r="L27" s="3">
        <v>144.38499999999999</v>
      </c>
      <c r="M27" s="2"/>
      <c r="N27" s="2">
        <f t="shared" si="0"/>
        <v>1444.481</v>
      </c>
      <c r="O27" s="2">
        <f t="shared" si="1"/>
        <v>315.18599999999998</v>
      </c>
      <c r="P27" s="2">
        <f t="shared" si="2"/>
        <v>297.108</v>
      </c>
      <c r="Q27" s="2">
        <f t="shared" si="3"/>
        <v>200.679</v>
      </c>
      <c r="R27" s="2">
        <f t="shared" si="4"/>
        <v>0.9249363867684478</v>
      </c>
      <c r="S27" s="2">
        <f t="shared" si="5"/>
        <v>0.65833299675538859</v>
      </c>
      <c r="T27" s="2">
        <f t="shared" si="6"/>
        <v>0.71948235739663835</v>
      </c>
      <c r="V27" s="3">
        <v>389.64</v>
      </c>
      <c r="W27" s="3">
        <f t="shared" si="7"/>
        <v>297.108</v>
      </c>
      <c r="Z27">
        <f t="shared" si="11"/>
        <v>297.108</v>
      </c>
      <c r="AD27" s="3">
        <v>7</v>
      </c>
      <c r="AE27">
        <f t="shared" si="9"/>
        <v>1.0217059900996153</v>
      </c>
    </row>
    <row r="28" spans="1:31" x14ac:dyDescent="0.2">
      <c r="A28" s="1" t="s">
        <v>19</v>
      </c>
      <c r="B28" s="3">
        <v>20</v>
      </c>
      <c r="C28" s="1">
        <v>8.1</v>
      </c>
      <c r="D28" s="3">
        <v>7</v>
      </c>
      <c r="E28" s="3">
        <v>368.09</v>
      </c>
      <c r="F28" s="3">
        <v>70.772499999999994</v>
      </c>
      <c r="G28" s="3">
        <v>267.06200000000001</v>
      </c>
      <c r="H28" s="3">
        <v>262.13600000000002</v>
      </c>
      <c r="I28" s="3">
        <v>231.44499999999999</v>
      </c>
      <c r="J28" s="3">
        <v>187.797</v>
      </c>
      <c r="K28" s="3">
        <v>172.83099999999999</v>
      </c>
      <c r="L28" s="3">
        <v>166.553</v>
      </c>
      <c r="M28" s="2"/>
      <c r="N28" s="2">
        <f t="shared" si="0"/>
        <v>1287.8240000000001</v>
      </c>
      <c r="O28" s="2">
        <f t="shared" si="1"/>
        <v>267.06200000000001</v>
      </c>
      <c r="P28" s="2">
        <f t="shared" si="2"/>
        <v>231.44499999999999</v>
      </c>
      <c r="Q28" s="2">
        <f t="shared" si="3"/>
        <v>172.83099999999999</v>
      </c>
      <c r="R28" s="2">
        <f t="shared" si="4"/>
        <v>0.98155484494237299</v>
      </c>
      <c r="S28" s="2">
        <f t="shared" si="5"/>
        <v>0.81141091836073365</v>
      </c>
      <c r="T28" s="2">
        <f t="shared" si="6"/>
        <v>0.96367549802986741</v>
      </c>
      <c r="V28" s="3">
        <v>368.09</v>
      </c>
      <c r="W28" s="3">
        <f t="shared" si="7"/>
        <v>231.44499999999999</v>
      </c>
      <c r="Z28">
        <f t="shared" si="11"/>
        <v>231.44499999999999</v>
      </c>
      <c r="AD28" s="3">
        <v>7</v>
      </c>
      <c r="AE28">
        <f t="shared" si="9"/>
        <v>0.97966747554518463</v>
      </c>
    </row>
    <row r="29" spans="1:31" x14ac:dyDescent="0.2">
      <c r="A29" s="1" t="s">
        <v>19</v>
      </c>
      <c r="B29" s="3">
        <v>20</v>
      </c>
      <c r="C29" s="1">
        <v>8.1</v>
      </c>
      <c r="D29" s="3">
        <v>7</v>
      </c>
      <c r="E29" s="3">
        <v>379.88</v>
      </c>
      <c r="F29" s="3">
        <v>73.72</v>
      </c>
      <c r="G29" s="3">
        <v>240.89400000000001</v>
      </c>
      <c r="H29" s="3">
        <v>252.047</v>
      </c>
      <c r="I29" s="3">
        <v>319.70699999999999</v>
      </c>
      <c r="J29" s="3">
        <v>333.77</v>
      </c>
      <c r="K29" s="3">
        <v>253.22499999999999</v>
      </c>
      <c r="L29" s="3">
        <v>255.376</v>
      </c>
      <c r="M29" s="2"/>
      <c r="N29" s="2">
        <f t="shared" si="0"/>
        <v>1655.019</v>
      </c>
      <c r="O29" s="2">
        <f t="shared" si="1"/>
        <v>252.047</v>
      </c>
      <c r="P29" s="2">
        <f t="shared" si="2"/>
        <v>333.77</v>
      </c>
      <c r="Q29" s="2">
        <f t="shared" si="3"/>
        <v>255.376</v>
      </c>
      <c r="R29" s="2">
        <f t="shared" si="4"/>
        <v>0.95575031640924113</v>
      </c>
      <c r="S29" s="2">
        <f t="shared" si="5"/>
        <v>0.95786619528417771</v>
      </c>
      <c r="T29" s="2">
        <f t="shared" si="6"/>
        <v>0.99157712549339005</v>
      </c>
      <c r="V29" s="3">
        <v>379.88</v>
      </c>
      <c r="W29" s="3">
        <f t="shared" si="7"/>
        <v>333.77</v>
      </c>
      <c r="Z29">
        <f t="shared" si="11"/>
        <v>333.77</v>
      </c>
      <c r="AD29" s="3">
        <v>7</v>
      </c>
      <c r="AE29">
        <f t="shared" si="9"/>
        <v>1.1030601502943016</v>
      </c>
    </row>
    <row r="30" spans="1:31" x14ac:dyDescent="0.2">
      <c r="A30" s="1" t="s">
        <v>19</v>
      </c>
      <c r="B30" s="3">
        <v>20</v>
      </c>
      <c r="C30" s="1">
        <v>8.1</v>
      </c>
      <c r="D30" s="3">
        <v>7</v>
      </c>
      <c r="E30" s="3">
        <v>394.59</v>
      </c>
      <c r="F30" s="3">
        <v>77.397499999999994</v>
      </c>
      <c r="G30" s="3">
        <v>292.584</v>
      </c>
      <c r="H30" s="3">
        <v>295.221</v>
      </c>
      <c r="I30" s="3">
        <v>300.24799999999999</v>
      </c>
      <c r="J30" s="3">
        <v>180.21100000000001</v>
      </c>
      <c r="K30" s="3">
        <v>179.209</v>
      </c>
      <c r="L30" s="3">
        <v>136.876</v>
      </c>
      <c r="M30" s="2"/>
      <c r="N30" s="2">
        <f t="shared" si="0"/>
        <v>1384.3490000000002</v>
      </c>
      <c r="O30" s="2">
        <f t="shared" si="1"/>
        <v>295.221</v>
      </c>
      <c r="P30" s="2">
        <f t="shared" si="2"/>
        <v>300.24799999999999</v>
      </c>
      <c r="Q30" s="2">
        <f t="shared" si="3"/>
        <v>179.209</v>
      </c>
      <c r="R30" s="2">
        <f t="shared" si="4"/>
        <v>0.99106770859796556</v>
      </c>
      <c r="S30" s="2">
        <f t="shared" si="5"/>
        <v>0.60020716207934777</v>
      </c>
      <c r="T30" s="2">
        <f t="shared" si="6"/>
        <v>0.76377860486917515</v>
      </c>
      <c r="V30" s="3">
        <v>394.59</v>
      </c>
      <c r="W30" s="3">
        <f t="shared" si="7"/>
        <v>300.24799999999999</v>
      </c>
      <c r="Z30">
        <f t="shared" si="11"/>
        <v>300.24799999999999</v>
      </c>
      <c r="AD30" s="3">
        <v>7</v>
      </c>
      <c r="AE30">
        <f t="shared" si="9"/>
        <v>1.0134326095835</v>
      </c>
    </row>
    <row r="31" spans="1:31" x14ac:dyDescent="0.2">
      <c r="A31" s="1" t="s">
        <v>19</v>
      </c>
      <c r="B31" s="3">
        <v>20</v>
      </c>
      <c r="C31" s="1">
        <v>8.1</v>
      </c>
      <c r="D31" s="3">
        <v>10</v>
      </c>
      <c r="E31" s="3">
        <v>387.12</v>
      </c>
      <c r="F31" s="3">
        <v>75.53</v>
      </c>
      <c r="G31" s="3">
        <v>280.75200000000001</v>
      </c>
      <c r="H31" s="3">
        <v>278.85300000000001</v>
      </c>
      <c r="I31" s="3">
        <v>264.17099999999999</v>
      </c>
      <c r="J31" s="3">
        <v>277.03100000000001</v>
      </c>
      <c r="K31" s="3">
        <v>169.8</v>
      </c>
      <c r="L31" s="3">
        <v>154.75700000000001</v>
      </c>
      <c r="M31" s="2"/>
      <c r="N31" s="2">
        <f t="shared" si="0"/>
        <v>1425.364</v>
      </c>
      <c r="O31" s="2">
        <f t="shared" si="1"/>
        <v>280.75200000000001</v>
      </c>
      <c r="P31" s="2">
        <f t="shared" si="2"/>
        <v>277.03100000000001</v>
      </c>
      <c r="Q31" s="2">
        <f t="shared" si="3"/>
        <v>169.8</v>
      </c>
      <c r="R31" s="2">
        <f t="shared" si="4"/>
        <v>0.99323602325183791</v>
      </c>
      <c r="S31" s="2">
        <f t="shared" si="5"/>
        <v>0.95357920232753735</v>
      </c>
      <c r="T31" s="2">
        <f t="shared" si="6"/>
        <v>0.91140753828032972</v>
      </c>
      <c r="V31" s="3">
        <v>387.12</v>
      </c>
      <c r="W31" s="3">
        <f t="shared" si="7"/>
        <v>277.03100000000001</v>
      </c>
      <c r="AA31">
        <f>W31</f>
        <v>277.03100000000001</v>
      </c>
      <c r="AD31" s="3">
        <v>10</v>
      </c>
      <c r="AE31">
        <f t="shared" si="9"/>
        <v>0.99874488859890753</v>
      </c>
    </row>
    <row r="32" spans="1:31" x14ac:dyDescent="0.2">
      <c r="A32" s="1" t="s">
        <v>19</v>
      </c>
      <c r="B32" s="3">
        <v>20</v>
      </c>
      <c r="C32" s="1">
        <v>8.1</v>
      </c>
      <c r="D32" s="3">
        <v>10</v>
      </c>
      <c r="E32" s="3">
        <v>368.83</v>
      </c>
      <c r="F32" s="3">
        <v>70.957499999999996</v>
      </c>
      <c r="G32" s="3">
        <v>275.03699999999998</v>
      </c>
      <c r="H32" s="3">
        <v>289.35700000000003</v>
      </c>
      <c r="I32" s="3">
        <v>228.566</v>
      </c>
      <c r="J32" s="3">
        <v>203.95699999999999</v>
      </c>
      <c r="K32" s="3">
        <v>165.18799999999999</v>
      </c>
      <c r="L32" s="3">
        <v>151.583</v>
      </c>
      <c r="M32" s="2"/>
      <c r="N32" s="2">
        <f t="shared" si="0"/>
        <v>1313.6880000000001</v>
      </c>
      <c r="O32" s="2">
        <f t="shared" si="1"/>
        <v>289.35700000000003</v>
      </c>
      <c r="P32" s="2">
        <f t="shared" si="2"/>
        <v>228.566</v>
      </c>
      <c r="Q32" s="2">
        <f t="shared" si="3"/>
        <v>165.18799999999999</v>
      </c>
      <c r="R32" s="2">
        <f t="shared" si="4"/>
        <v>0.95051096050899042</v>
      </c>
      <c r="S32" s="2">
        <f t="shared" si="5"/>
        <v>0.89233306791036282</v>
      </c>
      <c r="T32" s="2">
        <f t="shared" si="6"/>
        <v>0.91763929583262716</v>
      </c>
      <c r="V32" s="3">
        <v>368.83</v>
      </c>
      <c r="W32" s="3">
        <f t="shared" si="7"/>
        <v>228.566</v>
      </c>
      <c r="AA32">
        <f t="shared" ref="AA32:AA40" si="12">W32</f>
        <v>228.566</v>
      </c>
      <c r="AD32" s="3">
        <v>10</v>
      </c>
      <c r="AE32">
        <f t="shared" si="9"/>
        <v>0.97324505403172223</v>
      </c>
    </row>
    <row r="33" spans="1:31" x14ac:dyDescent="0.2">
      <c r="A33" s="1" t="s">
        <v>19</v>
      </c>
      <c r="B33" s="3">
        <v>20</v>
      </c>
      <c r="C33" s="1">
        <v>8.1</v>
      </c>
      <c r="D33" s="3">
        <v>10</v>
      </c>
      <c r="E33" s="3">
        <v>370.54</v>
      </c>
      <c r="F33" s="3">
        <v>71.385000000000005</v>
      </c>
      <c r="G33" s="3">
        <v>247.43100000000001</v>
      </c>
      <c r="H33" s="3">
        <v>253.751</v>
      </c>
      <c r="I33" s="3">
        <v>270.81599999999997</v>
      </c>
      <c r="J33" s="3">
        <v>264.411</v>
      </c>
      <c r="K33" s="3">
        <v>194.44</v>
      </c>
      <c r="L33" s="3">
        <v>160.77799999999999</v>
      </c>
      <c r="M33" s="2"/>
      <c r="N33" s="2">
        <f t="shared" si="0"/>
        <v>1391.6270000000002</v>
      </c>
      <c r="O33" s="2">
        <f t="shared" si="1"/>
        <v>253.751</v>
      </c>
      <c r="P33" s="2">
        <f t="shared" si="2"/>
        <v>270.81599999999997</v>
      </c>
      <c r="Q33" s="2">
        <f t="shared" si="3"/>
        <v>194.44</v>
      </c>
      <c r="R33" s="2">
        <f t="shared" si="4"/>
        <v>0.97509369421204251</v>
      </c>
      <c r="S33" s="2">
        <f t="shared" si="5"/>
        <v>0.97634925558312669</v>
      </c>
      <c r="T33" s="2">
        <f t="shared" si="6"/>
        <v>0.82687718576424596</v>
      </c>
      <c r="V33" s="3">
        <v>370.54</v>
      </c>
      <c r="W33" s="3">
        <f t="shared" si="7"/>
        <v>270.81599999999997</v>
      </c>
      <c r="AA33">
        <f t="shared" si="12"/>
        <v>270.81599999999997</v>
      </c>
      <c r="AD33" s="3">
        <v>10</v>
      </c>
      <c r="AE33">
        <f t="shared" si="9"/>
        <v>1.0338574285495226</v>
      </c>
    </row>
    <row r="34" spans="1:31" x14ac:dyDescent="0.2">
      <c r="A34" s="1" t="s">
        <v>19</v>
      </c>
      <c r="B34" s="3">
        <v>20</v>
      </c>
      <c r="C34" s="1">
        <v>8.1</v>
      </c>
      <c r="D34" s="3">
        <v>10</v>
      </c>
      <c r="E34" s="3">
        <v>378.82</v>
      </c>
      <c r="F34" s="3">
        <v>73.454999999999998</v>
      </c>
      <c r="G34" s="3">
        <v>269.995</v>
      </c>
      <c r="H34" s="3">
        <v>287.19799999999998</v>
      </c>
      <c r="I34" s="3">
        <v>257.202</v>
      </c>
      <c r="J34" s="3">
        <v>274.166</v>
      </c>
      <c r="K34" s="3">
        <v>162.316</v>
      </c>
      <c r="L34" s="3">
        <v>174.601</v>
      </c>
      <c r="M34" s="2"/>
      <c r="N34" s="2">
        <f t="shared" si="0"/>
        <v>1425.4780000000001</v>
      </c>
      <c r="O34" s="2">
        <f t="shared" si="1"/>
        <v>287.19799999999998</v>
      </c>
      <c r="P34" s="2">
        <f t="shared" si="2"/>
        <v>274.166</v>
      </c>
      <c r="Q34" s="2">
        <f t="shared" si="3"/>
        <v>174.601</v>
      </c>
      <c r="R34" s="2">
        <f t="shared" si="4"/>
        <v>0.94010055780332735</v>
      </c>
      <c r="S34" s="2">
        <f t="shared" si="5"/>
        <v>0.93812507750778729</v>
      </c>
      <c r="T34" s="2">
        <f t="shared" si="6"/>
        <v>0.9296395782383835</v>
      </c>
      <c r="V34" s="3">
        <v>378.82</v>
      </c>
      <c r="W34" s="3">
        <f t="shared" si="7"/>
        <v>274.166</v>
      </c>
      <c r="AA34">
        <f t="shared" si="12"/>
        <v>274.166</v>
      </c>
      <c r="AD34" s="3">
        <v>10</v>
      </c>
      <c r="AE34">
        <f t="shared" si="9"/>
        <v>1.0163092948751862</v>
      </c>
    </row>
    <row r="35" spans="1:31" x14ac:dyDescent="0.2">
      <c r="A35" s="1" t="s">
        <v>19</v>
      </c>
      <c r="B35" s="3">
        <v>20</v>
      </c>
      <c r="C35" s="1">
        <v>8.1</v>
      </c>
      <c r="D35" s="3">
        <v>10</v>
      </c>
      <c r="E35" s="3">
        <v>326.61</v>
      </c>
      <c r="F35" s="3">
        <v>60.402500000000003</v>
      </c>
      <c r="G35" s="3">
        <v>212.77099999999999</v>
      </c>
      <c r="H35" s="3">
        <v>204.05600000000001</v>
      </c>
      <c r="I35" s="3">
        <v>226.16900000000001</v>
      </c>
      <c r="J35" s="3">
        <v>251.21100000000001</v>
      </c>
      <c r="K35" s="3">
        <v>183.97</v>
      </c>
      <c r="L35" s="3">
        <v>203.13300000000001</v>
      </c>
      <c r="M35" s="2"/>
      <c r="N35" s="2">
        <f t="shared" si="0"/>
        <v>1281.31</v>
      </c>
      <c r="O35" s="2">
        <f t="shared" si="1"/>
        <v>212.77099999999999</v>
      </c>
      <c r="P35" s="2">
        <f t="shared" si="2"/>
        <v>251.21100000000001</v>
      </c>
      <c r="Q35" s="2">
        <f t="shared" si="3"/>
        <v>203.13300000000001</v>
      </c>
      <c r="R35" s="2">
        <f t="shared" si="4"/>
        <v>0.95904047074084353</v>
      </c>
      <c r="S35" s="2">
        <f t="shared" si="5"/>
        <v>0.90031487474672689</v>
      </c>
      <c r="T35" s="2">
        <f t="shared" si="6"/>
        <v>0.9056627923577163</v>
      </c>
      <c r="V35" s="3">
        <v>326.61</v>
      </c>
      <c r="W35" s="3">
        <f t="shared" si="7"/>
        <v>251.21100000000001</v>
      </c>
      <c r="AA35">
        <f t="shared" si="12"/>
        <v>251.21100000000001</v>
      </c>
      <c r="AD35" s="3">
        <v>10</v>
      </c>
      <c r="AE35">
        <f t="shared" si="9"/>
        <v>1.1386412833455806</v>
      </c>
    </row>
    <row r="36" spans="1:31" x14ac:dyDescent="0.2">
      <c r="A36" s="1" t="s">
        <v>19</v>
      </c>
      <c r="B36" s="3">
        <v>20</v>
      </c>
      <c r="C36" s="1">
        <v>8.1</v>
      </c>
      <c r="D36" s="3">
        <v>10</v>
      </c>
      <c r="E36" s="3">
        <v>347.21</v>
      </c>
      <c r="F36" s="3">
        <v>65.552499999999995</v>
      </c>
      <c r="G36" s="3">
        <v>274.375</v>
      </c>
      <c r="H36" s="3">
        <v>260.56700000000001</v>
      </c>
      <c r="I36" s="3">
        <v>224.59200000000001</v>
      </c>
      <c r="J36" s="3">
        <v>223.03100000000001</v>
      </c>
      <c r="K36" s="3">
        <v>127.178</v>
      </c>
      <c r="L36" s="3">
        <v>144.28899999999999</v>
      </c>
      <c r="M36" s="2"/>
      <c r="N36" s="2">
        <f t="shared" si="0"/>
        <v>1254.0319999999999</v>
      </c>
      <c r="O36" s="2">
        <f t="shared" si="1"/>
        <v>274.375</v>
      </c>
      <c r="P36" s="2">
        <f t="shared" si="2"/>
        <v>224.59200000000001</v>
      </c>
      <c r="Q36" s="2">
        <f t="shared" si="3"/>
        <v>144.28899999999999</v>
      </c>
      <c r="R36" s="2">
        <f t="shared" si="4"/>
        <v>0.94967471526195901</v>
      </c>
      <c r="S36" s="2">
        <f t="shared" si="5"/>
        <v>0.99304961886442966</v>
      </c>
      <c r="T36" s="2">
        <f t="shared" si="6"/>
        <v>0.88141161141874991</v>
      </c>
      <c r="V36" s="3">
        <v>347.21</v>
      </c>
      <c r="W36" s="3">
        <f t="shared" si="7"/>
        <v>224.59200000000001</v>
      </c>
      <c r="AA36">
        <f t="shared" si="12"/>
        <v>224.59200000000001</v>
      </c>
      <c r="AD36" s="3">
        <v>10</v>
      </c>
      <c r="AE36">
        <f t="shared" si="9"/>
        <v>1.027311803718759</v>
      </c>
    </row>
    <row r="37" spans="1:31" x14ac:dyDescent="0.2">
      <c r="A37" s="1" t="s">
        <v>19</v>
      </c>
      <c r="B37" s="3">
        <v>20</v>
      </c>
      <c r="C37" s="1">
        <v>8.1</v>
      </c>
      <c r="D37" s="3">
        <v>10</v>
      </c>
      <c r="E37" s="3">
        <v>286.51</v>
      </c>
      <c r="F37" s="3">
        <v>50.377499999999998</v>
      </c>
      <c r="G37" s="3">
        <v>205.858</v>
      </c>
      <c r="H37" s="3">
        <v>203.71899999999999</v>
      </c>
      <c r="I37" s="3">
        <v>137.48500000000001</v>
      </c>
      <c r="J37" s="3">
        <v>132.71</v>
      </c>
      <c r="K37" s="3">
        <v>100.59699999999999</v>
      </c>
      <c r="L37" s="3">
        <v>100.37</v>
      </c>
      <c r="M37" s="2"/>
      <c r="N37" s="2">
        <f t="shared" si="0"/>
        <v>880.73900000000003</v>
      </c>
      <c r="O37" s="2">
        <f t="shared" si="1"/>
        <v>205.858</v>
      </c>
      <c r="P37" s="2">
        <f t="shared" si="2"/>
        <v>137.48500000000001</v>
      </c>
      <c r="Q37" s="2">
        <f t="shared" si="3"/>
        <v>100.59699999999999</v>
      </c>
      <c r="R37" s="2">
        <f t="shared" si="4"/>
        <v>0.98960934236221076</v>
      </c>
      <c r="S37" s="2">
        <f t="shared" si="5"/>
        <v>0.96526893842964678</v>
      </c>
      <c r="T37" s="2">
        <f t="shared" si="6"/>
        <v>0.99774347147529263</v>
      </c>
      <c r="V37" s="3">
        <v>286.51</v>
      </c>
      <c r="W37" s="3">
        <f t="shared" si="7"/>
        <v>137.48500000000001</v>
      </c>
      <c r="AA37">
        <f t="shared" si="12"/>
        <v>137.48500000000001</v>
      </c>
      <c r="AD37" s="3">
        <v>10</v>
      </c>
      <c r="AE37">
        <f t="shared" si="9"/>
        <v>1.0713667631489627</v>
      </c>
    </row>
    <row r="38" spans="1:31" x14ac:dyDescent="0.2">
      <c r="A38" s="1" t="s">
        <v>19</v>
      </c>
      <c r="B38" s="3">
        <v>20</v>
      </c>
      <c r="C38" s="1">
        <v>8.1</v>
      </c>
      <c r="D38" s="3">
        <v>10</v>
      </c>
      <c r="E38" s="3">
        <v>382.92</v>
      </c>
      <c r="F38" s="3">
        <v>74.48</v>
      </c>
      <c r="G38" s="3">
        <v>309.45999999999998</v>
      </c>
      <c r="H38" s="3">
        <v>312.62299999999999</v>
      </c>
      <c r="I38" s="3">
        <v>147.476</v>
      </c>
      <c r="J38" s="3">
        <v>175.273</v>
      </c>
      <c r="K38" s="3">
        <v>122.105</v>
      </c>
      <c r="L38" s="3">
        <v>163.39099999999999</v>
      </c>
      <c r="M38" s="2"/>
      <c r="N38" s="2">
        <f t="shared" si="0"/>
        <v>1230.328</v>
      </c>
      <c r="O38" s="2">
        <f t="shared" si="1"/>
        <v>312.62299999999999</v>
      </c>
      <c r="P38" s="2">
        <f t="shared" si="2"/>
        <v>175.273</v>
      </c>
      <c r="Q38" s="2">
        <f t="shared" si="3"/>
        <v>163.39099999999999</v>
      </c>
      <c r="R38" s="2">
        <f t="shared" si="4"/>
        <v>0.9898823822943289</v>
      </c>
      <c r="S38" s="2">
        <f t="shared" si="5"/>
        <v>0.84140740444905948</v>
      </c>
      <c r="T38" s="2">
        <f t="shared" si="6"/>
        <v>0.74731778372125768</v>
      </c>
      <c r="V38" s="3">
        <v>382.92</v>
      </c>
      <c r="W38" s="3">
        <f t="shared" si="7"/>
        <v>175.273</v>
      </c>
      <c r="AA38">
        <f t="shared" si="12"/>
        <v>175.273</v>
      </c>
      <c r="AD38" s="3">
        <v>10</v>
      </c>
      <c r="AE38">
        <f t="shared" si="9"/>
        <v>0.85796817471333697</v>
      </c>
    </row>
    <row r="39" spans="1:31" x14ac:dyDescent="0.2">
      <c r="A39" s="1" t="s">
        <v>19</v>
      </c>
      <c r="B39" s="3">
        <v>20</v>
      </c>
      <c r="C39" s="1">
        <v>8.1</v>
      </c>
      <c r="D39" s="3">
        <v>10</v>
      </c>
      <c r="E39" s="3">
        <v>410.71</v>
      </c>
      <c r="F39" s="3">
        <v>81.427499999999995</v>
      </c>
      <c r="G39" s="3">
        <v>292.55900000000003</v>
      </c>
      <c r="H39" s="3">
        <v>289.75900000000001</v>
      </c>
      <c r="I39" s="3">
        <v>250.97</v>
      </c>
      <c r="J39" s="3">
        <v>256.14400000000001</v>
      </c>
      <c r="K39" s="3">
        <v>224.97900000000001</v>
      </c>
      <c r="L39" s="3">
        <v>208.40700000000001</v>
      </c>
      <c r="M39" s="2"/>
      <c r="N39" s="2">
        <f t="shared" si="0"/>
        <v>1522.818</v>
      </c>
      <c r="O39" s="2">
        <f t="shared" si="1"/>
        <v>292.55900000000003</v>
      </c>
      <c r="P39" s="2">
        <f t="shared" si="2"/>
        <v>256.14400000000001</v>
      </c>
      <c r="Q39" s="2">
        <f t="shared" si="3"/>
        <v>224.97900000000001</v>
      </c>
      <c r="R39" s="2">
        <f t="shared" si="4"/>
        <v>0.99042928093136762</v>
      </c>
      <c r="S39" s="2">
        <f t="shared" si="5"/>
        <v>0.97980042476107188</v>
      </c>
      <c r="T39" s="2">
        <f t="shared" si="6"/>
        <v>0.92633979171389325</v>
      </c>
      <c r="V39" s="3">
        <v>410.71</v>
      </c>
      <c r="W39" s="3">
        <f t="shared" si="7"/>
        <v>256.14400000000001</v>
      </c>
      <c r="AA39">
        <f t="shared" si="12"/>
        <v>256.14400000000001</v>
      </c>
      <c r="AD39" s="3">
        <v>10</v>
      </c>
      <c r="AE39">
        <f t="shared" si="9"/>
        <v>0.91234261014650087</v>
      </c>
    </row>
    <row r="40" spans="1:31" x14ac:dyDescent="0.2">
      <c r="A40" s="1" t="s">
        <v>19</v>
      </c>
      <c r="B40" s="3">
        <v>20</v>
      </c>
      <c r="C40" s="1">
        <v>8.1</v>
      </c>
      <c r="D40" s="3">
        <v>10</v>
      </c>
      <c r="E40" s="3">
        <v>385.13</v>
      </c>
      <c r="F40" s="3">
        <v>75.032499999999999</v>
      </c>
      <c r="G40" s="3">
        <v>261.79700000000003</v>
      </c>
      <c r="H40" s="3">
        <v>251.982</v>
      </c>
      <c r="I40" s="3">
        <v>262.45999999999998</v>
      </c>
      <c r="J40" s="3">
        <v>233.006</v>
      </c>
      <c r="K40" s="3">
        <v>220.06700000000001</v>
      </c>
      <c r="L40" s="3">
        <v>203.86500000000001</v>
      </c>
      <c r="M40" s="2"/>
      <c r="N40" s="2">
        <f t="shared" si="0"/>
        <v>1433.1769999999999</v>
      </c>
      <c r="O40" s="2">
        <f t="shared" si="1"/>
        <v>261.79700000000003</v>
      </c>
      <c r="P40" s="2">
        <f t="shared" si="2"/>
        <v>262.45999999999998</v>
      </c>
      <c r="Q40" s="2">
        <f t="shared" si="3"/>
        <v>220.06700000000001</v>
      </c>
      <c r="R40" s="2">
        <f t="shared" si="4"/>
        <v>0.96250911966141695</v>
      </c>
      <c r="S40" s="2">
        <f t="shared" si="5"/>
        <v>0.88777718509487169</v>
      </c>
      <c r="T40" s="2">
        <f t="shared" si="6"/>
        <v>0.92637696701459105</v>
      </c>
      <c r="V40" s="3">
        <v>385.13</v>
      </c>
      <c r="W40" s="3">
        <f t="shared" si="7"/>
        <v>262.45999999999998</v>
      </c>
      <c r="AA40">
        <f t="shared" si="12"/>
        <v>262.45999999999998</v>
      </c>
      <c r="AD40" s="3">
        <v>10</v>
      </c>
      <c r="AE40">
        <f t="shared" si="9"/>
        <v>0.98230335539722036</v>
      </c>
    </row>
    <row r="41" spans="1:31" x14ac:dyDescent="0.2">
      <c r="A41" s="1" t="s">
        <v>19</v>
      </c>
      <c r="B41" s="3">
        <v>20</v>
      </c>
      <c r="C41" s="1">
        <v>8.1</v>
      </c>
      <c r="D41" s="3">
        <v>20</v>
      </c>
      <c r="E41" s="3">
        <v>380.65</v>
      </c>
      <c r="F41" s="3">
        <v>73.912499999999994</v>
      </c>
      <c r="G41" s="3">
        <v>282.697</v>
      </c>
      <c r="H41" s="3">
        <v>283.72199999999998</v>
      </c>
      <c r="I41" s="3">
        <v>347.584</v>
      </c>
      <c r="J41" s="3">
        <v>349.17399999999998</v>
      </c>
      <c r="K41" s="3">
        <v>219.876</v>
      </c>
      <c r="L41" s="3">
        <v>205.685</v>
      </c>
      <c r="M41" s="2"/>
      <c r="N41" s="2">
        <f t="shared" si="0"/>
        <v>1688.7379999999998</v>
      </c>
      <c r="O41" s="2">
        <f t="shared" si="1"/>
        <v>283.72199999999998</v>
      </c>
      <c r="P41" s="2">
        <f t="shared" si="2"/>
        <v>349.17399999999998</v>
      </c>
      <c r="Q41" s="2">
        <f t="shared" si="3"/>
        <v>219.876</v>
      </c>
      <c r="R41" s="2">
        <f t="shared" si="4"/>
        <v>0.99638730870359027</v>
      </c>
      <c r="S41" s="2">
        <f t="shared" si="5"/>
        <v>0.99544639635253496</v>
      </c>
      <c r="T41" s="2">
        <f t="shared" si="6"/>
        <v>0.93545907693427199</v>
      </c>
      <c r="V41" s="3">
        <v>380.65</v>
      </c>
      <c r="W41" s="3">
        <f t="shared" si="7"/>
        <v>349.17399999999998</v>
      </c>
      <c r="AB41">
        <f>W41</f>
        <v>349.17399999999998</v>
      </c>
      <c r="AD41" s="3">
        <v>20</v>
      </c>
      <c r="AE41">
        <f t="shared" si="9"/>
        <v>1.1239346891067208</v>
      </c>
    </row>
    <row r="42" spans="1:31" x14ac:dyDescent="0.2">
      <c r="A42" s="1" t="s">
        <v>19</v>
      </c>
      <c r="B42" s="3">
        <v>20</v>
      </c>
      <c r="C42" s="1">
        <v>8.1</v>
      </c>
      <c r="D42" s="3">
        <v>20</v>
      </c>
      <c r="E42" s="3">
        <v>349.73</v>
      </c>
      <c r="F42" s="3">
        <v>66.182500000000005</v>
      </c>
      <c r="G42" s="3">
        <v>246.072</v>
      </c>
      <c r="H42" s="3">
        <v>255.13800000000001</v>
      </c>
      <c r="I42" s="3">
        <v>264.39</v>
      </c>
      <c r="J42" s="3">
        <v>224.404</v>
      </c>
      <c r="K42" s="3">
        <v>171.898</v>
      </c>
      <c r="L42" s="3">
        <v>158.67699999999999</v>
      </c>
      <c r="M42" s="2"/>
      <c r="N42" s="2">
        <f t="shared" si="0"/>
        <v>1320.579</v>
      </c>
      <c r="O42" s="2">
        <f t="shared" si="1"/>
        <v>255.13800000000001</v>
      </c>
      <c r="P42" s="2">
        <f t="shared" si="2"/>
        <v>264.39</v>
      </c>
      <c r="Q42" s="2">
        <f t="shared" si="3"/>
        <v>171.898</v>
      </c>
      <c r="R42" s="2">
        <f t="shared" si="4"/>
        <v>0.9644662888319262</v>
      </c>
      <c r="S42" s="2">
        <f t="shared" si="5"/>
        <v>0.84876129959529489</v>
      </c>
      <c r="T42" s="2">
        <f t="shared" si="6"/>
        <v>0.92308811039104588</v>
      </c>
      <c r="V42" s="3">
        <v>349.73</v>
      </c>
      <c r="W42" s="3">
        <f t="shared" si="7"/>
        <v>264.39</v>
      </c>
      <c r="AB42">
        <f t="shared" ref="AB42:AB50" si="13">W42</f>
        <v>264.39</v>
      </c>
      <c r="AD42" s="3">
        <v>20</v>
      </c>
      <c r="AE42">
        <f t="shared" si="9"/>
        <v>1.0848839585581411</v>
      </c>
    </row>
    <row r="43" spans="1:31" x14ac:dyDescent="0.2">
      <c r="A43" s="1" t="s">
        <v>19</v>
      </c>
      <c r="B43" s="3">
        <v>20</v>
      </c>
      <c r="C43" s="1">
        <v>8.1</v>
      </c>
      <c r="D43" s="3">
        <v>20</v>
      </c>
      <c r="E43" s="3">
        <v>375.92</v>
      </c>
      <c r="F43" s="3">
        <v>72.73</v>
      </c>
      <c r="G43" s="3">
        <v>280.11399999999998</v>
      </c>
      <c r="H43" s="3">
        <v>277.66000000000003</v>
      </c>
      <c r="I43" s="3">
        <v>292.94499999999999</v>
      </c>
      <c r="J43" s="3">
        <v>283.25200000000001</v>
      </c>
      <c r="K43" s="3">
        <v>194.44</v>
      </c>
      <c r="L43" s="3">
        <v>197.16800000000001</v>
      </c>
      <c r="M43" s="2"/>
      <c r="N43" s="2">
        <f t="shared" si="0"/>
        <v>1525.5790000000002</v>
      </c>
      <c r="O43" s="2">
        <f t="shared" si="1"/>
        <v>280.11399999999998</v>
      </c>
      <c r="P43" s="2">
        <f t="shared" si="2"/>
        <v>292.94499999999999</v>
      </c>
      <c r="Q43" s="2">
        <f t="shared" si="3"/>
        <v>197.16800000000001</v>
      </c>
      <c r="R43" s="2">
        <f t="shared" si="4"/>
        <v>0.99123928114981774</v>
      </c>
      <c r="S43" s="2">
        <f t="shared" si="5"/>
        <v>0.96691187765621534</v>
      </c>
      <c r="T43" s="2">
        <f t="shared" si="6"/>
        <v>0.98616408342124473</v>
      </c>
      <c r="V43" s="3">
        <v>375.92</v>
      </c>
      <c r="W43" s="3">
        <f t="shared" si="7"/>
        <v>292.94499999999999</v>
      </c>
      <c r="AB43">
        <f t="shared" si="13"/>
        <v>292.94499999999999</v>
      </c>
      <c r="AD43" s="3">
        <v>20</v>
      </c>
      <c r="AE43">
        <f t="shared" si="9"/>
        <v>1.0526722877314845</v>
      </c>
    </row>
    <row r="44" spans="1:31" x14ac:dyDescent="0.2">
      <c r="A44" s="1" t="s">
        <v>19</v>
      </c>
      <c r="B44" s="3">
        <v>20</v>
      </c>
      <c r="C44" s="1">
        <v>8.1</v>
      </c>
      <c r="D44" s="3">
        <v>20</v>
      </c>
      <c r="E44" s="3">
        <v>347.41</v>
      </c>
      <c r="F44" s="3">
        <v>65.602500000000006</v>
      </c>
      <c r="G44" s="3">
        <v>249.36099999999999</v>
      </c>
      <c r="H44" s="3">
        <v>233.845</v>
      </c>
      <c r="I44" s="3">
        <v>253.845</v>
      </c>
      <c r="J44" s="3">
        <v>243.36199999999999</v>
      </c>
      <c r="K44" s="3">
        <v>202.904</v>
      </c>
      <c r="L44" s="3">
        <v>174.958</v>
      </c>
      <c r="M44" s="2"/>
      <c r="N44" s="2">
        <f t="shared" si="0"/>
        <v>1358.2750000000001</v>
      </c>
      <c r="O44" s="2">
        <f t="shared" si="1"/>
        <v>249.36099999999999</v>
      </c>
      <c r="P44" s="2">
        <f t="shared" si="2"/>
        <v>253.845</v>
      </c>
      <c r="Q44" s="2">
        <f t="shared" si="3"/>
        <v>202.904</v>
      </c>
      <c r="R44" s="2">
        <f t="shared" si="4"/>
        <v>0.93777695790440374</v>
      </c>
      <c r="S44" s="2">
        <f t="shared" si="5"/>
        <v>0.95870314562035885</v>
      </c>
      <c r="T44" s="2">
        <f t="shared" si="6"/>
        <v>0.86226984189567479</v>
      </c>
      <c r="V44" s="3">
        <v>347.41</v>
      </c>
      <c r="W44" s="3">
        <f t="shared" si="7"/>
        <v>253.845</v>
      </c>
      <c r="AB44">
        <f t="shared" si="13"/>
        <v>253.845</v>
      </c>
      <c r="AD44" s="3">
        <v>20</v>
      </c>
      <c r="AE44">
        <f t="shared" si="9"/>
        <v>1.0747979887132741</v>
      </c>
    </row>
    <row r="45" spans="1:31" x14ac:dyDescent="0.2">
      <c r="A45" s="1" t="s">
        <v>19</v>
      </c>
      <c r="B45" s="3">
        <v>20</v>
      </c>
      <c r="C45" s="1">
        <v>8.1</v>
      </c>
      <c r="D45" s="3">
        <v>20</v>
      </c>
      <c r="E45" s="3">
        <v>345.27</v>
      </c>
      <c r="F45" s="3">
        <v>65.067499999999995</v>
      </c>
      <c r="G45" s="3">
        <v>257.78699999999998</v>
      </c>
      <c r="H45" s="3">
        <v>247.964</v>
      </c>
      <c r="I45" s="3">
        <v>319.37599999999998</v>
      </c>
      <c r="J45" s="3">
        <v>321.47800000000001</v>
      </c>
      <c r="K45" s="3">
        <v>188.447</v>
      </c>
      <c r="L45" s="3">
        <v>189.29400000000001</v>
      </c>
      <c r="M45" s="2"/>
      <c r="N45" s="2">
        <f t="shared" si="0"/>
        <v>1524.3460000000002</v>
      </c>
      <c r="O45" s="2">
        <f t="shared" si="1"/>
        <v>257.78699999999998</v>
      </c>
      <c r="P45" s="2">
        <f t="shared" si="2"/>
        <v>321.47800000000001</v>
      </c>
      <c r="Q45" s="2">
        <f t="shared" si="3"/>
        <v>189.29400000000001</v>
      </c>
      <c r="R45" s="2">
        <f t="shared" si="4"/>
        <v>0.96189489772564174</v>
      </c>
      <c r="S45" s="2">
        <f t="shared" si="5"/>
        <v>0.99346144992814434</v>
      </c>
      <c r="T45" s="2">
        <f t="shared" si="6"/>
        <v>0.99552547888469778</v>
      </c>
      <c r="V45" s="3">
        <v>345.27</v>
      </c>
      <c r="W45" s="3">
        <f t="shared" si="7"/>
        <v>321.47800000000001</v>
      </c>
      <c r="AB45">
        <f t="shared" si="13"/>
        <v>321.47800000000001</v>
      </c>
      <c r="AD45" s="3">
        <v>20</v>
      </c>
      <c r="AE45">
        <f t="shared" si="9"/>
        <v>1.1933040941930451</v>
      </c>
    </row>
    <row r="46" spans="1:31" x14ac:dyDescent="0.2">
      <c r="A46" s="1" t="s">
        <v>19</v>
      </c>
      <c r="B46" s="3">
        <v>20</v>
      </c>
      <c r="C46" s="1">
        <v>8.1</v>
      </c>
      <c r="D46" s="3">
        <v>20</v>
      </c>
      <c r="E46" s="3">
        <v>341.4</v>
      </c>
      <c r="F46" s="3">
        <v>64.099999999999994</v>
      </c>
      <c r="G46" s="3">
        <v>243.96899999999999</v>
      </c>
      <c r="H46" s="3">
        <v>240.501</v>
      </c>
      <c r="I46" s="3">
        <v>227.32</v>
      </c>
      <c r="J46" s="3">
        <v>238.15299999999999</v>
      </c>
      <c r="K46" s="3">
        <v>149.852</v>
      </c>
      <c r="L46" s="3">
        <v>161.69300000000001</v>
      </c>
      <c r="M46" s="2"/>
      <c r="N46" s="2">
        <f t="shared" si="0"/>
        <v>1261.4880000000001</v>
      </c>
      <c r="O46" s="2">
        <f t="shared" si="1"/>
        <v>243.96899999999999</v>
      </c>
      <c r="P46" s="2">
        <f t="shared" si="2"/>
        <v>238.15299999999999</v>
      </c>
      <c r="Q46" s="2">
        <f t="shared" si="3"/>
        <v>161.69300000000001</v>
      </c>
      <c r="R46" s="2">
        <f t="shared" si="4"/>
        <v>0.9857850792518722</v>
      </c>
      <c r="S46" s="2">
        <f t="shared" si="5"/>
        <v>0.95451243528320029</v>
      </c>
      <c r="T46" s="2">
        <f t="shared" si="6"/>
        <v>0.9267686294397407</v>
      </c>
      <c r="V46" s="3">
        <v>341.4</v>
      </c>
      <c r="W46" s="3">
        <f t="shared" si="7"/>
        <v>238.15299999999999</v>
      </c>
      <c r="AB46">
        <f t="shared" si="13"/>
        <v>238.15299999999999</v>
      </c>
      <c r="AD46" s="3">
        <v>20</v>
      </c>
      <c r="AE46">
        <f t="shared" si="9"/>
        <v>1.0674747506371838</v>
      </c>
    </row>
    <row r="47" spans="1:31" x14ac:dyDescent="0.2">
      <c r="A47" s="1" t="s">
        <v>19</v>
      </c>
      <c r="B47" s="3">
        <v>20</v>
      </c>
      <c r="C47" s="1">
        <v>8.1</v>
      </c>
      <c r="D47" s="3">
        <v>20</v>
      </c>
      <c r="E47" s="3">
        <v>334.24</v>
      </c>
      <c r="F47" s="3">
        <v>62.31</v>
      </c>
      <c r="G47" s="3">
        <v>254.78299999999999</v>
      </c>
      <c r="H47" s="3">
        <v>262.48399999999998</v>
      </c>
      <c r="I47" s="3">
        <v>260.65600000000001</v>
      </c>
      <c r="J47" s="3">
        <v>290.32100000000003</v>
      </c>
      <c r="K47" s="3">
        <v>157.96299999999999</v>
      </c>
      <c r="L47" s="3">
        <v>151.37799999999999</v>
      </c>
      <c r="M47" s="2"/>
      <c r="N47" s="2">
        <f t="shared" si="0"/>
        <v>1377.585</v>
      </c>
      <c r="O47" s="2">
        <f t="shared" si="1"/>
        <v>262.48399999999998</v>
      </c>
      <c r="P47" s="2">
        <f t="shared" si="2"/>
        <v>290.32100000000003</v>
      </c>
      <c r="Q47" s="2">
        <f t="shared" si="3"/>
        <v>157.96299999999999</v>
      </c>
      <c r="R47" s="2">
        <f t="shared" si="4"/>
        <v>0.97066106886514991</v>
      </c>
      <c r="S47" s="2">
        <f t="shared" si="5"/>
        <v>0.897819999242218</v>
      </c>
      <c r="T47" s="2">
        <f t="shared" si="6"/>
        <v>0.95831302266986562</v>
      </c>
      <c r="V47" s="3">
        <v>334.24</v>
      </c>
      <c r="W47" s="3">
        <f t="shared" si="7"/>
        <v>290.32100000000003</v>
      </c>
      <c r="AB47">
        <f t="shared" si="13"/>
        <v>290.32100000000003</v>
      </c>
      <c r="AD47" s="3">
        <v>20</v>
      </c>
      <c r="AE47">
        <f t="shared" si="9"/>
        <v>1.1794588810931694</v>
      </c>
    </row>
    <row r="48" spans="1:31" x14ac:dyDescent="0.2">
      <c r="A48" s="1" t="s">
        <v>19</v>
      </c>
      <c r="B48" s="3">
        <v>20</v>
      </c>
      <c r="C48" s="1">
        <v>8.1</v>
      </c>
      <c r="D48" s="3">
        <v>20</v>
      </c>
      <c r="E48" s="3">
        <v>360.51</v>
      </c>
      <c r="F48" s="3">
        <v>68.877499999999998</v>
      </c>
      <c r="G48" s="3">
        <v>261.38499999999999</v>
      </c>
      <c r="H48" s="3">
        <v>284.75299999999999</v>
      </c>
      <c r="I48" s="3">
        <v>281.87</v>
      </c>
      <c r="J48" s="3">
        <v>282.45699999999999</v>
      </c>
      <c r="K48" s="3">
        <v>181.09299999999999</v>
      </c>
      <c r="L48" s="3">
        <v>204.52699999999999</v>
      </c>
      <c r="M48" s="2"/>
      <c r="N48" s="2">
        <f t="shared" si="0"/>
        <v>1496.085</v>
      </c>
      <c r="O48" s="2">
        <f t="shared" si="1"/>
        <v>284.75299999999999</v>
      </c>
      <c r="P48" s="2">
        <f t="shared" si="2"/>
        <v>282.45699999999999</v>
      </c>
      <c r="Q48" s="2">
        <f t="shared" si="3"/>
        <v>204.52699999999999</v>
      </c>
      <c r="R48" s="2">
        <f t="shared" si="4"/>
        <v>0.91793589531980346</v>
      </c>
      <c r="S48" s="2">
        <f t="shared" si="5"/>
        <v>0.99792180756716953</v>
      </c>
      <c r="T48" s="2">
        <f t="shared" si="6"/>
        <v>0.88542344042595844</v>
      </c>
      <c r="V48" s="3">
        <v>360.51</v>
      </c>
      <c r="W48" s="3">
        <f t="shared" si="7"/>
        <v>282.45699999999999</v>
      </c>
      <c r="AB48">
        <f t="shared" si="13"/>
        <v>282.45699999999999</v>
      </c>
      <c r="AD48" s="3">
        <v>20</v>
      </c>
      <c r="AE48">
        <f t="shared" si="9"/>
        <v>1.0810579851560764</v>
      </c>
    </row>
    <row r="49" spans="1:31" x14ac:dyDescent="0.2">
      <c r="A49" s="1" t="s">
        <v>19</v>
      </c>
      <c r="B49" s="3">
        <v>20</v>
      </c>
      <c r="C49" s="1">
        <v>8.1</v>
      </c>
      <c r="D49" s="3">
        <v>20</v>
      </c>
      <c r="E49" s="3">
        <v>355.27</v>
      </c>
      <c r="F49" s="3">
        <v>67.567499999999995</v>
      </c>
      <c r="G49" s="3">
        <v>252.916</v>
      </c>
      <c r="H49" s="3">
        <v>252.392</v>
      </c>
      <c r="I49" s="3">
        <v>289.71199999999999</v>
      </c>
      <c r="J49" s="3">
        <v>296.45400000000001</v>
      </c>
      <c r="K49" s="3">
        <v>166.43299999999999</v>
      </c>
      <c r="L49" s="3">
        <v>170.22</v>
      </c>
      <c r="M49" s="2"/>
      <c r="N49" s="2">
        <f t="shared" si="0"/>
        <v>1428.127</v>
      </c>
      <c r="O49" s="2">
        <f t="shared" si="1"/>
        <v>252.916</v>
      </c>
      <c r="P49" s="2">
        <f t="shared" si="2"/>
        <v>296.45400000000001</v>
      </c>
      <c r="Q49" s="2">
        <f t="shared" si="3"/>
        <v>170.22</v>
      </c>
      <c r="R49" s="2">
        <f t="shared" si="4"/>
        <v>0.99792816587325439</v>
      </c>
      <c r="S49" s="2">
        <f t="shared" si="5"/>
        <v>0.97725785450693858</v>
      </c>
      <c r="T49" s="2">
        <f t="shared" si="6"/>
        <v>0.97775232052637762</v>
      </c>
      <c r="V49" s="3">
        <v>355.27</v>
      </c>
      <c r="W49" s="3">
        <f t="shared" si="7"/>
        <v>296.45400000000001</v>
      </c>
      <c r="AB49">
        <f t="shared" si="13"/>
        <v>296.45400000000001</v>
      </c>
      <c r="AD49" s="3">
        <v>20</v>
      </c>
      <c r="AE49">
        <f t="shared" si="9"/>
        <v>1.1194981462806948</v>
      </c>
    </row>
    <row r="50" spans="1:31" x14ac:dyDescent="0.2">
      <c r="A50" s="1" t="s">
        <v>19</v>
      </c>
      <c r="B50" s="3">
        <v>20</v>
      </c>
      <c r="C50" s="1">
        <v>8.1</v>
      </c>
      <c r="D50" s="3">
        <v>20</v>
      </c>
      <c r="E50" s="3">
        <v>336.57</v>
      </c>
      <c r="F50" s="3">
        <v>62.892499999999998</v>
      </c>
      <c r="G50" s="3">
        <v>240.023</v>
      </c>
      <c r="H50" s="3">
        <v>245.143</v>
      </c>
      <c r="I50" s="3">
        <v>275.09899999999999</v>
      </c>
      <c r="J50" s="3">
        <v>248.26400000000001</v>
      </c>
      <c r="K50" s="3">
        <v>155.476</v>
      </c>
      <c r="L50" s="3">
        <v>150.03899999999999</v>
      </c>
      <c r="M50" s="2"/>
      <c r="N50" s="2">
        <f t="shared" si="0"/>
        <v>1314.0440000000001</v>
      </c>
      <c r="O50" s="2">
        <f t="shared" si="1"/>
        <v>245.143</v>
      </c>
      <c r="P50" s="2">
        <f t="shared" si="2"/>
        <v>275.09899999999999</v>
      </c>
      <c r="Q50" s="2">
        <f t="shared" si="3"/>
        <v>155.476</v>
      </c>
      <c r="R50" s="2">
        <f t="shared" si="4"/>
        <v>0.97911423128541297</v>
      </c>
      <c r="S50" s="2">
        <f t="shared" si="5"/>
        <v>0.90245329863067481</v>
      </c>
      <c r="T50" s="2">
        <f t="shared" si="6"/>
        <v>0.96502997247163547</v>
      </c>
      <c r="V50" s="3">
        <v>336.57</v>
      </c>
      <c r="W50" s="3">
        <f t="shared" si="7"/>
        <v>275.09899999999999</v>
      </c>
      <c r="AB50">
        <f t="shared" si="13"/>
        <v>275.09899999999999</v>
      </c>
      <c r="AD50" s="3">
        <v>20</v>
      </c>
      <c r="AE50">
        <f t="shared" si="9"/>
        <v>1.1454704928199597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73A4-67E1-8341-9BF5-7238AE67AA76}">
  <dimension ref="A1:AE50"/>
  <sheetViews>
    <sheetView workbookViewId="0">
      <selection activeCell="AE60" sqref="AE60"/>
    </sheetView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1" t="s">
        <v>4</v>
      </c>
      <c r="W1" s="1" t="s">
        <v>13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D1" s="1" t="s">
        <v>3</v>
      </c>
      <c r="AE1" t="s">
        <v>43</v>
      </c>
    </row>
    <row r="2" spans="1:31" x14ac:dyDescent="0.2">
      <c r="A2" s="1" t="s">
        <v>19</v>
      </c>
      <c r="B2" s="3">
        <v>20</v>
      </c>
      <c r="C2" s="1">
        <v>8.1</v>
      </c>
      <c r="D2" s="3">
        <v>0.18</v>
      </c>
      <c r="E2" s="3">
        <v>362.86</v>
      </c>
      <c r="F2" s="3">
        <v>69.465000000000003</v>
      </c>
      <c r="G2" s="3">
        <v>268.14</v>
      </c>
      <c r="H2" s="3">
        <v>268.42</v>
      </c>
      <c r="I2" s="3">
        <v>180.73099999999999</v>
      </c>
      <c r="J2" s="3">
        <v>145.232</v>
      </c>
      <c r="K2" s="3">
        <v>138.321</v>
      </c>
      <c r="L2" s="3">
        <v>135.82900000000001</v>
      </c>
      <c r="M2" s="2"/>
      <c r="N2" s="2">
        <f>SUM(G2:L2)</f>
        <v>1136.673</v>
      </c>
      <c r="O2" s="2">
        <f>MAX(G2:H2)</f>
        <v>268.42</v>
      </c>
      <c r="P2" s="2">
        <f>MAX(I2:J2)</f>
        <v>180.73099999999999</v>
      </c>
      <c r="Q2" s="2">
        <f>MAX(K2:L2)</f>
        <v>138.321</v>
      </c>
      <c r="R2" s="2">
        <f>MIN(G2:H2)/MAX(G2:H2)</f>
        <v>0.99895685865434758</v>
      </c>
      <c r="S2" s="2">
        <f>MIN(I2:J2)/MAX(I2:J2)</f>
        <v>0.80358101266523174</v>
      </c>
      <c r="T2" s="2">
        <f>MIN(K2:L2)/MAX(K2:L2)</f>
        <v>0.98198393591717825</v>
      </c>
      <c r="V2" s="3">
        <v>362.86</v>
      </c>
      <c r="W2" s="3">
        <f>O2</f>
        <v>268.42</v>
      </c>
      <c r="X2">
        <f>W2</f>
        <v>268.42</v>
      </c>
      <c r="AD2" s="3">
        <v>0.18</v>
      </c>
      <c r="AE2">
        <f>(W2+5.9878)/(0.7736*V2)</f>
        <v>0.97755430957814704</v>
      </c>
    </row>
    <row r="3" spans="1:31" x14ac:dyDescent="0.2">
      <c r="A3" s="1" t="s">
        <v>19</v>
      </c>
      <c r="B3" s="3">
        <v>20</v>
      </c>
      <c r="C3" s="1">
        <v>8.1</v>
      </c>
      <c r="D3" s="3">
        <v>0.18</v>
      </c>
      <c r="E3" s="3">
        <v>409.02</v>
      </c>
      <c r="F3" s="3">
        <v>81.004999999999995</v>
      </c>
      <c r="G3" s="3">
        <v>293.28399999999999</v>
      </c>
      <c r="H3" s="3">
        <v>318.39</v>
      </c>
      <c r="I3" s="3">
        <v>336.77699999999999</v>
      </c>
      <c r="J3" s="3">
        <v>331.37299999999999</v>
      </c>
      <c r="K3" s="3">
        <v>199.17</v>
      </c>
      <c r="L3" s="3">
        <v>157.958</v>
      </c>
      <c r="M3" s="2"/>
      <c r="N3" s="2">
        <f t="shared" ref="N3:N50" si="0">SUM(G3:L3)</f>
        <v>1636.9520000000002</v>
      </c>
      <c r="O3" s="2">
        <f t="shared" ref="O3:O50" si="1">MAX(G3:H3)</f>
        <v>318.39</v>
      </c>
      <c r="P3" s="2">
        <f t="shared" ref="P3:P50" si="2">MAX(I3:J3)</f>
        <v>336.77699999999999</v>
      </c>
      <c r="Q3" s="2">
        <f t="shared" ref="Q3:Q50" si="3">MAX(K3:L3)</f>
        <v>199.17</v>
      </c>
      <c r="R3" s="2">
        <f t="shared" ref="R3:R50" si="4">MIN(G3:H3)/MAX(G3:H3)</f>
        <v>0.92114702094915046</v>
      </c>
      <c r="S3" s="2">
        <f t="shared" ref="S3:S50" si="5">MIN(I3:J3)/MAX(I3:J3)</f>
        <v>0.9839537735652969</v>
      </c>
      <c r="T3" s="2">
        <f t="shared" ref="T3:T50" si="6">MIN(K3:L3)/MAX(K3:L3)</f>
        <v>0.7930812873424713</v>
      </c>
      <c r="V3" s="3">
        <v>409.02</v>
      </c>
      <c r="W3" s="3">
        <f t="shared" ref="W3:W50" si="7">O3</f>
        <v>318.39</v>
      </c>
      <c r="X3">
        <f t="shared" ref="X3:X11" si="8">W3</f>
        <v>318.39</v>
      </c>
      <c r="AD3" s="3">
        <v>0.18</v>
      </c>
      <c r="AE3">
        <f t="shared" ref="AE3:AE50" si="9">(W3+5.9878)/(0.7736*V3)</f>
        <v>1.0251563792831524</v>
      </c>
    </row>
    <row r="4" spans="1:31" x14ac:dyDescent="0.2">
      <c r="A4" s="1" t="s">
        <v>19</v>
      </c>
      <c r="B4" s="3">
        <v>20</v>
      </c>
      <c r="C4" s="1">
        <v>8.1</v>
      </c>
      <c r="D4" s="3">
        <v>0.18</v>
      </c>
      <c r="E4" s="3">
        <v>356.19</v>
      </c>
      <c r="F4" s="3">
        <v>67.797499999999999</v>
      </c>
      <c r="G4" s="3">
        <v>279.27600000000001</v>
      </c>
      <c r="H4" s="3">
        <v>281.41500000000002</v>
      </c>
      <c r="I4" s="3">
        <v>244.88900000000001</v>
      </c>
      <c r="J4" s="3">
        <v>189.10900000000001</v>
      </c>
      <c r="K4" s="3">
        <v>138.84299999999999</v>
      </c>
      <c r="L4" s="3">
        <v>142.91800000000001</v>
      </c>
      <c r="M4" s="2"/>
      <c r="N4" s="2">
        <f t="shared" si="0"/>
        <v>1276.4500000000003</v>
      </c>
      <c r="O4" s="2">
        <f t="shared" si="1"/>
        <v>281.41500000000002</v>
      </c>
      <c r="P4" s="2">
        <f t="shared" si="2"/>
        <v>244.88900000000001</v>
      </c>
      <c r="Q4" s="2">
        <f t="shared" si="3"/>
        <v>142.91800000000001</v>
      </c>
      <c r="R4" s="2">
        <f t="shared" si="4"/>
        <v>0.99239912584617018</v>
      </c>
      <c r="S4" s="2">
        <f t="shared" si="5"/>
        <v>0.77222333383696284</v>
      </c>
      <c r="T4" s="2">
        <f t="shared" si="6"/>
        <v>0.9714871464756013</v>
      </c>
      <c r="V4" s="3">
        <v>356.19</v>
      </c>
      <c r="W4" s="3">
        <f t="shared" si="7"/>
        <v>281.41500000000002</v>
      </c>
      <c r="X4">
        <f t="shared" si="8"/>
        <v>281.41500000000002</v>
      </c>
      <c r="AD4" s="3">
        <v>0.18</v>
      </c>
      <c r="AE4">
        <f t="shared" si="9"/>
        <v>1.0430204206747076</v>
      </c>
    </row>
    <row r="5" spans="1:31" x14ac:dyDescent="0.2">
      <c r="A5" s="1" t="s">
        <v>19</v>
      </c>
      <c r="B5" s="3">
        <v>20</v>
      </c>
      <c r="C5" s="1">
        <v>8.1</v>
      </c>
      <c r="D5" s="3">
        <v>0.18</v>
      </c>
      <c r="E5" s="3">
        <v>361.06</v>
      </c>
      <c r="F5" s="3">
        <v>69.015000000000001</v>
      </c>
      <c r="G5" s="3">
        <v>263.73200000000003</v>
      </c>
      <c r="H5" s="3">
        <v>259.05099999999999</v>
      </c>
      <c r="I5" s="3">
        <v>253.02799999999999</v>
      </c>
      <c r="J5" s="3">
        <v>283.15199999999999</v>
      </c>
      <c r="K5" s="3">
        <v>152.48099999999999</v>
      </c>
      <c r="L5" s="3">
        <v>173.17</v>
      </c>
      <c r="M5" s="2"/>
      <c r="N5" s="2">
        <f t="shared" si="0"/>
        <v>1384.614</v>
      </c>
      <c r="O5" s="2">
        <f t="shared" si="1"/>
        <v>263.73200000000003</v>
      </c>
      <c r="P5" s="2">
        <f t="shared" si="2"/>
        <v>283.15199999999999</v>
      </c>
      <c r="Q5" s="2">
        <f t="shared" si="3"/>
        <v>173.17</v>
      </c>
      <c r="R5" s="2">
        <f t="shared" si="4"/>
        <v>0.98225092138989567</v>
      </c>
      <c r="S5" s="2">
        <f t="shared" si="5"/>
        <v>0.893611911623439</v>
      </c>
      <c r="T5" s="2">
        <f t="shared" si="6"/>
        <v>0.88052780504706363</v>
      </c>
      <c r="V5" s="3">
        <v>361.06</v>
      </c>
      <c r="W5" s="3">
        <f t="shared" si="7"/>
        <v>263.73200000000003</v>
      </c>
      <c r="X5">
        <f t="shared" si="8"/>
        <v>263.73200000000003</v>
      </c>
      <c r="AD5" s="3">
        <v>0.18</v>
      </c>
      <c r="AE5">
        <f t="shared" si="9"/>
        <v>0.96564387485750203</v>
      </c>
    </row>
    <row r="6" spans="1:31" x14ac:dyDescent="0.2">
      <c r="A6" s="1" t="s">
        <v>19</v>
      </c>
      <c r="B6" s="3">
        <v>20</v>
      </c>
      <c r="C6" s="1">
        <v>8.1</v>
      </c>
      <c r="D6" s="3">
        <v>0.18</v>
      </c>
      <c r="E6" s="3">
        <v>367.76</v>
      </c>
      <c r="F6" s="3">
        <v>70.69</v>
      </c>
      <c r="G6" s="3">
        <v>296.76600000000002</v>
      </c>
      <c r="H6" s="3">
        <v>285.714</v>
      </c>
      <c r="I6" s="3">
        <v>225.786</v>
      </c>
      <c r="J6" s="3">
        <v>233.715</v>
      </c>
      <c r="K6" s="3">
        <v>131.55500000000001</v>
      </c>
      <c r="L6" s="3">
        <v>137.405</v>
      </c>
      <c r="M6" s="2"/>
      <c r="N6" s="2">
        <f t="shared" si="0"/>
        <v>1310.941</v>
      </c>
      <c r="O6" s="2">
        <f t="shared" si="1"/>
        <v>296.76600000000002</v>
      </c>
      <c r="P6" s="2">
        <f t="shared" si="2"/>
        <v>233.715</v>
      </c>
      <c r="Q6" s="2">
        <f t="shared" si="3"/>
        <v>137.405</v>
      </c>
      <c r="R6" s="2">
        <f t="shared" si="4"/>
        <v>0.96275853702917447</v>
      </c>
      <c r="S6" s="2">
        <f t="shared" si="5"/>
        <v>0.96607406456581735</v>
      </c>
      <c r="T6" s="2">
        <f t="shared" si="6"/>
        <v>0.95742513008988028</v>
      </c>
      <c r="V6" s="3">
        <v>367.76</v>
      </c>
      <c r="W6" s="3">
        <f t="shared" si="7"/>
        <v>296.76600000000002</v>
      </c>
      <c r="X6">
        <f t="shared" si="8"/>
        <v>296.76600000000002</v>
      </c>
      <c r="AD6" s="3">
        <v>0.18</v>
      </c>
      <c r="AE6">
        <f t="shared" si="9"/>
        <v>1.0641642159503784</v>
      </c>
    </row>
    <row r="7" spans="1:31" x14ac:dyDescent="0.2">
      <c r="A7" s="1" t="s">
        <v>19</v>
      </c>
      <c r="B7" s="3">
        <v>20</v>
      </c>
      <c r="C7" s="1">
        <v>8.1</v>
      </c>
      <c r="D7" s="3">
        <v>0.18</v>
      </c>
      <c r="E7" s="3">
        <v>383.31</v>
      </c>
      <c r="F7" s="3">
        <v>74.577500000000001</v>
      </c>
      <c r="G7" s="3">
        <v>272.34800000000001</v>
      </c>
      <c r="H7" s="3">
        <v>277.38400000000001</v>
      </c>
      <c r="I7" s="3">
        <v>204.125</v>
      </c>
      <c r="J7" s="3">
        <v>196.07</v>
      </c>
      <c r="K7" s="3">
        <v>165.90100000000001</v>
      </c>
      <c r="L7" s="3">
        <v>116.34699999999999</v>
      </c>
      <c r="M7" s="2"/>
      <c r="N7" s="2">
        <f t="shared" si="0"/>
        <v>1232.175</v>
      </c>
      <c r="O7" s="2">
        <f t="shared" si="1"/>
        <v>277.38400000000001</v>
      </c>
      <c r="P7" s="2">
        <f t="shared" si="2"/>
        <v>204.125</v>
      </c>
      <c r="Q7" s="2">
        <f t="shared" si="3"/>
        <v>165.90100000000001</v>
      </c>
      <c r="R7" s="2">
        <f t="shared" si="4"/>
        <v>0.98184466299426065</v>
      </c>
      <c r="S7" s="2">
        <f t="shared" si="5"/>
        <v>0.96053888548683397</v>
      </c>
      <c r="T7" s="2">
        <f t="shared" si="6"/>
        <v>0.70130378960946582</v>
      </c>
      <c r="V7" s="3">
        <v>383.31</v>
      </c>
      <c r="W7" s="3">
        <f t="shared" si="7"/>
        <v>277.38400000000001</v>
      </c>
      <c r="X7">
        <f t="shared" si="8"/>
        <v>277.38400000000001</v>
      </c>
      <c r="AD7" s="3">
        <v>0.18</v>
      </c>
      <c r="AE7">
        <f t="shared" si="9"/>
        <v>0.95563053516561791</v>
      </c>
    </row>
    <row r="8" spans="1:31" x14ac:dyDescent="0.2">
      <c r="A8" s="1" t="s">
        <v>19</v>
      </c>
      <c r="B8" s="3">
        <v>20</v>
      </c>
      <c r="C8" s="1">
        <v>8.1</v>
      </c>
      <c r="D8" s="3">
        <v>0.18</v>
      </c>
      <c r="E8" s="3">
        <v>359.06</v>
      </c>
      <c r="F8" s="3">
        <v>68.515000000000001</v>
      </c>
      <c r="G8" s="3">
        <v>261.14299999999997</v>
      </c>
      <c r="H8" s="3">
        <v>261.512</v>
      </c>
      <c r="I8" s="3">
        <v>142.54599999999999</v>
      </c>
      <c r="J8" s="3">
        <v>166.28</v>
      </c>
      <c r="K8" s="3">
        <v>139.91900000000001</v>
      </c>
      <c r="L8" s="3">
        <v>138.11199999999999</v>
      </c>
      <c r="M8" s="2"/>
      <c r="N8" s="2">
        <f t="shared" si="0"/>
        <v>1109.5119999999999</v>
      </c>
      <c r="O8" s="2">
        <f t="shared" si="1"/>
        <v>261.512</v>
      </c>
      <c r="P8" s="2">
        <f t="shared" si="2"/>
        <v>166.28</v>
      </c>
      <c r="Q8" s="2">
        <f t="shared" si="3"/>
        <v>139.91900000000001</v>
      </c>
      <c r="R8" s="2">
        <f t="shared" si="4"/>
        <v>0.99858897488451759</v>
      </c>
      <c r="S8" s="2">
        <f t="shared" si="5"/>
        <v>0.85726485446235257</v>
      </c>
      <c r="T8" s="2">
        <f t="shared" si="6"/>
        <v>0.98708538511567401</v>
      </c>
      <c r="V8" s="3">
        <v>359.06</v>
      </c>
      <c r="W8" s="3">
        <f t="shared" si="7"/>
        <v>261.512</v>
      </c>
      <c r="X8">
        <f t="shared" si="8"/>
        <v>261.512</v>
      </c>
      <c r="AD8" s="3">
        <v>0.18</v>
      </c>
      <c r="AE8">
        <f t="shared" si="9"/>
        <v>0.96303034967035328</v>
      </c>
    </row>
    <row r="9" spans="1:31" x14ac:dyDescent="0.2">
      <c r="A9" s="1" t="s">
        <v>19</v>
      </c>
      <c r="B9" s="3">
        <v>20</v>
      </c>
      <c r="C9" s="1">
        <v>8.1</v>
      </c>
      <c r="D9" s="3">
        <v>0.18</v>
      </c>
      <c r="E9" s="3">
        <v>347.84</v>
      </c>
      <c r="F9" s="3">
        <v>65.709999999999994</v>
      </c>
      <c r="G9" s="3">
        <v>251.02799999999999</v>
      </c>
      <c r="H9" s="3">
        <v>281.029</v>
      </c>
      <c r="I9" s="3">
        <v>193.066</v>
      </c>
      <c r="J9" s="3">
        <v>254.8</v>
      </c>
      <c r="K9" s="3">
        <v>151.602</v>
      </c>
      <c r="L9" s="3">
        <v>139.12799999999999</v>
      </c>
      <c r="M9" s="2"/>
      <c r="N9" s="2">
        <f t="shared" si="0"/>
        <v>1270.653</v>
      </c>
      <c r="O9" s="2">
        <f t="shared" si="1"/>
        <v>281.029</v>
      </c>
      <c r="P9" s="2">
        <f t="shared" si="2"/>
        <v>254.8</v>
      </c>
      <c r="Q9" s="2">
        <f t="shared" si="3"/>
        <v>151.602</v>
      </c>
      <c r="R9" s="2">
        <f t="shared" si="4"/>
        <v>0.893245892772632</v>
      </c>
      <c r="S9" s="2">
        <f t="shared" si="5"/>
        <v>0.75771585557299836</v>
      </c>
      <c r="T9" s="2">
        <f t="shared" si="6"/>
        <v>0.91771876360470162</v>
      </c>
      <c r="V9" s="3">
        <v>347.84</v>
      </c>
      <c r="W9" s="3">
        <f t="shared" si="7"/>
        <v>281.029</v>
      </c>
      <c r="X9">
        <f t="shared" si="8"/>
        <v>281.029</v>
      </c>
      <c r="AD9" s="3">
        <v>0.18</v>
      </c>
      <c r="AE9">
        <f t="shared" si="9"/>
        <v>1.0666239586197319</v>
      </c>
    </row>
    <row r="10" spans="1:31" x14ac:dyDescent="0.2">
      <c r="A10" s="1" t="s">
        <v>19</v>
      </c>
      <c r="B10" s="3">
        <v>20</v>
      </c>
      <c r="C10" s="1">
        <v>8.1</v>
      </c>
      <c r="D10" s="3">
        <v>0.18</v>
      </c>
      <c r="E10" s="3">
        <v>365.61</v>
      </c>
      <c r="F10" s="3">
        <v>70.152500000000003</v>
      </c>
      <c r="G10" s="3">
        <v>256.86500000000001</v>
      </c>
      <c r="H10" s="3">
        <v>250.65899999999999</v>
      </c>
      <c r="I10" s="3">
        <v>252.24199999999999</v>
      </c>
      <c r="J10" s="3">
        <v>274.233</v>
      </c>
      <c r="K10" s="3">
        <v>157.71899999999999</v>
      </c>
      <c r="L10" s="3">
        <v>167.566</v>
      </c>
      <c r="M10" s="2"/>
      <c r="N10" s="2">
        <f t="shared" si="0"/>
        <v>1359.2840000000001</v>
      </c>
      <c r="O10" s="2">
        <f t="shared" si="1"/>
        <v>256.86500000000001</v>
      </c>
      <c r="P10" s="2">
        <f t="shared" si="2"/>
        <v>274.233</v>
      </c>
      <c r="Q10" s="2">
        <f t="shared" si="3"/>
        <v>167.566</v>
      </c>
      <c r="R10" s="2">
        <f t="shared" si="4"/>
        <v>0.97583944873766371</v>
      </c>
      <c r="S10" s="2">
        <f t="shared" si="5"/>
        <v>0.91980906747182134</v>
      </c>
      <c r="T10" s="2">
        <f t="shared" si="6"/>
        <v>0.94123509542508621</v>
      </c>
      <c r="V10" s="3">
        <v>365.61</v>
      </c>
      <c r="W10" s="3">
        <f t="shared" si="7"/>
        <v>256.86500000000001</v>
      </c>
      <c r="X10">
        <f t="shared" si="8"/>
        <v>256.86500000000001</v>
      </c>
      <c r="AD10" s="3">
        <v>0.18</v>
      </c>
      <c r="AE10">
        <f t="shared" si="9"/>
        <v>0.92934738382712223</v>
      </c>
    </row>
    <row r="11" spans="1:31" x14ac:dyDescent="0.2">
      <c r="A11" s="1" t="s">
        <v>19</v>
      </c>
      <c r="B11" s="3">
        <v>20</v>
      </c>
      <c r="C11" s="1">
        <v>8.1</v>
      </c>
      <c r="D11" s="3">
        <v>0.18</v>
      </c>
      <c r="E11" s="3">
        <v>410.65</v>
      </c>
      <c r="F11" s="3">
        <v>81.412499999999994</v>
      </c>
      <c r="G11" s="3">
        <v>294.226</v>
      </c>
      <c r="H11" s="3">
        <v>315.02800000000002</v>
      </c>
      <c r="I11" s="3">
        <v>317.47199999999998</v>
      </c>
      <c r="J11" s="3">
        <v>341.36700000000002</v>
      </c>
      <c r="K11" s="3">
        <v>197.36</v>
      </c>
      <c r="L11" s="3">
        <v>176.26599999999999</v>
      </c>
      <c r="M11" s="2"/>
      <c r="N11" s="2">
        <f t="shared" si="0"/>
        <v>1641.7190000000001</v>
      </c>
      <c r="O11" s="2">
        <f t="shared" si="1"/>
        <v>315.02800000000002</v>
      </c>
      <c r="P11" s="2">
        <f t="shared" si="2"/>
        <v>341.36700000000002</v>
      </c>
      <c r="Q11" s="2">
        <f t="shared" si="3"/>
        <v>197.36</v>
      </c>
      <c r="R11" s="2">
        <f t="shared" si="4"/>
        <v>0.93396777429307865</v>
      </c>
      <c r="S11" s="2">
        <f t="shared" si="5"/>
        <v>0.93000202128500986</v>
      </c>
      <c r="T11" s="2">
        <f t="shared" si="6"/>
        <v>0.89311917308471822</v>
      </c>
      <c r="V11" s="3">
        <v>410.65</v>
      </c>
      <c r="W11" s="3">
        <f t="shared" si="7"/>
        <v>315.02800000000002</v>
      </c>
      <c r="X11">
        <f t="shared" si="8"/>
        <v>315.02800000000002</v>
      </c>
      <c r="AD11" s="3">
        <v>0.18</v>
      </c>
      <c r="AE11">
        <f t="shared" si="9"/>
        <v>1.0105041934804346</v>
      </c>
    </row>
    <row r="12" spans="1:31" x14ac:dyDescent="0.2">
      <c r="A12" s="1" t="s">
        <v>19</v>
      </c>
      <c r="B12" s="3">
        <v>20</v>
      </c>
      <c r="C12" s="1">
        <v>8.1</v>
      </c>
      <c r="D12" s="3">
        <v>3</v>
      </c>
      <c r="E12" s="3">
        <v>423.69</v>
      </c>
      <c r="F12" s="3">
        <v>84.672499999999999</v>
      </c>
      <c r="G12" s="3">
        <v>328.22500000000002</v>
      </c>
      <c r="H12" s="3">
        <v>340.596</v>
      </c>
      <c r="I12" s="3">
        <v>232.03200000000001</v>
      </c>
      <c r="J12" s="3">
        <v>240.452</v>
      </c>
      <c r="K12" s="3">
        <v>172.047</v>
      </c>
      <c r="L12" s="3">
        <v>153.501</v>
      </c>
      <c r="M12" s="2"/>
      <c r="N12" s="2">
        <f t="shared" si="0"/>
        <v>1466.8530000000001</v>
      </c>
      <c r="O12" s="2">
        <f t="shared" si="1"/>
        <v>340.596</v>
      </c>
      <c r="P12" s="2">
        <f t="shared" si="2"/>
        <v>240.452</v>
      </c>
      <c r="Q12" s="2">
        <f t="shared" si="3"/>
        <v>172.047</v>
      </c>
      <c r="R12" s="2">
        <f t="shared" si="4"/>
        <v>0.96367837555344171</v>
      </c>
      <c r="S12" s="2">
        <f t="shared" si="5"/>
        <v>0.96498261607306246</v>
      </c>
      <c r="T12" s="2">
        <f t="shared" si="6"/>
        <v>0.89220387452265959</v>
      </c>
      <c r="V12" s="3">
        <v>423.69</v>
      </c>
      <c r="W12" s="3">
        <f t="shared" si="7"/>
        <v>340.596</v>
      </c>
      <c r="Y12">
        <f>W12</f>
        <v>340.596</v>
      </c>
      <c r="AD12" s="3">
        <v>3</v>
      </c>
      <c r="AE12">
        <f t="shared" si="9"/>
        <v>1.057410416188125</v>
      </c>
    </row>
    <row r="13" spans="1:31" x14ac:dyDescent="0.2">
      <c r="A13" s="1" t="s">
        <v>19</v>
      </c>
      <c r="B13" s="3">
        <v>20</v>
      </c>
      <c r="C13" s="1">
        <v>8.1</v>
      </c>
      <c r="D13" s="3">
        <v>3</v>
      </c>
      <c r="E13" s="3">
        <v>364.09</v>
      </c>
      <c r="F13" s="3">
        <v>69.772499999999994</v>
      </c>
      <c r="G13" s="3">
        <v>273.45100000000002</v>
      </c>
      <c r="H13" s="3">
        <v>287.11</v>
      </c>
      <c r="I13" s="3">
        <v>197.50399999999999</v>
      </c>
      <c r="J13" s="3">
        <v>189.41900000000001</v>
      </c>
      <c r="K13" s="3">
        <v>152.45699999999999</v>
      </c>
      <c r="L13" s="3">
        <v>159.834</v>
      </c>
      <c r="M13" s="2"/>
      <c r="N13" s="2">
        <f t="shared" si="0"/>
        <v>1259.7750000000001</v>
      </c>
      <c r="O13" s="2">
        <f t="shared" si="1"/>
        <v>287.11</v>
      </c>
      <c r="P13" s="2">
        <f t="shared" si="2"/>
        <v>197.50399999999999</v>
      </c>
      <c r="Q13" s="2">
        <f t="shared" si="3"/>
        <v>159.834</v>
      </c>
      <c r="R13" s="2">
        <f t="shared" si="4"/>
        <v>0.95242589948103518</v>
      </c>
      <c r="S13" s="2">
        <f t="shared" si="5"/>
        <v>0.95906412022035004</v>
      </c>
      <c r="T13" s="2">
        <f t="shared" si="6"/>
        <v>0.95384586508502567</v>
      </c>
      <c r="V13" s="3">
        <v>364.09</v>
      </c>
      <c r="W13" s="3">
        <f t="shared" si="7"/>
        <v>287.11</v>
      </c>
      <c r="Y13">
        <f t="shared" ref="Y13:Y20" si="10">W13</f>
        <v>287.11</v>
      </c>
      <c r="AD13" s="3">
        <v>3</v>
      </c>
      <c r="AE13">
        <f t="shared" si="9"/>
        <v>1.04060844644393</v>
      </c>
    </row>
    <row r="14" spans="1:31" x14ac:dyDescent="0.2">
      <c r="A14" s="1" t="s">
        <v>19</v>
      </c>
      <c r="B14" s="3">
        <v>20</v>
      </c>
      <c r="C14" s="1">
        <v>8.1</v>
      </c>
      <c r="D14" s="3">
        <v>3</v>
      </c>
      <c r="E14" s="3">
        <v>369.7</v>
      </c>
      <c r="F14" s="3">
        <v>71.174999999999997</v>
      </c>
      <c r="G14" s="3">
        <v>242.68100000000001</v>
      </c>
      <c r="H14" s="3">
        <v>248.00700000000001</v>
      </c>
      <c r="I14" s="3">
        <v>188.29</v>
      </c>
      <c r="J14" s="3">
        <v>227.9</v>
      </c>
      <c r="K14" s="3">
        <v>205.114</v>
      </c>
      <c r="L14" s="3">
        <v>126.372</v>
      </c>
      <c r="M14" s="2"/>
      <c r="N14" s="2">
        <f t="shared" si="0"/>
        <v>1238.364</v>
      </c>
      <c r="O14" s="2">
        <f t="shared" si="1"/>
        <v>248.00700000000001</v>
      </c>
      <c r="P14" s="2">
        <f t="shared" si="2"/>
        <v>227.9</v>
      </c>
      <c r="Q14" s="2">
        <f t="shared" si="3"/>
        <v>205.114</v>
      </c>
      <c r="R14" s="2">
        <f t="shared" si="4"/>
        <v>0.97852479970323425</v>
      </c>
      <c r="S14" s="2">
        <f t="shared" si="5"/>
        <v>0.82619569986836328</v>
      </c>
      <c r="T14" s="2">
        <f t="shared" si="6"/>
        <v>0.61610616535195062</v>
      </c>
      <c r="V14" s="3">
        <v>369.7</v>
      </c>
      <c r="W14" s="3">
        <f t="shared" si="7"/>
        <v>248.00700000000001</v>
      </c>
      <c r="Y14">
        <f t="shared" si="10"/>
        <v>248.00700000000001</v>
      </c>
      <c r="AD14" s="3">
        <v>3</v>
      </c>
      <c r="AE14">
        <f t="shared" si="9"/>
        <v>0.8880939547115958</v>
      </c>
    </row>
    <row r="15" spans="1:31" x14ac:dyDescent="0.2">
      <c r="A15" s="1" t="s">
        <v>19</v>
      </c>
      <c r="B15" s="3">
        <v>20</v>
      </c>
      <c r="C15" s="1">
        <v>8.1</v>
      </c>
      <c r="D15" s="3">
        <v>3</v>
      </c>
      <c r="E15" s="3">
        <v>366.24</v>
      </c>
      <c r="F15" s="3">
        <v>70.31</v>
      </c>
      <c r="G15" s="3">
        <v>266.00099999999998</v>
      </c>
      <c r="H15" s="3">
        <v>253.898</v>
      </c>
      <c r="I15" s="3">
        <v>203.77099999999999</v>
      </c>
      <c r="J15" s="3">
        <v>184.49199999999999</v>
      </c>
      <c r="K15" s="3">
        <v>199.78200000000001</v>
      </c>
      <c r="L15" s="3">
        <v>146.208</v>
      </c>
      <c r="M15" s="2"/>
      <c r="N15" s="2">
        <f t="shared" si="0"/>
        <v>1254.152</v>
      </c>
      <c r="O15" s="2">
        <f t="shared" si="1"/>
        <v>266.00099999999998</v>
      </c>
      <c r="P15" s="2">
        <f t="shared" si="2"/>
        <v>203.77099999999999</v>
      </c>
      <c r="Q15" s="2">
        <f t="shared" si="3"/>
        <v>199.78200000000001</v>
      </c>
      <c r="R15" s="2">
        <f t="shared" si="4"/>
        <v>0.95450017105198859</v>
      </c>
      <c r="S15" s="2">
        <f t="shared" si="5"/>
        <v>0.90538889243317255</v>
      </c>
      <c r="T15" s="2">
        <f t="shared" si="6"/>
        <v>0.73183770309637497</v>
      </c>
      <c r="V15" s="3">
        <v>366.24</v>
      </c>
      <c r="W15" s="3">
        <f t="shared" si="7"/>
        <v>266.00099999999998</v>
      </c>
      <c r="Y15">
        <f t="shared" si="10"/>
        <v>266.00099999999998</v>
      </c>
      <c r="AD15" s="3">
        <v>3</v>
      </c>
      <c r="AE15">
        <f t="shared" si="9"/>
        <v>0.9599945876664755</v>
      </c>
    </row>
    <row r="16" spans="1:31" x14ac:dyDescent="0.2">
      <c r="A16" s="1" t="s">
        <v>19</v>
      </c>
      <c r="B16" s="3">
        <v>20</v>
      </c>
      <c r="C16" s="1">
        <v>8.1</v>
      </c>
      <c r="D16" s="3">
        <v>3</v>
      </c>
      <c r="E16" s="3">
        <v>391.35</v>
      </c>
      <c r="F16" s="3">
        <v>76.587500000000006</v>
      </c>
      <c r="G16" s="3">
        <v>264.38900000000001</v>
      </c>
      <c r="H16" s="3">
        <v>267.49700000000001</v>
      </c>
      <c r="I16" s="3">
        <v>208.066</v>
      </c>
      <c r="J16" s="3">
        <v>255.76300000000001</v>
      </c>
      <c r="K16" s="3">
        <v>152.971</v>
      </c>
      <c r="L16" s="3">
        <v>166.501</v>
      </c>
      <c r="M16" s="2"/>
      <c r="N16" s="2">
        <f t="shared" si="0"/>
        <v>1315.1870000000001</v>
      </c>
      <c r="O16" s="2">
        <f t="shared" si="1"/>
        <v>267.49700000000001</v>
      </c>
      <c r="P16" s="2">
        <f t="shared" si="2"/>
        <v>255.76300000000001</v>
      </c>
      <c r="Q16" s="2">
        <f t="shared" si="3"/>
        <v>166.501</v>
      </c>
      <c r="R16" s="2">
        <f t="shared" si="4"/>
        <v>0.98838117810667037</v>
      </c>
      <c r="S16" s="2">
        <f t="shared" si="5"/>
        <v>0.81351094568018045</v>
      </c>
      <c r="T16" s="2">
        <f t="shared" si="6"/>
        <v>0.91873922679143072</v>
      </c>
      <c r="V16" s="3">
        <v>391.35</v>
      </c>
      <c r="W16" s="3">
        <f t="shared" si="7"/>
        <v>267.49700000000001</v>
      </c>
      <c r="Y16">
        <f t="shared" si="10"/>
        <v>267.49700000000001</v>
      </c>
      <c r="AD16" s="3">
        <v>3</v>
      </c>
      <c r="AE16">
        <f t="shared" si="9"/>
        <v>0.9033403186725768</v>
      </c>
    </row>
    <row r="17" spans="1:31" x14ac:dyDescent="0.2">
      <c r="A17" s="1" t="s">
        <v>19</v>
      </c>
      <c r="B17" s="3">
        <v>20</v>
      </c>
      <c r="C17" s="1">
        <v>8.1</v>
      </c>
      <c r="D17" s="3">
        <v>3</v>
      </c>
      <c r="E17" s="3">
        <v>403.63</v>
      </c>
      <c r="F17" s="3">
        <v>79.657499999999999</v>
      </c>
      <c r="G17" s="3">
        <v>274.73500000000001</v>
      </c>
      <c r="H17" s="3">
        <v>285.08800000000002</v>
      </c>
      <c r="I17" s="3">
        <v>296.76400000000001</v>
      </c>
      <c r="J17" s="3">
        <v>269.50700000000001</v>
      </c>
      <c r="K17" s="3">
        <v>186.50800000000001</v>
      </c>
      <c r="L17" s="3">
        <v>220.34299999999999</v>
      </c>
      <c r="M17" s="2"/>
      <c r="N17" s="2">
        <f t="shared" si="0"/>
        <v>1532.9450000000002</v>
      </c>
      <c r="O17" s="2">
        <f t="shared" si="1"/>
        <v>285.08800000000002</v>
      </c>
      <c r="P17" s="2">
        <f t="shared" si="2"/>
        <v>296.76400000000001</v>
      </c>
      <c r="Q17" s="2">
        <f t="shared" si="3"/>
        <v>220.34299999999999</v>
      </c>
      <c r="R17" s="2">
        <f t="shared" si="4"/>
        <v>0.96368489729487028</v>
      </c>
      <c r="S17" s="2">
        <f t="shared" si="5"/>
        <v>0.90815260611125337</v>
      </c>
      <c r="T17" s="2">
        <f t="shared" si="6"/>
        <v>0.84644395329100552</v>
      </c>
      <c r="V17" s="3">
        <v>403.63</v>
      </c>
      <c r="W17" s="3">
        <f t="shared" si="7"/>
        <v>285.08800000000002</v>
      </c>
      <c r="Y17">
        <f t="shared" si="10"/>
        <v>285.08800000000002</v>
      </c>
      <c r="AD17" s="3">
        <v>3</v>
      </c>
      <c r="AE17">
        <f t="shared" si="9"/>
        <v>0.9321937799167489</v>
      </c>
    </row>
    <row r="18" spans="1:31" x14ac:dyDescent="0.2">
      <c r="A18" s="1" t="s">
        <v>19</v>
      </c>
      <c r="B18" s="3">
        <v>20</v>
      </c>
      <c r="C18" s="1">
        <v>8.1</v>
      </c>
      <c r="D18" s="3">
        <v>3</v>
      </c>
      <c r="E18" s="3">
        <v>379.08</v>
      </c>
      <c r="F18" s="3">
        <v>73.52</v>
      </c>
      <c r="G18" s="3">
        <v>281.52</v>
      </c>
      <c r="H18" s="3">
        <v>280.803</v>
      </c>
      <c r="I18" s="3">
        <v>214.435</v>
      </c>
      <c r="J18" s="3">
        <v>191.91499999999999</v>
      </c>
      <c r="K18" s="3">
        <v>182.857</v>
      </c>
      <c r="L18" s="3">
        <v>98.915999999999997</v>
      </c>
      <c r="M18" s="2"/>
      <c r="N18" s="2">
        <f t="shared" si="0"/>
        <v>1250.4459999999999</v>
      </c>
      <c r="O18" s="2">
        <f t="shared" si="1"/>
        <v>281.52</v>
      </c>
      <c r="P18" s="2">
        <f t="shared" si="2"/>
        <v>214.435</v>
      </c>
      <c r="Q18" s="2">
        <f t="shared" si="3"/>
        <v>182.857</v>
      </c>
      <c r="R18" s="2">
        <f t="shared" si="4"/>
        <v>0.9974531116794545</v>
      </c>
      <c r="S18" s="2">
        <f t="shared" si="5"/>
        <v>0.89497983071793308</v>
      </c>
      <c r="T18" s="2">
        <f t="shared" si="6"/>
        <v>0.54094729761507621</v>
      </c>
      <c r="V18" s="3">
        <v>379.08</v>
      </c>
      <c r="W18" s="3">
        <f t="shared" si="7"/>
        <v>281.52</v>
      </c>
      <c r="Y18">
        <f t="shared" si="10"/>
        <v>281.52</v>
      </c>
      <c r="AD18" s="3">
        <v>3</v>
      </c>
      <c r="AE18">
        <f t="shared" si="9"/>
        <v>0.98039773319370394</v>
      </c>
    </row>
    <row r="19" spans="1:31" x14ac:dyDescent="0.2">
      <c r="A19" s="1" t="s">
        <v>19</v>
      </c>
      <c r="B19" s="3">
        <v>20</v>
      </c>
      <c r="C19" s="1">
        <v>8.1</v>
      </c>
      <c r="D19" s="3">
        <v>3</v>
      </c>
      <c r="E19" s="3">
        <v>375.82</v>
      </c>
      <c r="F19" s="3">
        <v>72.704999999999998</v>
      </c>
      <c r="G19" s="3">
        <v>278.798</v>
      </c>
      <c r="H19" s="3">
        <v>273.67200000000003</v>
      </c>
      <c r="I19" s="3">
        <v>211.87799999999999</v>
      </c>
      <c r="J19" s="3">
        <v>241.40600000000001</v>
      </c>
      <c r="K19" s="3">
        <v>172.56299999999999</v>
      </c>
      <c r="L19" s="3">
        <v>176.46199999999999</v>
      </c>
      <c r="M19" s="2"/>
      <c r="N19" s="2">
        <f t="shared" si="0"/>
        <v>1354.779</v>
      </c>
      <c r="O19" s="2">
        <f t="shared" si="1"/>
        <v>278.798</v>
      </c>
      <c r="P19" s="2">
        <f t="shared" si="2"/>
        <v>241.40600000000001</v>
      </c>
      <c r="Q19" s="2">
        <f t="shared" si="3"/>
        <v>176.46199999999999</v>
      </c>
      <c r="R19" s="2">
        <f t="shared" si="4"/>
        <v>0.98161392836390515</v>
      </c>
      <c r="S19" s="2">
        <f t="shared" si="5"/>
        <v>0.87768323902471346</v>
      </c>
      <c r="T19" s="2">
        <f t="shared" si="6"/>
        <v>0.97790459135677932</v>
      </c>
      <c r="V19" s="3">
        <v>375.82</v>
      </c>
      <c r="W19" s="3">
        <f t="shared" si="7"/>
        <v>278.798</v>
      </c>
      <c r="Y19">
        <f t="shared" si="10"/>
        <v>278.798</v>
      </c>
      <c r="AD19" s="3">
        <v>3</v>
      </c>
      <c r="AE19">
        <f t="shared" si="9"/>
        <v>0.97953956263138797</v>
      </c>
    </row>
    <row r="20" spans="1:31" x14ac:dyDescent="0.2">
      <c r="A20" s="1" t="s">
        <v>19</v>
      </c>
      <c r="B20" s="3">
        <v>20</v>
      </c>
      <c r="C20" s="1">
        <v>8.1</v>
      </c>
      <c r="D20" s="3">
        <v>3</v>
      </c>
      <c r="E20" s="3">
        <v>380.94</v>
      </c>
      <c r="F20" s="3">
        <v>73.984999999999999</v>
      </c>
      <c r="G20" s="3">
        <v>254.69</v>
      </c>
      <c r="H20" s="3">
        <v>314.24900000000002</v>
      </c>
      <c r="I20" s="3">
        <v>192.3</v>
      </c>
      <c r="J20" s="3">
        <v>189.18899999999999</v>
      </c>
      <c r="K20" s="3">
        <v>188.56899999999999</v>
      </c>
      <c r="L20" s="3">
        <v>131.744</v>
      </c>
      <c r="M20" s="2"/>
      <c r="N20" s="2">
        <f t="shared" si="0"/>
        <v>1270.741</v>
      </c>
      <c r="O20" s="2">
        <f t="shared" si="1"/>
        <v>314.24900000000002</v>
      </c>
      <c r="P20" s="2">
        <f t="shared" si="2"/>
        <v>192.3</v>
      </c>
      <c r="Q20" s="2">
        <f t="shared" si="3"/>
        <v>188.56899999999999</v>
      </c>
      <c r="R20" s="2">
        <f t="shared" si="4"/>
        <v>0.81047195058695487</v>
      </c>
      <c r="S20" s="2">
        <f t="shared" si="5"/>
        <v>0.9838221528861153</v>
      </c>
      <c r="T20" s="2">
        <f t="shared" si="6"/>
        <v>0.69865142202588981</v>
      </c>
      <c r="V20" s="3">
        <v>380.94</v>
      </c>
      <c r="W20" s="3">
        <f t="shared" si="7"/>
        <v>314.24900000000002</v>
      </c>
      <c r="Y20">
        <f t="shared" si="10"/>
        <v>314.24900000000002</v>
      </c>
      <c r="AD20" s="3">
        <v>3</v>
      </c>
      <c r="AE20">
        <f t="shared" si="9"/>
        <v>1.0866713044078795</v>
      </c>
    </row>
    <row r="21" spans="1:31" x14ac:dyDescent="0.2">
      <c r="A21" s="1" t="s">
        <v>19</v>
      </c>
      <c r="B21" s="3">
        <v>20</v>
      </c>
      <c r="C21" s="1">
        <v>8.1</v>
      </c>
      <c r="D21" s="3">
        <v>7</v>
      </c>
      <c r="E21" s="3">
        <v>377.41</v>
      </c>
      <c r="F21" s="3">
        <v>73.102500000000006</v>
      </c>
      <c r="G21" s="3">
        <v>278.601</v>
      </c>
      <c r="H21" s="3">
        <v>283.24299999999999</v>
      </c>
      <c r="I21" s="3">
        <v>299.041</v>
      </c>
      <c r="J21" s="3">
        <v>309.03800000000001</v>
      </c>
      <c r="K21" s="3">
        <v>213.92099999999999</v>
      </c>
      <c r="L21" s="3">
        <v>202.06899999999999</v>
      </c>
      <c r="M21" s="2"/>
      <c r="N21" s="2">
        <f t="shared" si="0"/>
        <v>1585.913</v>
      </c>
      <c r="O21" s="2">
        <f t="shared" si="1"/>
        <v>283.24299999999999</v>
      </c>
      <c r="P21" s="2">
        <f t="shared" si="2"/>
        <v>309.03800000000001</v>
      </c>
      <c r="Q21" s="2">
        <f t="shared" si="3"/>
        <v>213.92099999999999</v>
      </c>
      <c r="R21" s="2">
        <f t="shared" si="4"/>
        <v>0.98361124546767265</v>
      </c>
      <c r="S21" s="2">
        <f t="shared" si="5"/>
        <v>0.96765122735715348</v>
      </c>
      <c r="T21" s="2">
        <f t="shared" si="6"/>
        <v>0.94459636968787541</v>
      </c>
      <c r="V21" s="3">
        <v>377.41</v>
      </c>
      <c r="W21" s="3">
        <f t="shared" si="7"/>
        <v>283.24299999999999</v>
      </c>
      <c r="Z21">
        <f>W21</f>
        <v>283.24299999999999</v>
      </c>
      <c r="AD21" s="3">
        <v>7</v>
      </c>
      <c r="AE21">
        <f t="shared" si="9"/>
        <v>0.99063729610628926</v>
      </c>
    </row>
    <row r="22" spans="1:31" x14ac:dyDescent="0.2">
      <c r="A22" s="1" t="s">
        <v>19</v>
      </c>
      <c r="B22" s="3">
        <v>20</v>
      </c>
      <c r="C22" s="1">
        <v>8.1</v>
      </c>
      <c r="D22" s="3">
        <v>7</v>
      </c>
      <c r="E22" s="3">
        <v>389.56</v>
      </c>
      <c r="F22" s="3">
        <v>76.14</v>
      </c>
      <c r="G22" s="3">
        <v>316.98500000000001</v>
      </c>
      <c r="H22" s="3">
        <v>310.85399999999998</v>
      </c>
      <c r="I22" s="3">
        <v>299.78300000000002</v>
      </c>
      <c r="J22" s="3">
        <v>303.72300000000001</v>
      </c>
      <c r="K22" s="3">
        <v>222.93199999999999</v>
      </c>
      <c r="L22" s="3">
        <v>202.23699999999999</v>
      </c>
      <c r="M22" s="2"/>
      <c r="N22" s="2">
        <f t="shared" si="0"/>
        <v>1656.5140000000001</v>
      </c>
      <c r="O22" s="2">
        <f t="shared" si="1"/>
        <v>316.98500000000001</v>
      </c>
      <c r="P22" s="2">
        <f t="shared" si="2"/>
        <v>303.72300000000001</v>
      </c>
      <c r="Q22" s="2">
        <f t="shared" si="3"/>
        <v>222.93199999999999</v>
      </c>
      <c r="R22" s="2">
        <f t="shared" si="4"/>
        <v>0.9806583907755887</v>
      </c>
      <c r="S22" s="2">
        <f t="shared" si="5"/>
        <v>0.98702765348689436</v>
      </c>
      <c r="T22" s="2">
        <f t="shared" si="6"/>
        <v>0.90716900220695107</v>
      </c>
      <c r="V22" s="3">
        <v>389.56</v>
      </c>
      <c r="W22" s="3">
        <f t="shared" si="7"/>
        <v>316.98500000000001</v>
      </c>
      <c r="Z22">
        <f t="shared" ref="Z22:Z30" si="11">W22</f>
        <v>316.98500000000001</v>
      </c>
      <c r="AD22" s="3">
        <v>7</v>
      </c>
      <c r="AE22">
        <f t="shared" si="9"/>
        <v>1.0717046878014631</v>
      </c>
    </row>
    <row r="23" spans="1:31" x14ac:dyDescent="0.2">
      <c r="A23" s="1" t="s">
        <v>19</v>
      </c>
      <c r="B23" s="3">
        <v>20</v>
      </c>
      <c r="C23" s="1">
        <v>8.1</v>
      </c>
      <c r="D23" s="3">
        <v>7</v>
      </c>
      <c r="E23" s="3">
        <v>394.28</v>
      </c>
      <c r="F23" s="3">
        <v>77.319999999999993</v>
      </c>
      <c r="G23" s="3">
        <v>297.45400000000001</v>
      </c>
      <c r="H23" s="3">
        <v>283.66800000000001</v>
      </c>
      <c r="I23" s="3">
        <v>215.571</v>
      </c>
      <c r="J23" s="3">
        <v>193.733</v>
      </c>
      <c r="K23" s="3">
        <v>209.15700000000001</v>
      </c>
      <c r="L23" s="3">
        <v>206.94499999999999</v>
      </c>
      <c r="M23" s="2"/>
      <c r="N23" s="2">
        <f t="shared" si="0"/>
        <v>1406.528</v>
      </c>
      <c r="O23" s="2">
        <f t="shared" si="1"/>
        <v>297.45400000000001</v>
      </c>
      <c r="P23" s="2">
        <f t="shared" si="2"/>
        <v>215.571</v>
      </c>
      <c r="Q23" s="2">
        <f t="shared" si="3"/>
        <v>209.15700000000001</v>
      </c>
      <c r="R23" s="2">
        <f t="shared" si="4"/>
        <v>0.95365333799511853</v>
      </c>
      <c r="S23" s="2">
        <f t="shared" si="5"/>
        <v>0.89869694903303321</v>
      </c>
      <c r="T23" s="2">
        <f t="shared" si="6"/>
        <v>0.98942421243372192</v>
      </c>
      <c r="V23" s="3">
        <v>394.28</v>
      </c>
      <c r="W23" s="3">
        <f t="shared" si="7"/>
        <v>297.45400000000001</v>
      </c>
      <c r="Z23">
        <f t="shared" si="11"/>
        <v>297.45400000000001</v>
      </c>
      <c r="AD23" s="3">
        <v>7</v>
      </c>
      <c r="AE23">
        <f t="shared" si="9"/>
        <v>0.99484219478144509</v>
      </c>
    </row>
    <row r="24" spans="1:31" x14ac:dyDescent="0.2">
      <c r="A24" s="1" t="s">
        <v>19</v>
      </c>
      <c r="B24" s="3">
        <v>20</v>
      </c>
      <c r="C24" s="1">
        <v>8.1</v>
      </c>
      <c r="D24" s="3">
        <v>7</v>
      </c>
      <c r="E24" s="3">
        <v>367.4</v>
      </c>
      <c r="F24" s="3">
        <v>70.599999999999994</v>
      </c>
      <c r="G24" s="3">
        <v>274.44</v>
      </c>
      <c r="H24" s="3">
        <v>284.75599999999997</v>
      </c>
      <c r="I24" s="3">
        <v>254.8</v>
      </c>
      <c r="J24" s="3">
        <v>290.69600000000003</v>
      </c>
      <c r="K24" s="3">
        <v>202.22300000000001</v>
      </c>
      <c r="L24" s="3">
        <v>191.465</v>
      </c>
      <c r="M24" s="2"/>
      <c r="N24" s="2">
        <f t="shared" si="0"/>
        <v>1498.3799999999999</v>
      </c>
      <c r="O24" s="2">
        <f t="shared" si="1"/>
        <v>284.75599999999997</v>
      </c>
      <c r="P24" s="2">
        <f t="shared" si="2"/>
        <v>290.69600000000003</v>
      </c>
      <c r="Q24" s="2">
        <f t="shared" si="3"/>
        <v>202.22300000000001</v>
      </c>
      <c r="R24" s="2">
        <f t="shared" si="4"/>
        <v>0.96377249294132528</v>
      </c>
      <c r="S24" s="2">
        <f t="shared" si="5"/>
        <v>0.87651704873820069</v>
      </c>
      <c r="T24" s="2">
        <f t="shared" si="6"/>
        <v>0.94680130351146996</v>
      </c>
      <c r="V24" s="3">
        <v>367.4</v>
      </c>
      <c r="W24" s="3">
        <f t="shared" si="7"/>
        <v>284.75599999999997</v>
      </c>
      <c r="Z24">
        <f t="shared" si="11"/>
        <v>284.75599999999997</v>
      </c>
      <c r="AD24" s="3">
        <v>7</v>
      </c>
      <c r="AE24">
        <f t="shared" si="9"/>
        <v>1.0229510425421602</v>
      </c>
    </row>
    <row r="25" spans="1:31" x14ac:dyDescent="0.2">
      <c r="A25" s="1" t="s">
        <v>19</v>
      </c>
      <c r="B25" s="3">
        <v>20</v>
      </c>
      <c r="C25" s="1">
        <v>8.1</v>
      </c>
      <c r="D25" s="3">
        <v>7</v>
      </c>
      <c r="E25" s="3">
        <v>399.97</v>
      </c>
      <c r="F25" s="3">
        <v>78.742500000000007</v>
      </c>
      <c r="G25" s="3">
        <v>322.83199999999999</v>
      </c>
      <c r="H25" s="3">
        <v>327.06200000000001</v>
      </c>
      <c r="I25" s="3">
        <v>282.96699999999998</v>
      </c>
      <c r="J25" s="3">
        <v>270.49</v>
      </c>
      <c r="K25" s="3">
        <v>230.27699999999999</v>
      </c>
      <c r="L25" s="3">
        <v>240.733</v>
      </c>
      <c r="M25" s="2"/>
      <c r="N25" s="2">
        <f t="shared" si="0"/>
        <v>1674.3610000000001</v>
      </c>
      <c r="O25" s="2">
        <f t="shared" si="1"/>
        <v>327.06200000000001</v>
      </c>
      <c r="P25" s="2">
        <f t="shared" si="2"/>
        <v>282.96699999999998</v>
      </c>
      <c r="Q25" s="2">
        <f t="shared" si="3"/>
        <v>240.733</v>
      </c>
      <c r="R25" s="2">
        <f t="shared" si="4"/>
        <v>0.98706667237404522</v>
      </c>
      <c r="S25" s="2">
        <f t="shared" si="5"/>
        <v>0.95590651913474023</v>
      </c>
      <c r="T25" s="2">
        <f t="shared" si="6"/>
        <v>0.95656598804484627</v>
      </c>
      <c r="V25" s="3">
        <v>399.97</v>
      </c>
      <c r="W25" s="3">
        <f t="shared" si="7"/>
        <v>327.06200000000001</v>
      </c>
      <c r="Z25">
        <f t="shared" si="11"/>
        <v>327.06200000000001</v>
      </c>
      <c r="AD25" s="3">
        <v>7</v>
      </c>
      <c r="AE25">
        <f t="shared" si="9"/>
        <v>1.0763792031041419</v>
      </c>
    </row>
    <row r="26" spans="1:31" x14ac:dyDescent="0.2">
      <c r="A26" s="1" t="s">
        <v>19</v>
      </c>
      <c r="B26" s="3">
        <v>20</v>
      </c>
      <c r="C26" s="1">
        <v>8.1</v>
      </c>
      <c r="D26" s="3">
        <v>7</v>
      </c>
      <c r="E26" s="3">
        <v>382.65</v>
      </c>
      <c r="F26" s="3">
        <v>74.412499999999994</v>
      </c>
      <c r="G26" s="3">
        <v>268.21699999999998</v>
      </c>
      <c r="H26" s="3">
        <v>257.50700000000001</v>
      </c>
      <c r="I26" s="3">
        <v>337.22500000000002</v>
      </c>
      <c r="J26" s="3">
        <v>320.43099999999998</v>
      </c>
      <c r="K26" s="3">
        <v>250.911</v>
      </c>
      <c r="L26" s="3">
        <v>247.023</v>
      </c>
      <c r="M26" s="2"/>
      <c r="N26" s="2">
        <f t="shared" si="0"/>
        <v>1681.3139999999999</v>
      </c>
      <c r="O26" s="2">
        <f t="shared" si="1"/>
        <v>268.21699999999998</v>
      </c>
      <c r="P26" s="2">
        <f t="shared" si="2"/>
        <v>337.22500000000002</v>
      </c>
      <c r="Q26" s="2">
        <f t="shared" si="3"/>
        <v>250.911</v>
      </c>
      <c r="R26" s="2">
        <f t="shared" si="4"/>
        <v>0.96006964510079529</v>
      </c>
      <c r="S26" s="2">
        <f t="shared" si="5"/>
        <v>0.95019942175105632</v>
      </c>
      <c r="T26" s="2">
        <f t="shared" si="6"/>
        <v>0.98450446572689121</v>
      </c>
      <c r="V26" s="3">
        <v>382.65</v>
      </c>
      <c r="W26" s="3">
        <f t="shared" si="7"/>
        <v>268.21699999999998</v>
      </c>
      <c r="Z26">
        <f t="shared" si="11"/>
        <v>268.21699999999998</v>
      </c>
      <c r="AD26" s="3">
        <v>7</v>
      </c>
      <c r="AE26">
        <f t="shared" si="9"/>
        <v>0.9263111126605662</v>
      </c>
    </row>
    <row r="27" spans="1:31" x14ac:dyDescent="0.2">
      <c r="A27" s="1" t="s">
        <v>19</v>
      </c>
      <c r="B27" s="3">
        <v>20</v>
      </c>
      <c r="C27" s="1">
        <v>8.1</v>
      </c>
      <c r="D27" s="3">
        <v>7</v>
      </c>
      <c r="E27" s="3">
        <v>389.64</v>
      </c>
      <c r="F27" s="3">
        <v>76.16</v>
      </c>
      <c r="G27" s="3">
        <v>291.52699999999999</v>
      </c>
      <c r="H27" s="3">
        <v>315.18599999999998</v>
      </c>
      <c r="I27" s="3">
        <v>297.108</v>
      </c>
      <c r="J27" s="3">
        <v>195.596</v>
      </c>
      <c r="K27" s="3">
        <v>200.679</v>
      </c>
      <c r="L27" s="3">
        <v>144.38499999999999</v>
      </c>
      <c r="M27" s="2"/>
      <c r="N27" s="2">
        <f t="shared" si="0"/>
        <v>1444.481</v>
      </c>
      <c r="O27" s="2">
        <f t="shared" si="1"/>
        <v>315.18599999999998</v>
      </c>
      <c r="P27" s="2">
        <f t="shared" si="2"/>
        <v>297.108</v>
      </c>
      <c r="Q27" s="2">
        <f t="shared" si="3"/>
        <v>200.679</v>
      </c>
      <c r="R27" s="2">
        <f t="shared" si="4"/>
        <v>0.9249363867684478</v>
      </c>
      <c r="S27" s="2">
        <f t="shared" si="5"/>
        <v>0.65833299675538859</v>
      </c>
      <c r="T27" s="2">
        <f t="shared" si="6"/>
        <v>0.71948235739663835</v>
      </c>
      <c r="V27" s="3">
        <v>389.64</v>
      </c>
      <c r="W27" s="3">
        <f t="shared" si="7"/>
        <v>315.18599999999998</v>
      </c>
      <c r="Z27">
        <f t="shared" si="11"/>
        <v>315.18599999999998</v>
      </c>
      <c r="AD27" s="3">
        <v>7</v>
      </c>
      <c r="AE27">
        <f t="shared" si="9"/>
        <v>1.0655163406478039</v>
      </c>
    </row>
    <row r="28" spans="1:31" x14ac:dyDescent="0.2">
      <c r="A28" s="1" t="s">
        <v>19</v>
      </c>
      <c r="B28" s="3">
        <v>20</v>
      </c>
      <c r="C28" s="1">
        <v>8.1</v>
      </c>
      <c r="D28" s="3">
        <v>7</v>
      </c>
      <c r="E28" s="3">
        <v>368.09</v>
      </c>
      <c r="F28" s="3">
        <v>70.772499999999994</v>
      </c>
      <c r="G28" s="3">
        <v>267.06200000000001</v>
      </c>
      <c r="H28" s="3">
        <v>262.13600000000002</v>
      </c>
      <c r="I28" s="3">
        <v>231.44499999999999</v>
      </c>
      <c r="J28" s="3">
        <v>187.797</v>
      </c>
      <c r="K28" s="3">
        <v>172.83099999999999</v>
      </c>
      <c r="L28" s="3">
        <v>166.553</v>
      </c>
      <c r="M28" s="2"/>
      <c r="N28" s="2">
        <f t="shared" si="0"/>
        <v>1287.8240000000001</v>
      </c>
      <c r="O28" s="2">
        <f t="shared" si="1"/>
        <v>267.06200000000001</v>
      </c>
      <c r="P28" s="2">
        <f t="shared" si="2"/>
        <v>231.44499999999999</v>
      </c>
      <c r="Q28" s="2">
        <f t="shared" si="3"/>
        <v>172.83099999999999</v>
      </c>
      <c r="R28" s="2">
        <f t="shared" si="4"/>
        <v>0.98155484494237299</v>
      </c>
      <c r="S28" s="2">
        <f t="shared" si="5"/>
        <v>0.81141091836073365</v>
      </c>
      <c r="T28" s="2">
        <f t="shared" si="6"/>
        <v>0.96367549802986741</v>
      </c>
      <c r="V28" s="3">
        <v>368.09</v>
      </c>
      <c r="W28" s="3">
        <f t="shared" si="7"/>
        <v>267.06200000000001</v>
      </c>
      <c r="Z28">
        <f t="shared" si="11"/>
        <v>267.06200000000001</v>
      </c>
      <c r="AD28" s="3">
        <v>7</v>
      </c>
      <c r="AE28">
        <f t="shared" si="9"/>
        <v>0.95889572553225733</v>
      </c>
    </row>
    <row r="29" spans="1:31" x14ac:dyDescent="0.2">
      <c r="A29" s="1" t="s">
        <v>19</v>
      </c>
      <c r="B29" s="3">
        <v>20</v>
      </c>
      <c r="C29" s="1">
        <v>8.1</v>
      </c>
      <c r="D29" s="3">
        <v>7</v>
      </c>
      <c r="E29" s="3">
        <v>379.88</v>
      </c>
      <c r="F29" s="3">
        <v>73.72</v>
      </c>
      <c r="G29" s="3">
        <v>240.89400000000001</v>
      </c>
      <c r="H29" s="3">
        <v>252.047</v>
      </c>
      <c r="I29" s="3">
        <v>319.70699999999999</v>
      </c>
      <c r="J29" s="3">
        <v>333.77</v>
      </c>
      <c r="K29" s="3">
        <v>253.22499999999999</v>
      </c>
      <c r="L29" s="3">
        <v>255.376</v>
      </c>
      <c r="M29" s="2"/>
      <c r="N29" s="2">
        <f t="shared" si="0"/>
        <v>1655.019</v>
      </c>
      <c r="O29" s="2">
        <f t="shared" si="1"/>
        <v>252.047</v>
      </c>
      <c r="P29" s="2">
        <f t="shared" si="2"/>
        <v>333.77</v>
      </c>
      <c r="Q29" s="2">
        <f t="shared" si="3"/>
        <v>255.376</v>
      </c>
      <c r="R29" s="2">
        <f t="shared" si="4"/>
        <v>0.95575031640924113</v>
      </c>
      <c r="S29" s="2">
        <f t="shared" si="5"/>
        <v>0.95786619528417771</v>
      </c>
      <c r="T29" s="2">
        <f t="shared" si="6"/>
        <v>0.99157712549339005</v>
      </c>
      <c r="V29" s="3">
        <v>379.88</v>
      </c>
      <c r="W29" s="3">
        <f t="shared" si="7"/>
        <v>252.047</v>
      </c>
      <c r="Z29">
        <f t="shared" si="11"/>
        <v>252.047</v>
      </c>
      <c r="AD29" s="3">
        <v>7</v>
      </c>
      <c r="AE29">
        <f t="shared" si="9"/>
        <v>0.8780422032799996</v>
      </c>
    </row>
    <row r="30" spans="1:31" x14ac:dyDescent="0.2">
      <c r="A30" s="1" t="s">
        <v>19</v>
      </c>
      <c r="B30" s="3">
        <v>20</v>
      </c>
      <c r="C30" s="1">
        <v>8.1</v>
      </c>
      <c r="D30" s="3">
        <v>7</v>
      </c>
      <c r="E30" s="3">
        <v>394.59</v>
      </c>
      <c r="F30" s="3">
        <v>77.397499999999994</v>
      </c>
      <c r="G30" s="3">
        <v>292.584</v>
      </c>
      <c r="H30" s="3">
        <v>295.221</v>
      </c>
      <c r="I30" s="3">
        <v>300.24799999999999</v>
      </c>
      <c r="J30" s="3">
        <v>180.21100000000001</v>
      </c>
      <c r="K30" s="3">
        <v>179.209</v>
      </c>
      <c r="L30" s="3">
        <v>136.876</v>
      </c>
      <c r="M30" s="2"/>
      <c r="N30" s="2">
        <f t="shared" si="0"/>
        <v>1384.3490000000002</v>
      </c>
      <c r="O30" s="2">
        <f t="shared" si="1"/>
        <v>295.221</v>
      </c>
      <c r="P30" s="2">
        <f t="shared" si="2"/>
        <v>300.24799999999999</v>
      </c>
      <c r="Q30" s="2">
        <f t="shared" si="3"/>
        <v>179.209</v>
      </c>
      <c r="R30" s="2">
        <f t="shared" si="4"/>
        <v>0.99106770859796556</v>
      </c>
      <c r="S30" s="2">
        <f t="shared" si="5"/>
        <v>0.60020716207934777</v>
      </c>
      <c r="T30" s="2">
        <f t="shared" si="6"/>
        <v>0.76377860486917515</v>
      </c>
      <c r="V30" s="3">
        <v>394.59</v>
      </c>
      <c r="W30" s="3">
        <f t="shared" si="7"/>
        <v>295.221</v>
      </c>
      <c r="Z30">
        <f t="shared" si="11"/>
        <v>295.221</v>
      </c>
      <c r="AD30" s="3">
        <v>7</v>
      </c>
      <c r="AE30">
        <f t="shared" si="9"/>
        <v>0.98674542158914424</v>
      </c>
    </row>
    <row r="31" spans="1:31" x14ac:dyDescent="0.2">
      <c r="A31" s="1" t="s">
        <v>19</v>
      </c>
      <c r="B31" s="3">
        <v>20</v>
      </c>
      <c r="C31" s="1">
        <v>8.1</v>
      </c>
      <c r="D31" s="3">
        <v>10</v>
      </c>
      <c r="E31" s="3">
        <v>387.12</v>
      </c>
      <c r="F31" s="3">
        <v>75.53</v>
      </c>
      <c r="G31" s="3">
        <v>280.75200000000001</v>
      </c>
      <c r="H31" s="3">
        <v>278.85300000000001</v>
      </c>
      <c r="I31" s="3">
        <v>264.17099999999999</v>
      </c>
      <c r="J31" s="3">
        <v>277.03100000000001</v>
      </c>
      <c r="K31" s="3">
        <v>169.8</v>
      </c>
      <c r="L31" s="3">
        <v>154.75700000000001</v>
      </c>
      <c r="M31" s="2"/>
      <c r="N31" s="2">
        <f t="shared" si="0"/>
        <v>1425.364</v>
      </c>
      <c r="O31" s="2">
        <f t="shared" si="1"/>
        <v>280.75200000000001</v>
      </c>
      <c r="P31" s="2">
        <f t="shared" si="2"/>
        <v>277.03100000000001</v>
      </c>
      <c r="Q31" s="2">
        <f t="shared" si="3"/>
        <v>169.8</v>
      </c>
      <c r="R31" s="2">
        <f t="shared" si="4"/>
        <v>0.99323602325183791</v>
      </c>
      <c r="S31" s="2">
        <f t="shared" si="5"/>
        <v>0.95357920232753735</v>
      </c>
      <c r="T31" s="2">
        <f t="shared" si="6"/>
        <v>0.91140753828032972</v>
      </c>
      <c r="V31" s="3">
        <v>387.12</v>
      </c>
      <c r="W31" s="3">
        <f t="shared" si="7"/>
        <v>280.75200000000001</v>
      </c>
      <c r="AA31">
        <f>W31</f>
        <v>280.75200000000001</v>
      </c>
      <c r="AD31" s="3">
        <v>10</v>
      </c>
      <c r="AE31">
        <f t="shared" si="9"/>
        <v>0.95747161495715294</v>
      </c>
    </row>
    <row r="32" spans="1:31" x14ac:dyDescent="0.2">
      <c r="A32" s="1" t="s">
        <v>19</v>
      </c>
      <c r="B32" s="3">
        <v>20</v>
      </c>
      <c r="C32" s="1">
        <v>8.1</v>
      </c>
      <c r="D32" s="3">
        <v>10</v>
      </c>
      <c r="E32" s="3">
        <v>368.83</v>
      </c>
      <c r="F32" s="3">
        <v>70.957499999999996</v>
      </c>
      <c r="G32" s="3">
        <v>275.03699999999998</v>
      </c>
      <c r="H32" s="3">
        <v>289.35700000000003</v>
      </c>
      <c r="I32" s="3">
        <v>228.566</v>
      </c>
      <c r="J32" s="3">
        <v>203.95699999999999</v>
      </c>
      <c r="K32" s="3">
        <v>165.18799999999999</v>
      </c>
      <c r="L32" s="3">
        <v>151.583</v>
      </c>
      <c r="M32" s="2"/>
      <c r="N32" s="2">
        <f t="shared" si="0"/>
        <v>1313.6880000000001</v>
      </c>
      <c r="O32" s="2">
        <f t="shared" si="1"/>
        <v>289.35700000000003</v>
      </c>
      <c r="P32" s="2">
        <f t="shared" si="2"/>
        <v>228.566</v>
      </c>
      <c r="Q32" s="2">
        <f t="shared" si="3"/>
        <v>165.18799999999999</v>
      </c>
      <c r="R32" s="2">
        <f t="shared" si="4"/>
        <v>0.95051096050899042</v>
      </c>
      <c r="S32" s="2">
        <f t="shared" si="5"/>
        <v>0.89233306791036282</v>
      </c>
      <c r="T32" s="2">
        <f t="shared" si="6"/>
        <v>0.91763929583262716</v>
      </c>
      <c r="V32" s="3">
        <v>368.83</v>
      </c>
      <c r="W32" s="3">
        <f t="shared" si="7"/>
        <v>289.35700000000003</v>
      </c>
      <c r="AA32">
        <f t="shared" ref="AA32:AA40" si="12">W32</f>
        <v>289.35700000000003</v>
      </c>
      <c r="AD32" s="3">
        <v>10</v>
      </c>
      <c r="AE32">
        <f t="shared" si="9"/>
        <v>1.0351102977718665</v>
      </c>
    </row>
    <row r="33" spans="1:31" x14ac:dyDescent="0.2">
      <c r="A33" s="1" t="s">
        <v>19</v>
      </c>
      <c r="B33" s="3">
        <v>20</v>
      </c>
      <c r="C33" s="1">
        <v>8.1</v>
      </c>
      <c r="D33" s="3">
        <v>10</v>
      </c>
      <c r="E33" s="3">
        <v>370.54</v>
      </c>
      <c r="F33" s="3">
        <v>71.385000000000005</v>
      </c>
      <c r="G33" s="3">
        <v>247.43100000000001</v>
      </c>
      <c r="H33" s="3">
        <v>253.751</v>
      </c>
      <c r="I33" s="3">
        <v>270.81599999999997</v>
      </c>
      <c r="J33" s="3">
        <v>264.411</v>
      </c>
      <c r="K33" s="3">
        <v>194.44</v>
      </c>
      <c r="L33" s="3">
        <v>160.77799999999999</v>
      </c>
      <c r="M33" s="2"/>
      <c r="N33" s="2">
        <f t="shared" si="0"/>
        <v>1391.6270000000002</v>
      </c>
      <c r="O33" s="2">
        <f t="shared" si="1"/>
        <v>253.751</v>
      </c>
      <c r="P33" s="2">
        <f t="shared" si="2"/>
        <v>270.81599999999997</v>
      </c>
      <c r="Q33" s="2">
        <f t="shared" si="3"/>
        <v>194.44</v>
      </c>
      <c r="R33" s="2">
        <f t="shared" si="4"/>
        <v>0.97509369421204251</v>
      </c>
      <c r="S33" s="2">
        <f t="shared" si="5"/>
        <v>0.97634925558312669</v>
      </c>
      <c r="T33" s="2">
        <f t="shared" si="6"/>
        <v>0.82687718576424596</v>
      </c>
      <c r="V33" s="3">
        <v>370.54</v>
      </c>
      <c r="W33" s="3">
        <f t="shared" si="7"/>
        <v>253.751</v>
      </c>
      <c r="AA33">
        <f t="shared" si="12"/>
        <v>253.751</v>
      </c>
      <c r="AD33" s="3">
        <v>10</v>
      </c>
      <c r="AE33">
        <f t="shared" si="9"/>
        <v>0.90611907192214347</v>
      </c>
    </row>
    <row r="34" spans="1:31" x14ac:dyDescent="0.2">
      <c r="A34" s="1" t="s">
        <v>19</v>
      </c>
      <c r="B34" s="3">
        <v>20</v>
      </c>
      <c r="C34" s="1">
        <v>8.1</v>
      </c>
      <c r="D34" s="3">
        <v>10</v>
      </c>
      <c r="E34" s="3">
        <v>378.82</v>
      </c>
      <c r="F34" s="3">
        <v>73.454999999999998</v>
      </c>
      <c r="G34" s="3">
        <v>269.995</v>
      </c>
      <c r="H34" s="3">
        <v>287.19799999999998</v>
      </c>
      <c r="I34" s="3">
        <v>257.202</v>
      </c>
      <c r="J34" s="3">
        <v>274.166</v>
      </c>
      <c r="K34" s="3">
        <v>162.316</v>
      </c>
      <c r="L34" s="3">
        <v>174.601</v>
      </c>
      <c r="M34" s="2"/>
      <c r="N34" s="2">
        <f t="shared" si="0"/>
        <v>1425.4780000000001</v>
      </c>
      <c r="O34" s="2">
        <f t="shared" si="1"/>
        <v>287.19799999999998</v>
      </c>
      <c r="P34" s="2">
        <f t="shared" si="2"/>
        <v>274.166</v>
      </c>
      <c r="Q34" s="2">
        <f t="shared" si="3"/>
        <v>174.601</v>
      </c>
      <c r="R34" s="2">
        <f t="shared" si="4"/>
        <v>0.94010055780332735</v>
      </c>
      <c r="S34" s="2">
        <f t="shared" si="5"/>
        <v>0.93812507750778729</v>
      </c>
      <c r="T34" s="2">
        <f t="shared" si="6"/>
        <v>0.9296395782383835</v>
      </c>
      <c r="V34" s="3">
        <v>378.82</v>
      </c>
      <c r="W34" s="3">
        <f t="shared" si="7"/>
        <v>287.19799999999998</v>
      </c>
      <c r="AA34">
        <f t="shared" si="12"/>
        <v>287.19799999999998</v>
      </c>
      <c r="AD34" s="3">
        <v>10</v>
      </c>
      <c r="AE34">
        <f t="shared" si="9"/>
        <v>1.0004458136944816</v>
      </c>
    </row>
    <row r="35" spans="1:31" x14ac:dyDescent="0.2">
      <c r="A35" s="1" t="s">
        <v>19</v>
      </c>
      <c r="B35" s="3">
        <v>20</v>
      </c>
      <c r="C35" s="1">
        <v>8.1</v>
      </c>
      <c r="D35" s="3">
        <v>10</v>
      </c>
      <c r="E35" s="3">
        <v>326.61</v>
      </c>
      <c r="F35" s="3">
        <v>60.402500000000003</v>
      </c>
      <c r="G35" s="3">
        <v>212.77099999999999</v>
      </c>
      <c r="H35" s="3">
        <v>204.05600000000001</v>
      </c>
      <c r="I35" s="3">
        <v>226.16900000000001</v>
      </c>
      <c r="J35" s="3">
        <v>251.21100000000001</v>
      </c>
      <c r="K35" s="3">
        <v>183.97</v>
      </c>
      <c r="L35" s="3">
        <v>203.13300000000001</v>
      </c>
      <c r="M35" s="2"/>
      <c r="N35" s="2">
        <f t="shared" si="0"/>
        <v>1281.31</v>
      </c>
      <c r="O35" s="2">
        <f t="shared" si="1"/>
        <v>212.77099999999999</v>
      </c>
      <c r="P35" s="2">
        <f t="shared" si="2"/>
        <v>251.21100000000001</v>
      </c>
      <c r="Q35" s="2">
        <f t="shared" si="3"/>
        <v>203.13300000000001</v>
      </c>
      <c r="R35" s="2">
        <f t="shared" si="4"/>
        <v>0.95904047074084353</v>
      </c>
      <c r="S35" s="2">
        <f t="shared" si="5"/>
        <v>0.90031487474672689</v>
      </c>
      <c r="T35" s="2">
        <f t="shared" si="6"/>
        <v>0.9056627923577163</v>
      </c>
      <c r="V35" s="3">
        <v>326.61</v>
      </c>
      <c r="W35" s="3">
        <f t="shared" si="7"/>
        <v>212.77099999999999</v>
      </c>
      <c r="AA35">
        <f t="shared" si="12"/>
        <v>212.77099999999999</v>
      </c>
      <c r="AD35" s="3">
        <v>10</v>
      </c>
      <c r="AE35">
        <f t="shared" si="9"/>
        <v>0.86580401148243835</v>
      </c>
    </row>
    <row r="36" spans="1:31" x14ac:dyDescent="0.2">
      <c r="A36" s="1" t="s">
        <v>19</v>
      </c>
      <c r="B36" s="3">
        <v>20</v>
      </c>
      <c r="C36" s="1">
        <v>8.1</v>
      </c>
      <c r="D36" s="3">
        <v>10</v>
      </c>
      <c r="E36" s="3">
        <v>347.21</v>
      </c>
      <c r="F36" s="3">
        <v>65.552499999999995</v>
      </c>
      <c r="G36" s="3">
        <v>274.375</v>
      </c>
      <c r="H36" s="3">
        <v>260.56700000000001</v>
      </c>
      <c r="I36" s="3">
        <v>224.59200000000001</v>
      </c>
      <c r="J36" s="3">
        <v>223.03100000000001</v>
      </c>
      <c r="K36" s="3">
        <v>127.178</v>
      </c>
      <c r="L36" s="3">
        <v>144.28899999999999</v>
      </c>
      <c r="M36" s="2"/>
      <c r="N36" s="2">
        <f t="shared" si="0"/>
        <v>1254.0319999999999</v>
      </c>
      <c r="O36" s="2">
        <f t="shared" si="1"/>
        <v>274.375</v>
      </c>
      <c r="P36" s="2">
        <f t="shared" si="2"/>
        <v>224.59200000000001</v>
      </c>
      <c r="Q36" s="2">
        <f t="shared" si="3"/>
        <v>144.28899999999999</v>
      </c>
      <c r="R36" s="2">
        <f t="shared" si="4"/>
        <v>0.94967471526195901</v>
      </c>
      <c r="S36" s="2">
        <f t="shared" si="5"/>
        <v>0.99304961886442966</v>
      </c>
      <c r="T36" s="2">
        <f t="shared" si="6"/>
        <v>0.88141161141874991</v>
      </c>
      <c r="V36" s="3">
        <v>347.21</v>
      </c>
      <c r="W36" s="3">
        <f t="shared" si="7"/>
        <v>274.375</v>
      </c>
      <c r="AA36">
        <f t="shared" si="12"/>
        <v>274.375</v>
      </c>
      <c r="AD36" s="3">
        <v>10</v>
      </c>
      <c r="AE36">
        <f t="shared" si="9"/>
        <v>1.0437865654856573</v>
      </c>
    </row>
    <row r="37" spans="1:31" x14ac:dyDescent="0.2">
      <c r="A37" s="1" t="s">
        <v>19</v>
      </c>
      <c r="B37" s="3">
        <v>20</v>
      </c>
      <c r="C37" s="1">
        <v>8.1</v>
      </c>
      <c r="D37" s="3">
        <v>10</v>
      </c>
      <c r="E37" s="3">
        <v>286.51</v>
      </c>
      <c r="F37" s="3">
        <v>50.377499999999998</v>
      </c>
      <c r="G37" s="3">
        <v>205.858</v>
      </c>
      <c r="H37" s="3">
        <v>203.71899999999999</v>
      </c>
      <c r="I37" s="3">
        <v>137.48500000000001</v>
      </c>
      <c r="J37" s="3">
        <v>132.71</v>
      </c>
      <c r="K37" s="3">
        <v>100.59699999999999</v>
      </c>
      <c r="L37" s="3">
        <v>100.37</v>
      </c>
      <c r="M37" s="2"/>
      <c r="N37" s="2">
        <f t="shared" si="0"/>
        <v>880.73900000000003</v>
      </c>
      <c r="O37" s="2">
        <f t="shared" si="1"/>
        <v>205.858</v>
      </c>
      <c r="P37" s="2">
        <f t="shared" si="2"/>
        <v>137.48500000000001</v>
      </c>
      <c r="Q37" s="2">
        <f t="shared" si="3"/>
        <v>100.59699999999999</v>
      </c>
      <c r="R37" s="2">
        <f t="shared" si="4"/>
        <v>0.98960934236221076</v>
      </c>
      <c r="S37" s="2">
        <f t="shared" si="5"/>
        <v>0.96526893842964678</v>
      </c>
      <c r="T37" s="2">
        <f t="shared" si="6"/>
        <v>0.99774347147529263</v>
      </c>
      <c r="V37" s="3">
        <v>286.51</v>
      </c>
      <c r="W37" s="3">
        <f t="shared" si="7"/>
        <v>205.858</v>
      </c>
      <c r="AA37">
        <f t="shared" si="12"/>
        <v>205.858</v>
      </c>
      <c r="AD37" s="3">
        <v>10</v>
      </c>
      <c r="AE37">
        <f t="shared" si="9"/>
        <v>0.95579248710644893</v>
      </c>
    </row>
    <row r="38" spans="1:31" x14ac:dyDescent="0.2">
      <c r="A38" s="1" t="s">
        <v>19</v>
      </c>
      <c r="B38" s="3">
        <v>20</v>
      </c>
      <c r="C38" s="1">
        <v>8.1</v>
      </c>
      <c r="D38" s="3">
        <v>10</v>
      </c>
      <c r="E38" s="3">
        <v>382.92</v>
      </c>
      <c r="F38" s="3">
        <v>74.48</v>
      </c>
      <c r="G38" s="3">
        <v>309.45999999999998</v>
      </c>
      <c r="H38" s="3">
        <v>312.62299999999999</v>
      </c>
      <c r="I38" s="3">
        <v>147.476</v>
      </c>
      <c r="J38" s="3">
        <v>175.273</v>
      </c>
      <c r="K38" s="3">
        <v>122.105</v>
      </c>
      <c r="L38" s="3">
        <v>163.39099999999999</v>
      </c>
      <c r="M38" s="2"/>
      <c r="N38" s="2">
        <f t="shared" si="0"/>
        <v>1230.328</v>
      </c>
      <c r="O38" s="2">
        <f t="shared" si="1"/>
        <v>312.62299999999999</v>
      </c>
      <c r="P38" s="2">
        <f t="shared" si="2"/>
        <v>175.273</v>
      </c>
      <c r="Q38" s="2">
        <f t="shared" si="3"/>
        <v>163.39099999999999</v>
      </c>
      <c r="R38" s="2">
        <f t="shared" si="4"/>
        <v>0.9898823822943289</v>
      </c>
      <c r="S38" s="2">
        <f t="shared" si="5"/>
        <v>0.84140740444905948</v>
      </c>
      <c r="T38" s="2">
        <f t="shared" si="6"/>
        <v>0.74731778372125768</v>
      </c>
      <c r="V38" s="3">
        <v>382.92</v>
      </c>
      <c r="W38" s="3">
        <f t="shared" si="7"/>
        <v>312.62299999999999</v>
      </c>
      <c r="AA38">
        <f t="shared" si="12"/>
        <v>312.62299999999999</v>
      </c>
      <c r="AD38" s="3">
        <v>10</v>
      </c>
      <c r="AE38">
        <f t="shared" si="9"/>
        <v>1.0755633168130248</v>
      </c>
    </row>
    <row r="39" spans="1:31" x14ac:dyDescent="0.2">
      <c r="A39" s="1" t="s">
        <v>19</v>
      </c>
      <c r="B39" s="3">
        <v>20</v>
      </c>
      <c r="C39" s="1">
        <v>8.1</v>
      </c>
      <c r="D39" s="3">
        <v>10</v>
      </c>
      <c r="E39" s="3">
        <v>410.71</v>
      </c>
      <c r="F39" s="3">
        <v>81.427499999999995</v>
      </c>
      <c r="G39" s="3">
        <v>292.55900000000003</v>
      </c>
      <c r="H39" s="3">
        <v>289.75900000000001</v>
      </c>
      <c r="I39" s="3">
        <v>250.97</v>
      </c>
      <c r="J39" s="3">
        <v>256.14400000000001</v>
      </c>
      <c r="K39" s="3">
        <v>224.97900000000001</v>
      </c>
      <c r="L39" s="3">
        <v>208.40700000000001</v>
      </c>
      <c r="M39" s="2"/>
      <c r="N39" s="2">
        <f t="shared" si="0"/>
        <v>1522.818</v>
      </c>
      <c r="O39" s="2">
        <f t="shared" si="1"/>
        <v>292.55900000000003</v>
      </c>
      <c r="P39" s="2">
        <f t="shared" si="2"/>
        <v>256.14400000000001</v>
      </c>
      <c r="Q39" s="2">
        <f t="shared" si="3"/>
        <v>224.97900000000001</v>
      </c>
      <c r="R39" s="2">
        <f t="shared" si="4"/>
        <v>0.99042928093136762</v>
      </c>
      <c r="S39" s="2">
        <f t="shared" si="5"/>
        <v>0.97980042476107188</v>
      </c>
      <c r="T39" s="2">
        <f t="shared" si="6"/>
        <v>0.92633979171389325</v>
      </c>
      <c r="V39" s="3">
        <v>410.71</v>
      </c>
      <c r="W39" s="3">
        <f t="shared" si="7"/>
        <v>292.55900000000003</v>
      </c>
      <c r="AA39">
        <f t="shared" si="12"/>
        <v>292.55900000000003</v>
      </c>
      <c r="AD39" s="3">
        <v>10</v>
      </c>
      <c r="AE39">
        <f t="shared" si="9"/>
        <v>0.93963823889404652</v>
      </c>
    </row>
    <row r="40" spans="1:31" x14ac:dyDescent="0.2">
      <c r="A40" s="1" t="s">
        <v>19</v>
      </c>
      <c r="B40" s="3">
        <v>20</v>
      </c>
      <c r="C40" s="1">
        <v>8.1</v>
      </c>
      <c r="D40" s="3">
        <v>10</v>
      </c>
      <c r="E40" s="3">
        <v>385.13</v>
      </c>
      <c r="F40" s="3">
        <v>75.032499999999999</v>
      </c>
      <c r="G40" s="3">
        <v>261.79700000000003</v>
      </c>
      <c r="H40" s="3">
        <v>251.982</v>
      </c>
      <c r="I40" s="3">
        <v>262.45999999999998</v>
      </c>
      <c r="J40" s="3">
        <v>233.006</v>
      </c>
      <c r="K40" s="3">
        <v>220.06700000000001</v>
      </c>
      <c r="L40" s="3">
        <v>203.86500000000001</v>
      </c>
      <c r="M40" s="2"/>
      <c r="N40" s="2">
        <f t="shared" si="0"/>
        <v>1433.1769999999999</v>
      </c>
      <c r="O40" s="2">
        <f t="shared" si="1"/>
        <v>261.79700000000003</v>
      </c>
      <c r="P40" s="2">
        <f t="shared" si="2"/>
        <v>262.45999999999998</v>
      </c>
      <c r="Q40" s="2">
        <f t="shared" si="3"/>
        <v>220.06700000000001</v>
      </c>
      <c r="R40" s="2">
        <f t="shared" si="4"/>
        <v>0.96250911966141695</v>
      </c>
      <c r="S40" s="2">
        <f t="shared" si="5"/>
        <v>0.88777718509487169</v>
      </c>
      <c r="T40" s="2">
        <f t="shared" si="6"/>
        <v>0.92637696701459105</v>
      </c>
      <c r="V40" s="3">
        <v>385.13</v>
      </c>
      <c r="W40" s="3">
        <f t="shared" si="7"/>
        <v>261.79700000000003</v>
      </c>
      <c r="AA40">
        <f t="shared" si="12"/>
        <v>261.79700000000003</v>
      </c>
      <c r="AD40" s="3">
        <v>10</v>
      </c>
      <c r="AE40">
        <f t="shared" si="9"/>
        <v>0.89879802871327985</v>
      </c>
    </row>
    <row r="41" spans="1:31" x14ac:dyDescent="0.2">
      <c r="A41" s="1" t="s">
        <v>19</v>
      </c>
      <c r="B41" s="3">
        <v>20</v>
      </c>
      <c r="C41" s="1">
        <v>8.1</v>
      </c>
      <c r="D41" s="3">
        <v>20</v>
      </c>
      <c r="E41" s="3">
        <v>380.65</v>
      </c>
      <c r="F41" s="3">
        <v>73.912499999999994</v>
      </c>
      <c r="G41" s="3">
        <v>282.697</v>
      </c>
      <c r="H41" s="3">
        <v>283.72199999999998</v>
      </c>
      <c r="I41" s="3">
        <v>347.584</v>
      </c>
      <c r="J41" s="3">
        <v>349.17399999999998</v>
      </c>
      <c r="K41" s="3">
        <v>219.876</v>
      </c>
      <c r="L41" s="3">
        <v>205.685</v>
      </c>
      <c r="M41" s="2"/>
      <c r="N41" s="2">
        <f t="shared" si="0"/>
        <v>1688.7379999999998</v>
      </c>
      <c r="O41" s="2">
        <f t="shared" si="1"/>
        <v>283.72199999999998</v>
      </c>
      <c r="P41" s="2">
        <f t="shared" si="2"/>
        <v>349.17399999999998</v>
      </c>
      <c r="Q41" s="2">
        <f t="shared" si="3"/>
        <v>219.876</v>
      </c>
      <c r="R41" s="2">
        <f t="shared" si="4"/>
        <v>0.99638730870359027</v>
      </c>
      <c r="S41" s="2">
        <f t="shared" si="5"/>
        <v>0.99544639635253496</v>
      </c>
      <c r="T41" s="2">
        <f t="shared" si="6"/>
        <v>0.93545907693427199</v>
      </c>
      <c r="V41" s="3">
        <v>380.65</v>
      </c>
      <c r="W41" s="3">
        <f t="shared" si="7"/>
        <v>283.72199999999998</v>
      </c>
      <c r="AB41">
        <f>W41</f>
        <v>283.72199999999998</v>
      </c>
      <c r="AD41" s="3">
        <v>20</v>
      </c>
      <c r="AE41">
        <f t="shared" si="9"/>
        <v>0.98383187958440987</v>
      </c>
    </row>
    <row r="42" spans="1:31" x14ac:dyDescent="0.2">
      <c r="A42" s="1" t="s">
        <v>19</v>
      </c>
      <c r="B42" s="3">
        <v>20</v>
      </c>
      <c r="C42" s="1">
        <v>8.1</v>
      </c>
      <c r="D42" s="3">
        <v>20</v>
      </c>
      <c r="E42" s="3">
        <v>349.73</v>
      </c>
      <c r="F42" s="3">
        <v>66.182500000000005</v>
      </c>
      <c r="G42" s="3">
        <v>246.072</v>
      </c>
      <c r="H42" s="3">
        <v>255.13800000000001</v>
      </c>
      <c r="I42" s="3">
        <v>264.39</v>
      </c>
      <c r="J42" s="3">
        <v>224.404</v>
      </c>
      <c r="K42" s="3">
        <v>171.898</v>
      </c>
      <c r="L42" s="3">
        <v>158.67699999999999</v>
      </c>
      <c r="M42" s="2"/>
      <c r="N42" s="2">
        <f t="shared" si="0"/>
        <v>1320.579</v>
      </c>
      <c r="O42" s="2">
        <f t="shared" si="1"/>
        <v>255.13800000000001</v>
      </c>
      <c r="P42" s="2">
        <f t="shared" si="2"/>
        <v>264.39</v>
      </c>
      <c r="Q42" s="2">
        <f t="shared" si="3"/>
        <v>171.898</v>
      </c>
      <c r="R42" s="2">
        <f t="shared" si="4"/>
        <v>0.9644662888319262</v>
      </c>
      <c r="S42" s="2">
        <f t="shared" si="5"/>
        <v>0.84876129959529489</v>
      </c>
      <c r="T42" s="2">
        <f t="shared" si="6"/>
        <v>0.92308811039104588</v>
      </c>
      <c r="V42" s="3">
        <v>349.73</v>
      </c>
      <c r="W42" s="3">
        <f t="shared" si="7"/>
        <v>255.13800000000001</v>
      </c>
      <c r="AB42">
        <f t="shared" ref="AB42:AB50" si="13">W42</f>
        <v>255.13800000000001</v>
      </c>
      <c r="AD42" s="3">
        <v>20</v>
      </c>
      <c r="AE42">
        <f t="shared" si="9"/>
        <v>0.96516248862211362</v>
      </c>
    </row>
    <row r="43" spans="1:31" x14ac:dyDescent="0.2">
      <c r="A43" s="1" t="s">
        <v>19</v>
      </c>
      <c r="B43" s="3">
        <v>20</v>
      </c>
      <c r="C43" s="1">
        <v>8.1</v>
      </c>
      <c r="D43" s="3">
        <v>20</v>
      </c>
      <c r="E43" s="3">
        <v>375.92</v>
      </c>
      <c r="F43" s="3">
        <v>72.73</v>
      </c>
      <c r="G43" s="3">
        <v>280.11399999999998</v>
      </c>
      <c r="H43" s="3">
        <v>277.66000000000003</v>
      </c>
      <c r="I43" s="3">
        <v>292.94499999999999</v>
      </c>
      <c r="J43" s="3">
        <v>283.25200000000001</v>
      </c>
      <c r="K43" s="3">
        <v>194.44</v>
      </c>
      <c r="L43" s="3">
        <v>197.16800000000001</v>
      </c>
      <c r="M43" s="2"/>
      <c r="N43" s="2">
        <f t="shared" si="0"/>
        <v>1525.5790000000002</v>
      </c>
      <c r="O43" s="2">
        <f t="shared" si="1"/>
        <v>280.11399999999998</v>
      </c>
      <c r="P43" s="2">
        <f t="shared" si="2"/>
        <v>292.94499999999999</v>
      </c>
      <c r="Q43" s="2">
        <f t="shared" si="3"/>
        <v>197.16800000000001</v>
      </c>
      <c r="R43" s="2">
        <f t="shared" si="4"/>
        <v>0.99123928114981774</v>
      </c>
      <c r="S43" s="2">
        <f t="shared" si="5"/>
        <v>0.96691187765621534</v>
      </c>
      <c r="T43" s="2">
        <f t="shared" si="6"/>
        <v>0.98616408342124473</v>
      </c>
      <c r="V43" s="3">
        <v>375.92</v>
      </c>
      <c r="W43" s="3">
        <f t="shared" si="7"/>
        <v>280.11399999999998</v>
      </c>
      <c r="AB43">
        <f t="shared" si="13"/>
        <v>280.11399999999998</v>
      </c>
      <c r="AD43" s="3">
        <v>20</v>
      </c>
      <c r="AE43">
        <f t="shared" si="9"/>
        <v>0.98380425613669908</v>
      </c>
    </row>
    <row r="44" spans="1:31" x14ac:dyDescent="0.2">
      <c r="A44" s="1" t="s">
        <v>19</v>
      </c>
      <c r="B44" s="3">
        <v>20</v>
      </c>
      <c r="C44" s="1">
        <v>8.1</v>
      </c>
      <c r="D44" s="3">
        <v>20</v>
      </c>
      <c r="E44" s="3">
        <v>347.41</v>
      </c>
      <c r="F44" s="3">
        <v>65.602500000000006</v>
      </c>
      <c r="G44" s="3">
        <v>249.36099999999999</v>
      </c>
      <c r="H44" s="3">
        <v>233.845</v>
      </c>
      <c r="I44" s="3">
        <v>253.845</v>
      </c>
      <c r="J44" s="3">
        <v>243.36199999999999</v>
      </c>
      <c r="K44" s="3">
        <v>202.904</v>
      </c>
      <c r="L44" s="3">
        <v>174.958</v>
      </c>
      <c r="M44" s="2"/>
      <c r="N44" s="2">
        <f t="shared" si="0"/>
        <v>1358.2750000000001</v>
      </c>
      <c r="O44" s="2">
        <f t="shared" si="1"/>
        <v>249.36099999999999</v>
      </c>
      <c r="P44" s="2">
        <f t="shared" si="2"/>
        <v>253.845</v>
      </c>
      <c r="Q44" s="2">
        <f t="shared" si="3"/>
        <v>202.904</v>
      </c>
      <c r="R44" s="2">
        <f t="shared" si="4"/>
        <v>0.93777695790440374</v>
      </c>
      <c r="S44" s="2">
        <f t="shared" si="5"/>
        <v>0.95870314562035885</v>
      </c>
      <c r="T44" s="2">
        <f t="shared" si="6"/>
        <v>0.86226984189567479</v>
      </c>
      <c r="V44" s="3">
        <v>347.41</v>
      </c>
      <c r="W44" s="3">
        <f t="shared" si="7"/>
        <v>249.36099999999999</v>
      </c>
      <c r="AB44">
        <f t="shared" si="13"/>
        <v>249.36099999999999</v>
      </c>
      <c r="AD44" s="3">
        <v>20</v>
      </c>
      <c r="AE44">
        <f t="shared" si="9"/>
        <v>0.95011252867913354</v>
      </c>
    </row>
    <row r="45" spans="1:31" x14ac:dyDescent="0.2">
      <c r="A45" s="1" t="s">
        <v>19</v>
      </c>
      <c r="B45" s="3">
        <v>20</v>
      </c>
      <c r="C45" s="1">
        <v>8.1</v>
      </c>
      <c r="D45" s="3">
        <v>20</v>
      </c>
      <c r="E45" s="3">
        <v>345.27</v>
      </c>
      <c r="F45" s="3">
        <v>65.067499999999995</v>
      </c>
      <c r="G45" s="3">
        <v>257.78699999999998</v>
      </c>
      <c r="H45" s="3">
        <v>247.964</v>
      </c>
      <c r="I45" s="3">
        <v>319.37599999999998</v>
      </c>
      <c r="J45" s="3">
        <v>321.47800000000001</v>
      </c>
      <c r="K45" s="3">
        <v>188.447</v>
      </c>
      <c r="L45" s="3">
        <v>189.29400000000001</v>
      </c>
      <c r="M45" s="2"/>
      <c r="N45" s="2">
        <f t="shared" si="0"/>
        <v>1524.3460000000002</v>
      </c>
      <c r="O45" s="2">
        <f t="shared" si="1"/>
        <v>257.78699999999998</v>
      </c>
      <c r="P45" s="2">
        <f t="shared" si="2"/>
        <v>321.47800000000001</v>
      </c>
      <c r="Q45" s="2">
        <f t="shared" si="3"/>
        <v>189.29400000000001</v>
      </c>
      <c r="R45" s="2">
        <f t="shared" si="4"/>
        <v>0.96189489772564174</v>
      </c>
      <c r="S45" s="2">
        <f t="shared" si="5"/>
        <v>0.99346144992814434</v>
      </c>
      <c r="T45" s="2">
        <f t="shared" si="6"/>
        <v>0.99552547888469778</v>
      </c>
      <c r="V45" s="3">
        <v>345.27</v>
      </c>
      <c r="W45" s="3">
        <f t="shared" si="7"/>
        <v>257.78699999999998</v>
      </c>
      <c r="AB45">
        <f t="shared" si="13"/>
        <v>257.78699999999998</v>
      </c>
      <c r="AD45" s="3">
        <v>20</v>
      </c>
      <c r="AE45">
        <f t="shared" si="9"/>
        <v>0.98754750602236896</v>
      </c>
    </row>
    <row r="46" spans="1:31" x14ac:dyDescent="0.2">
      <c r="A46" s="1" t="s">
        <v>19</v>
      </c>
      <c r="B46" s="3">
        <v>20</v>
      </c>
      <c r="C46" s="1">
        <v>8.1</v>
      </c>
      <c r="D46" s="3">
        <v>20</v>
      </c>
      <c r="E46" s="3">
        <v>341.4</v>
      </c>
      <c r="F46" s="3">
        <v>64.099999999999994</v>
      </c>
      <c r="G46" s="3">
        <v>243.96899999999999</v>
      </c>
      <c r="H46" s="3">
        <v>240.501</v>
      </c>
      <c r="I46" s="3">
        <v>227.32</v>
      </c>
      <c r="J46" s="3">
        <v>238.15299999999999</v>
      </c>
      <c r="K46" s="3">
        <v>149.852</v>
      </c>
      <c r="L46" s="3">
        <v>161.69300000000001</v>
      </c>
      <c r="M46" s="2"/>
      <c r="N46" s="2">
        <f t="shared" si="0"/>
        <v>1261.4880000000001</v>
      </c>
      <c r="O46" s="2">
        <f t="shared" si="1"/>
        <v>243.96899999999999</v>
      </c>
      <c r="P46" s="2">
        <f t="shared" si="2"/>
        <v>238.15299999999999</v>
      </c>
      <c r="Q46" s="2">
        <f t="shared" si="3"/>
        <v>161.69300000000001</v>
      </c>
      <c r="R46" s="2">
        <f t="shared" si="4"/>
        <v>0.9857850792518722</v>
      </c>
      <c r="S46" s="2">
        <f t="shared" si="5"/>
        <v>0.95451243528320029</v>
      </c>
      <c r="T46" s="2">
        <f t="shared" si="6"/>
        <v>0.9267686294397407</v>
      </c>
      <c r="V46" s="3">
        <v>341.4</v>
      </c>
      <c r="W46" s="3">
        <f t="shared" si="7"/>
        <v>243.96899999999999</v>
      </c>
      <c r="AB46">
        <f t="shared" si="13"/>
        <v>243.96899999999999</v>
      </c>
      <c r="AD46" s="3">
        <v>20</v>
      </c>
      <c r="AE46">
        <f t="shared" si="9"/>
        <v>0.94642232937069759</v>
      </c>
    </row>
    <row r="47" spans="1:31" x14ac:dyDescent="0.2">
      <c r="A47" s="1" t="s">
        <v>19</v>
      </c>
      <c r="B47" s="3">
        <v>20</v>
      </c>
      <c r="C47" s="1">
        <v>8.1</v>
      </c>
      <c r="D47" s="3">
        <v>20</v>
      </c>
      <c r="E47" s="3">
        <v>334.24</v>
      </c>
      <c r="F47" s="3">
        <v>62.31</v>
      </c>
      <c r="G47" s="3">
        <v>254.78299999999999</v>
      </c>
      <c r="H47" s="3">
        <v>262.48399999999998</v>
      </c>
      <c r="I47" s="3">
        <v>260.65600000000001</v>
      </c>
      <c r="J47" s="3">
        <v>290.32100000000003</v>
      </c>
      <c r="K47" s="3">
        <v>157.96299999999999</v>
      </c>
      <c r="L47" s="3">
        <v>151.37799999999999</v>
      </c>
      <c r="M47" s="2"/>
      <c r="N47" s="2">
        <f t="shared" si="0"/>
        <v>1377.585</v>
      </c>
      <c r="O47" s="2">
        <f t="shared" si="1"/>
        <v>262.48399999999998</v>
      </c>
      <c r="P47" s="2">
        <f t="shared" si="2"/>
        <v>290.32100000000003</v>
      </c>
      <c r="Q47" s="2">
        <f t="shared" si="3"/>
        <v>157.96299999999999</v>
      </c>
      <c r="R47" s="2">
        <f t="shared" si="4"/>
        <v>0.97066106886514991</v>
      </c>
      <c r="S47" s="2">
        <f t="shared" si="5"/>
        <v>0.897819999242218</v>
      </c>
      <c r="T47" s="2">
        <f t="shared" si="6"/>
        <v>0.95831302266986562</v>
      </c>
      <c r="V47" s="3">
        <v>334.24</v>
      </c>
      <c r="W47" s="3">
        <f t="shared" si="7"/>
        <v>262.48399999999998</v>
      </c>
      <c r="AB47">
        <f t="shared" si="13"/>
        <v>262.48399999999998</v>
      </c>
      <c r="AD47" s="3">
        <v>20</v>
      </c>
      <c r="AE47">
        <f t="shared" si="9"/>
        <v>1.0383022398311339</v>
      </c>
    </row>
    <row r="48" spans="1:31" x14ac:dyDescent="0.2">
      <c r="A48" s="1" t="s">
        <v>19</v>
      </c>
      <c r="B48" s="3">
        <v>20</v>
      </c>
      <c r="C48" s="1">
        <v>8.1</v>
      </c>
      <c r="D48" s="3">
        <v>20</v>
      </c>
      <c r="E48" s="3">
        <v>360.51</v>
      </c>
      <c r="F48" s="3">
        <v>68.877499999999998</v>
      </c>
      <c r="G48" s="3">
        <v>261.38499999999999</v>
      </c>
      <c r="H48" s="3">
        <v>284.75299999999999</v>
      </c>
      <c r="I48" s="3">
        <v>281.87</v>
      </c>
      <c r="J48" s="3">
        <v>282.45699999999999</v>
      </c>
      <c r="K48" s="3">
        <v>181.09299999999999</v>
      </c>
      <c r="L48" s="3">
        <v>204.52699999999999</v>
      </c>
      <c r="M48" s="2"/>
      <c r="N48" s="2">
        <f t="shared" si="0"/>
        <v>1496.085</v>
      </c>
      <c r="O48" s="2">
        <f t="shared" si="1"/>
        <v>284.75299999999999</v>
      </c>
      <c r="P48" s="2">
        <f t="shared" si="2"/>
        <v>282.45699999999999</v>
      </c>
      <c r="Q48" s="2">
        <f t="shared" si="3"/>
        <v>204.52699999999999</v>
      </c>
      <c r="R48" s="2">
        <f t="shared" si="4"/>
        <v>0.91793589531980346</v>
      </c>
      <c r="S48" s="2">
        <f t="shared" si="5"/>
        <v>0.99792180756716953</v>
      </c>
      <c r="T48" s="2">
        <f t="shared" si="6"/>
        <v>0.88542344042595844</v>
      </c>
      <c r="V48" s="3">
        <v>360.51</v>
      </c>
      <c r="W48" s="3">
        <f t="shared" si="7"/>
        <v>284.75299999999999</v>
      </c>
      <c r="AB48">
        <f t="shared" si="13"/>
        <v>284.75299999999999</v>
      </c>
      <c r="AD48" s="3">
        <v>20</v>
      </c>
      <c r="AE48">
        <f t="shared" si="9"/>
        <v>1.0424907355049151</v>
      </c>
    </row>
    <row r="49" spans="1:31" x14ac:dyDescent="0.2">
      <c r="A49" s="1" t="s">
        <v>19</v>
      </c>
      <c r="B49" s="3">
        <v>20</v>
      </c>
      <c r="C49" s="1">
        <v>8.1</v>
      </c>
      <c r="D49" s="3">
        <v>20</v>
      </c>
      <c r="E49" s="3">
        <v>355.27</v>
      </c>
      <c r="F49" s="3">
        <v>67.567499999999995</v>
      </c>
      <c r="G49" s="3">
        <v>252.916</v>
      </c>
      <c r="H49" s="3">
        <v>252.392</v>
      </c>
      <c r="I49" s="3">
        <v>289.71199999999999</v>
      </c>
      <c r="J49" s="3">
        <v>296.45400000000001</v>
      </c>
      <c r="K49" s="3">
        <v>166.43299999999999</v>
      </c>
      <c r="L49" s="3">
        <v>170.22</v>
      </c>
      <c r="M49" s="2"/>
      <c r="N49" s="2">
        <f t="shared" si="0"/>
        <v>1428.127</v>
      </c>
      <c r="O49" s="2">
        <f t="shared" si="1"/>
        <v>252.916</v>
      </c>
      <c r="P49" s="2">
        <f t="shared" si="2"/>
        <v>296.45400000000001</v>
      </c>
      <c r="Q49" s="2">
        <f t="shared" si="3"/>
        <v>170.22</v>
      </c>
      <c r="R49" s="2">
        <f t="shared" si="4"/>
        <v>0.99792816587325439</v>
      </c>
      <c r="S49" s="2">
        <f t="shared" si="5"/>
        <v>0.97725785450693858</v>
      </c>
      <c r="T49" s="2">
        <f t="shared" si="6"/>
        <v>0.97775232052637762</v>
      </c>
      <c r="V49" s="3">
        <v>355.27</v>
      </c>
      <c r="W49" s="3">
        <f t="shared" si="7"/>
        <v>252.916</v>
      </c>
      <c r="AB49">
        <f t="shared" si="13"/>
        <v>252.916</v>
      </c>
      <c r="AD49" s="3">
        <v>20</v>
      </c>
      <c r="AE49">
        <f t="shared" si="9"/>
        <v>0.94202716730089997</v>
      </c>
    </row>
    <row r="50" spans="1:31" x14ac:dyDescent="0.2">
      <c r="A50" s="1" t="s">
        <v>19</v>
      </c>
      <c r="B50" s="3">
        <v>20</v>
      </c>
      <c r="C50" s="1">
        <v>8.1</v>
      </c>
      <c r="D50" s="3">
        <v>20</v>
      </c>
      <c r="E50" s="3">
        <v>336.57</v>
      </c>
      <c r="F50" s="3">
        <v>62.892499999999998</v>
      </c>
      <c r="G50" s="3">
        <v>240.023</v>
      </c>
      <c r="H50" s="3">
        <v>245.143</v>
      </c>
      <c r="I50" s="3">
        <v>275.09899999999999</v>
      </c>
      <c r="J50" s="3">
        <v>248.26400000000001</v>
      </c>
      <c r="K50" s="3">
        <v>155.476</v>
      </c>
      <c r="L50" s="3">
        <v>150.03899999999999</v>
      </c>
      <c r="M50" s="2"/>
      <c r="N50" s="2">
        <f t="shared" si="0"/>
        <v>1314.0440000000001</v>
      </c>
      <c r="O50" s="2">
        <f t="shared" si="1"/>
        <v>245.143</v>
      </c>
      <c r="P50" s="2">
        <f t="shared" si="2"/>
        <v>275.09899999999999</v>
      </c>
      <c r="Q50" s="2">
        <f t="shared" si="3"/>
        <v>155.476</v>
      </c>
      <c r="R50" s="2">
        <f t="shared" si="4"/>
        <v>0.97911423128541297</v>
      </c>
      <c r="S50" s="2">
        <f t="shared" si="5"/>
        <v>0.90245329863067481</v>
      </c>
      <c r="T50" s="2">
        <f t="shared" si="6"/>
        <v>0.96502997247163547</v>
      </c>
      <c r="V50" s="3">
        <v>336.57</v>
      </c>
      <c r="W50" s="3">
        <f t="shared" si="7"/>
        <v>245.143</v>
      </c>
      <c r="AB50">
        <f t="shared" si="13"/>
        <v>245.143</v>
      </c>
      <c r="AD50" s="3">
        <v>20</v>
      </c>
      <c r="AE50">
        <f t="shared" si="9"/>
        <v>0.96451306828277572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data</vt:lpstr>
      <vt:lpstr>pH</vt:lpstr>
      <vt:lpstr>pH_POR</vt:lpstr>
      <vt:lpstr>pH_BR</vt:lpstr>
      <vt:lpstr>Temperature</vt:lpstr>
      <vt:lpstr>Temperature_POR</vt:lpstr>
      <vt:lpstr>Temperature_BR</vt:lpstr>
      <vt:lpstr>Lithium</vt:lpstr>
      <vt:lpstr>Lithium_POR</vt:lpstr>
      <vt:lpstr>Lithium_BR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Dupont</dc:creator>
  <cp:lastModifiedBy>Einar Pétur Jónsson - HAFRO</cp:lastModifiedBy>
  <dcterms:created xsi:type="dcterms:W3CDTF">2026-01-30T08:52:40Z</dcterms:created>
  <dcterms:modified xsi:type="dcterms:W3CDTF">2026-02-02T11:14:36Z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80478f-11da-4717-908f-ce13ec08de93_Enabled">
    <vt:lpwstr>true</vt:lpwstr>
  </property>
  <property fmtid="{D5CDD505-2E9C-101B-9397-08002B2CF9AE}" pid="3" name="MSIP_Label_dc80478f-11da-4717-908f-ce13ec08de93_SetDate">
    <vt:lpwstr>2026-02-02T09:58:11Z</vt:lpwstr>
  </property>
  <property fmtid="{D5CDD505-2E9C-101B-9397-08002B2CF9AE}" pid="4" name="MSIP_Label_dc80478f-11da-4717-908f-ce13ec08de93_Method">
    <vt:lpwstr>Standard</vt:lpwstr>
  </property>
  <property fmtid="{D5CDD505-2E9C-101B-9397-08002B2CF9AE}" pid="5" name="MSIP_Label_dc80478f-11da-4717-908f-ce13ec08de93_Name">
    <vt:lpwstr>Varin</vt:lpwstr>
  </property>
  <property fmtid="{D5CDD505-2E9C-101B-9397-08002B2CF9AE}" pid="6" name="MSIP_Label_dc80478f-11da-4717-908f-ce13ec08de93_SiteId">
    <vt:lpwstr>764a306d-0a68-45ad-9f07-6f1804447cd4</vt:lpwstr>
  </property>
  <property fmtid="{D5CDD505-2E9C-101B-9397-08002B2CF9AE}" pid="7" name="MSIP_Label_dc80478f-11da-4717-908f-ce13ec08de93_ActionId">
    <vt:lpwstr>ad84f21b-e0ae-4144-9460-859d799b2409</vt:lpwstr>
  </property>
  <property fmtid="{D5CDD505-2E9C-101B-9397-08002B2CF9AE}" pid="8" name="MSIP_Label_dc80478f-11da-4717-908f-ce13ec08de93_ContentBits">
    <vt:lpwstr>0</vt:lpwstr>
  </property>
  <property fmtid="{D5CDD505-2E9C-101B-9397-08002B2CF9AE}" pid="9" name="MSIP_Label_dc80478f-11da-4717-908f-ce13ec08de93_Tag">
    <vt:lpwstr>50, 3, 0, 1</vt:lpwstr>
  </property>
</Properties>
</file>