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administrationis-my.sharepoint.com/personal/einar_petur_jonsson_hafogvatn_is/Documents/Documents/surt/BOAT/monaco_multiple_drivers/scripts_data/rproject_final/OA-ICC_MScourse2022/writing_monaco/"/>
    </mc:Choice>
  </mc:AlternateContent>
  <xr:revisionPtr revIDLastSave="7" documentId="13_ncr:1_{195D7681-E63B-413A-A1FE-8167AF07A562}" xr6:coauthVersionLast="47" xr6:coauthVersionMax="47" xr10:uidLastSave="{7547D2A2-5BBA-C64D-8689-C9C6A6122AD3}"/>
  <bookViews>
    <workbookView xWindow="25680" yWindow="660" windowWidth="25360" windowHeight="27980" xr2:uid="{B287A44A-3B4C-4827-937E-D3185F1472A0}"/>
  </bookViews>
  <sheets>
    <sheet name="SICA_preadjustement" sheetId="1" r:id="rId1"/>
    <sheet name="SICA_adjusted" sheetId="2" r:id="rId2"/>
    <sheet name="SICA_adjusted (2)" sheetId="3" r:id="rId3"/>
    <sheet name="Performance curves" sheetId="10" r:id="rId4"/>
    <sheet name="Different mode of action" sheetId="11" r:id="rId5"/>
    <sheet name="SICA_adjusted (3)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3" i="14" l="1"/>
  <c r="G340" i="14" s="1"/>
  <c r="O340" i="14" s="1"/>
  <c r="K340" i="14"/>
  <c r="J340" i="14"/>
  <c r="L340" i="14" s="1"/>
  <c r="I340" i="14"/>
  <c r="K339" i="14"/>
  <c r="J339" i="14"/>
  <c r="L339" i="14" s="1"/>
  <c r="I339" i="14"/>
  <c r="G339" i="14"/>
  <c r="O339" i="14" s="1"/>
  <c r="K338" i="14"/>
  <c r="J338" i="14"/>
  <c r="L338" i="14" s="1"/>
  <c r="I338" i="14"/>
  <c r="K337" i="14"/>
  <c r="J337" i="14"/>
  <c r="I337" i="14"/>
  <c r="G337" i="14"/>
  <c r="O337" i="14" s="1"/>
  <c r="K336" i="14"/>
  <c r="J336" i="14"/>
  <c r="L336" i="14" s="1"/>
  <c r="I336" i="14"/>
  <c r="K335" i="14"/>
  <c r="J335" i="14"/>
  <c r="L335" i="14" s="1"/>
  <c r="I335" i="14"/>
  <c r="G335" i="14"/>
  <c r="O335" i="14" s="1"/>
  <c r="K334" i="14"/>
  <c r="J334" i="14"/>
  <c r="L334" i="14" s="1"/>
  <c r="I334" i="14"/>
  <c r="K333" i="14"/>
  <c r="J333" i="14"/>
  <c r="I333" i="14"/>
  <c r="G333" i="14"/>
  <c r="O333" i="14" s="1"/>
  <c r="K332" i="14"/>
  <c r="J332" i="14"/>
  <c r="L332" i="14" s="1"/>
  <c r="I332" i="14"/>
  <c r="K331" i="14"/>
  <c r="J331" i="14"/>
  <c r="L331" i="14" s="1"/>
  <c r="I331" i="14"/>
  <c r="G331" i="14"/>
  <c r="O331" i="14" s="1"/>
  <c r="K330" i="14"/>
  <c r="J330" i="14"/>
  <c r="L330" i="14" s="1"/>
  <c r="I330" i="14"/>
  <c r="K329" i="14"/>
  <c r="J329" i="14"/>
  <c r="L329" i="14" s="1"/>
  <c r="I329" i="14"/>
  <c r="G329" i="14"/>
  <c r="O329" i="14" s="1"/>
  <c r="K328" i="14"/>
  <c r="J328" i="14"/>
  <c r="L328" i="14" s="1"/>
  <c r="I328" i="14"/>
  <c r="K327" i="14"/>
  <c r="J327" i="14"/>
  <c r="L327" i="14" s="1"/>
  <c r="I327" i="14"/>
  <c r="G327" i="14"/>
  <c r="O327" i="14" s="1"/>
  <c r="K326" i="14"/>
  <c r="J326" i="14"/>
  <c r="L326" i="14" s="1"/>
  <c r="I326" i="14"/>
  <c r="K325" i="14"/>
  <c r="J325" i="14"/>
  <c r="I325" i="14"/>
  <c r="G325" i="14"/>
  <c r="O325" i="14" s="1"/>
  <c r="K324" i="14"/>
  <c r="J324" i="14"/>
  <c r="L324" i="14" s="1"/>
  <c r="I324" i="14"/>
  <c r="K323" i="14"/>
  <c r="J323" i="14"/>
  <c r="L323" i="14" s="1"/>
  <c r="I323" i="14"/>
  <c r="G323" i="14"/>
  <c r="O323" i="14" s="1"/>
  <c r="K322" i="14"/>
  <c r="J322" i="14"/>
  <c r="L322" i="14" s="1"/>
  <c r="I322" i="14"/>
  <c r="K321" i="14"/>
  <c r="J321" i="14"/>
  <c r="L321" i="14" s="1"/>
  <c r="I321" i="14"/>
  <c r="G321" i="14"/>
  <c r="O321" i="14" s="1"/>
  <c r="K320" i="14"/>
  <c r="J320" i="14"/>
  <c r="L320" i="14" s="1"/>
  <c r="I320" i="14"/>
  <c r="K319" i="14"/>
  <c r="J319" i="14"/>
  <c r="L319" i="14" s="1"/>
  <c r="I319" i="14"/>
  <c r="G319" i="14"/>
  <c r="O319" i="14" s="1"/>
  <c r="K318" i="14"/>
  <c r="J318" i="14"/>
  <c r="L318" i="14" s="1"/>
  <c r="I318" i="14"/>
  <c r="K317" i="14"/>
  <c r="J317" i="14"/>
  <c r="L317" i="14" s="1"/>
  <c r="I317" i="14"/>
  <c r="G317" i="14"/>
  <c r="O317" i="14" s="1"/>
  <c r="K316" i="14"/>
  <c r="J316" i="14"/>
  <c r="L316" i="14" s="1"/>
  <c r="I316" i="14"/>
  <c r="K315" i="14"/>
  <c r="J315" i="14"/>
  <c r="L315" i="14" s="1"/>
  <c r="I315" i="14"/>
  <c r="G315" i="14"/>
  <c r="O315" i="14" s="1"/>
  <c r="K314" i="14"/>
  <c r="J314" i="14"/>
  <c r="L314" i="14" s="1"/>
  <c r="I314" i="14"/>
  <c r="K313" i="14"/>
  <c r="J313" i="14"/>
  <c r="I313" i="14"/>
  <c r="G313" i="14"/>
  <c r="O313" i="14" s="1"/>
  <c r="K312" i="14"/>
  <c r="J312" i="14"/>
  <c r="L312" i="14" s="1"/>
  <c r="I312" i="14"/>
  <c r="K311" i="14"/>
  <c r="J311" i="14"/>
  <c r="L311" i="14" s="1"/>
  <c r="I311" i="14"/>
  <c r="G311" i="14"/>
  <c r="O311" i="14" s="1"/>
  <c r="K310" i="14"/>
  <c r="J310" i="14"/>
  <c r="L310" i="14" s="1"/>
  <c r="I310" i="14"/>
  <c r="K309" i="14"/>
  <c r="J309" i="14"/>
  <c r="L309" i="14" s="1"/>
  <c r="I309" i="14"/>
  <c r="G309" i="14"/>
  <c r="O309" i="14" s="1"/>
  <c r="K308" i="14"/>
  <c r="J308" i="14"/>
  <c r="L308" i="14" s="1"/>
  <c r="I308" i="14"/>
  <c r="K307" i="14"/>
  <c r="J307" i="14"/>
  <c r="L307" i="14" s="1"/>
  <c r="I307" i="14"/>
  <c r="G307" i="14"/>
  <c r="O307" i="14" s="1"/>
  <c r="K306" i="14"/>
  <c r="J306" i="14"/>
  <c r="L306" i="14" s="1"/>
  <c r="I306" i="14"/>
  <c r="K305" i="14"/>
  <c r="J305" i="14"/>
  <c r="L305" i="14" s="1"/>
  <c r="I305" i="14"/>
  <c r="G305" i="14"/>
  <c r="O305" i="14" s="1"/>
  <c r="K304" i="14"/>
  <c r="J304" i="14"/>
  <c r="L304" i="14" s="1"/>
  <c r="I304" i="14"/>
  <c r="K303" i="14"/>
  <c r="J303" i="14"/>
  <c r="L303" i="14" s="1"/>
  <c r="I303" i="14"/>
  <c r="G303" i="14"/>
  <c r="O303" i="14" s="1"/>
  <c r="K302" i="14"/>
  <c r="J302" i="14"/>
  <c r="L302" i="14" s="1"/>
  <c r="I302" i="14"/>
  <c r="K301" i="14"/>
  <c r="J301" i="14"/>
  <c r="I301" i="14"/>
  <c r="G301" i="14"/>
  <c r="O301" i="14" s="1"/>
  <c r="K300" i="14"/>
  <c r="J300" i="14"/>
  <c r="L300" i="14" s="1"/>
  <c r="I300" i="14"/>
  <c r="K299" i="14"/>
  <c r="J299" i="14"/>
  <c r="L299" i="14" s="1"/>
  <c r="I299" i="14"/>
  <c r="G299" i="14"/>
  <c r="O299" i="14" s="1"/>
  <c r="K298" i="14"/>
  <c r="J298" i="14"/>
  <c r="L298" i="14" s="1"/>
  <c r="I298" i="14"/>
  <c r="K297" i="14"/>
  <c r="J297" i="14"/>
  <c r="L297" i="14" s="1"/>
  <c r="I297" i="14"/>
  <c r="G297" i="14"/>
  <c r="O297" i="14" s="1"/>
  <c r="K296" i="14"/>
  <c r="J296" i="14"/>
  <c r="L296" i="14" s="1"/>
  <c r="I296" i="14"/>
  <c r="K295" i="14"/>
  <c r="J295" i="14"/>
  <c r="L295" i="14" s="1"/>
  <c r="I295" i="14"/>
  <c r="G295" i="14"/>
  <c r="O295" i="14" s="1"/>
  <c r="K294" i="14"/>
  <c r="J294" i="14"/>
  <c r="L294" i="14" s="1"/>
  <c r="I294" i="14"/>
  <c r="K293" i="14"/>
  <c r="J293" i="14"/>
  <c r="L293" i="14" s="1"/>
  <c r="I293" i="14"/>
  <c r="G293" i="14"/>
  <c r="O293" i="14" s="1"/>
  <c r="K292" i="14"/>
  <c r="J292" i="14"/>
  <c r="L292" i="14" s="1"/>
  <c r="I292" i="14"/>
  <c r="K291" i="14"/>
  <c r="J291" i="14"/>
  <c r="L291" i="14" s="1"/>
  <c r="I291" i="14"/>
  <c r="G291" i="14"/>
  <c r="O291" i="14" s="1"/>
  <c r="K290" i="14"/>
  <c r="J290" i="14"/>
  <c r="L290" i="14" s="1"/>
  <c r="I290" i="14"/>
  <c r="K289" i="14"/>
  <c r="J289" i="14"/>
  <c r="I289" i="14"/>
  <c r="G289" i="14"/>
  <c r="O289" i="14" s="1"/>
  <c r="K288" i="14"/>
  <c r="J288" i="14"/>
  <c r="I288" i="14"/>
  <c r="K287" i="14"/>
  <c r="J287" i="14"/>
  <c r="L287" i="14" s="1"/>
  <c r="I287" i="14"/>
  <c r="G287" i="14"/>
  <c r="O287" i="14" s="1"/>
  <c r="K286" i="14"/>
  <c r="J286" i="14"/>
  <c r="I286" i="14"/>
  <c r="K285" i="14"/>
  <c r="J285" i="14"/>
  <c r="L285" i="14" s="1"/>
  <c r="I285" i="14"/>
  <c r="G285" i="14"/>
  <c r="O285" i="14" s="1"/>
  <c r="K284" i="14"/>
  <c r="J284" i="14"/>
  <c r="L284" i="14" s="1"/>
  <c r="I284" i="14"/>
  <c r="K283" i="14"/>
  <c r="J283" i="14"/>
  <c r="L283" i="14" s="1"/>
  <c r="I283" i="14"/>
  <c r="G283" i="14"/>
  <c r="O283" i="14" s="1"/>
  <c r="K282" i="14"/>
  <c r="J282" i="14"/>
  <c r="I282" i="14"/>
  <c r="K281" i="14"/>
  <c r="J281" i="14"/>
  <c r="L281" i="14" s="1"/>
  <c r="I281" i="14"/>
  <c r="G281" i="14"/>
  <c r="O281" i="14" s="1"/>
  <c r="K280" i="14"/>
  <c r="J280" i="14"/>
  <c r="I280" i="14"/>
  <c r="K279" i="14"/>
  <c r="J279" i="14"/>
  <c r="L279" i="14" s="1"/>
  <c r="I279" i="14"/>
  <c r="G279" i="14"/>
  <c r="O279" i="14" s="1"/>
  <c r="K278" i="14"/>
  <c r="J278" i="14"/>
  <c r="L278" i="14" s="1"/>
  <c r="I278" i="14"/>
  <c r="K277" i="14"/>
  <c r="J277" i="14"/>
  <c r="I277" i="14"/>
  <c r="G277" i="14"/>
  <c r="O277" i="14" s="1"/>
  <c r="K276" i="14"/>
  <c r="J276" i="14"/>
  <c r="I276" i="14"/>
  <c r="K275" i="14"/>
  <c r="J275" i="14"/>
  <c r="L275" i="14" s="1"/>
  <c r="I275" i="14"/>
  <c r="G275" i="14"/>
  <c r="O275" i="14" s="1"/>
  <c r="K274" i="14"/>
  <c r="J274" i="14"/>
  <c r="I274" i="14"/>
  <c r="K273" i="14"/>
  <c r="J273" i="14"/>
  <c r="L273" i="14" s="1"/>
  <c r="I273" i="14"/>
  <c r="G273" i="14"/>
  <c r="O273" i="14" s="1"/>
  <c r="K272" i="14"/>
  <c r="J272" i="14"/>
  <c r="I272" i="14"/>
  <c r="K271" i="14"/>
  <c r="J271" i="14"/>
  <c r="L271" i="14" s="1"/>
  <c r="I271" i="14"/>
  <c r="G271" i="14"/>
  <c r="O271" i="14" s="1"/>
  <c r="K270" i="14"/>
  <c r="J270" i="14"/>
  <c r="I270" i="14"/>
  <c r="K269" i="14"/>
  <c r="J269" i="14"/>
  <c r="L269" i="14" s="1"/>
  <c r="I269" i="14"/>
  <c r="G269" i="14"/>
  <c r="O269" i="14" s="1"/>
  <c r="K268" i="14"/>
  <c r="J268" i="14"/>
  <c r="I268" i="14"/>
  <c r="K267" i="14"/>
  <c r="J267" i="14"/>
  <c r="L267" i="14" s="1"/>
  <c r="I267" i="14"/>
  <c r="G267" i="14"/>
  <c r="O267" i="14" s="1"/>
  <c r="K266" i="14"/>
  <c r="J266" i="14"/>
  <c r="L266" i="14" s="1"/>
  <c r="I266" i="14"/>
  <c r="K265" i="14"/>
  <c r="L265" i="14" s="1"/>
  <c r="J265" i="14"/>
  <c r="I265" i="14"/>
  <c r="G265" i="14"/>
  <c r="O265" i="14" s="1"/>
  <c r="K264" i="14"/>
  <c r="J264" i="14"/>
  <c r="L264" i="14" s="1"/>
  <c r="I264" i="14"/>
  <c r="L263" i="14"/>
  <c r="K263" i="14"/>
  <c r="J263" i="14"/>
  <c r="I263" i="14"/>
  <c r="G263" i="14"/>
  <c r="O263" i="14" s="1"/>
  <c r="K262" i="14"/>
  <c r="J262" i="14"/>
  <c r="I262" i="14"/>
  <c r="K261" i="14"/>
  <c r="J261" i="14"/>
  <c r="L261" i="14" s="1"/>
  <c r="I261" i="14"/>
  <c r="G261" i="14"/>
  <c r="O261" i="14" s="1"/>
  <c r="K260" i="14"/>
  <c r="J260" i="14"/>
  <c r="L260" i="14" s="1"/>
  <c r="I260" i="14"/>
  <c r="L259" i="14"/>
  <c r="K259" i="14"/>
  <c r="J259" i="14"/>
  <c r="I259" i="14"/>
  <c r="G259" i="14"/>
  <c r="O259" i="14" s="1"/>
  <c r="K258" i="14"/>
  <c r="J258" i="14"/>
  <c r="L258" i="14" s="1"/>
  <c r="I258" i="14"/>
  <c r="L257" i="14"/>
  <c r="K257" i="14"/>
  <c r="J257" i="14"/>
  <c r="I257" i="14"/>
  <c r="G257" i="14"/>
  <c r="O257" i="14" s="1"/>
  <c r="K256" i="14"/>
  <c r="J256" i="14"/>
  <c r="L256" i="14" s="1"/>
  <c r="I256" i="14"/>
  <c r="K255" i="14"/>
  <c r="J255" i="14"/>
  <c r="I255" i="14"/>
  <c r="L255" i="14" s="1"/>
  <c r="G255" i="14"/>
  <c r="O255" i="14" s="1"/>
  <c r="K254" i="14"/>
  <c r="J254" i="14"/>
  <c r="I254" i="14"/>
  <c r="K253" i="14"/>
  <c r="J253" i="14"/>
  <c r="L253" i="14" s="1"/>
  <c r="I253" i="14"/>
  <c r="G253" i="14"/>
  <c r="O253" i="14" s="1"/>
  <c r="K252" i="14"/>
  <c r="J252" i="14"/>
  <c r="L252" i="14" s="1"/>
  <c r="I252" i="14"/>
  <c r="L251" i="14"/>
  <c r="K251" i="14"/>
  <c r="J251" i="14"/>
  <c r="I251" i="14"/>
  <c r="G251" i="14"/>
  <c r="O251" i="14" s="1"/>
  <c r="K250" i="14"/>
  <c r="J250" i="14"/>
  <c r="L250" i="14" s="1"/>
  <c r="I250" i="14"/>
  <c r="K249" i="14"/>
  <c r="J249" i="14"/>
  <c r="I249" i="14"/>
  <c r="L249" i="14" s="1"/>
  <c r="G249" i="14"/>
  <c r="O249" i="14" s="1"/>
  <c r="K248" i="14"/>
  <c r="J248" i="14"/>
  <c r="L248" i="14" s="1"/>
  <c r="I248" i="14"/>
  <c r="K247" i="14"/>
  <c r="J247" i="14"/>
  <c r="I247" i="14"/>
  <c r="L247" i="14" s="1"/>
  <c r="G247" i="14"/>
  <c r="O247" i="14" s="1"/>
  <c r="K246" i="14"/>
  <c r="J246" i="14"/>
  <c r="I246" i="14"/>
  <c r="K245" i="14"/>
  <c r="J245" i="14"/>
  <c r="L245" i="14" s="1"/>
  <c r="I245" i="14"/>
  <c r="G245" i="14"/>
  <c r="O245" i="14" s="1"/>
  <c r="K244" i="14"/>
  <c r="J244" i="14"/>
  <c r="L244" i="14" s="1"/>
  <c r="I244" i="14"/>
  <c r="L243" i="14"/>
  <c r="K243" i="14"/>
  <c r="J243" i="14"/>
  <c r="I243" i="14"/>
  <c r="G243" i="14"/>
  <c r="O243" i="14" s="1"/>
  <c r="K242" i="14"/>
  <c r="J242" i="14"/>
  <c r="L242" i="14" s="1"/>
  <c r="I242" i="14"/>
  <c r="L241" i="14"/>
  <c r="K241" i="14"/>
  <c r="J241" i="14"/>
  <c r="I241" i="14"/>
  <c r="G241" i="14"/>
  <c r="O241" i="14" s="1"/>
  <c r="K240" i="14"/>
  <c r="J240" i="14"/>
  <c r="L240" i="14" s="1"/>
  <c r="I240" i="14"/>
  <c r="K239" i="14"/>
  <c r="J239" i="14"/>
  <c r="I239" i="14"/>
  <c r="L239" i="14" s="1"/>
  <c r="G239" i="14"/>
  <c r="O239" i="14" s="1"/>
  <c r="K238" i="14"/>
  <c r="J238" i="14"/>
  <c r="I238" i="14"/>
  <c r="K237" i="14"/>
  <c r="J237" i="14"/>
  <c r="L237" i="14" s="1"/>
  <c r="I237" i="14"/>
  <c r="G237" i="14"/>
  <c r="O237" i="14" s="1"/>
  <c r="K236" i="14"/>
  <c r="J236" i="14"/>
  <c r="L236" i="14" s="1"/>
  <c r="I236" i="14"/>
  <c r="L235" i="14"/>
  <c r="K235" i="14"/>
  <c r="J235" i="14"/>
  <c r="I235" i="14"/>
  <c r="G235" i="14"/>
  <c r="O235" i="14" s="1"/>
  <c r="K234" i="14"/>
  <c r="J234" i="14"/>
  <c r="L234" i="14" s="1"/>
  <c r="I234" i="14"/>
  <c r="K233" i="14"/>
  <c r="J233" i="14"/>
  <c r="I233" i="14"/>
  <c r="L233" i="14" s="1"/>
  <c r="G233" i="14"/>
  <c r="O233" i="14" s="1"/>
  <c r="K232" i="14"/>
  <c r="J232" i="14"/>
  <c r="L232" i="14" s="1"/>
  <c r="I232" i="14"/>
  <c r="K231" i="14"/>
  <c r="J231" i="14"/>
  <c r="I231" i="14"/>
  <c r="L231" i="14" s="1"/>
  <c r="G231" i="14"/>
  <c r="O231" i="14" s="1"/>
  <c r="O230" i="14"/>
  <c r="K230" i="14"/>
  <c r="J230" i="14"/>
  <c r="I230" i="14"/>
  <c r="G230" i="14"/>
  <c r="L229" i="14"/>
  <c r="K229" i="14"/>
  <c r="J229" i="14"/>
  <c r="I229" i="14"/>
  <c r="G229" i="14"/>
  <c r="O229" i="14" s="1"/>
  <c r="O228" i="14"/>
  <c r="K228" i="14"/>
  <c r="J228" i="14"/>
  <c r="I228" i="14"/>
  <c r="G228" i="14"/>
  <c r="K227" i="14"/>
  <c r="J227" i="14"/>
  <c r="L227" i="14" s="1"/>
  <c r="I227" i="14"/>
  <c r="G227" i="14"/>
  <c r="O227" i="14" s="1"/>
  <c r="O226" i="14"/>
  <c r="K226" i="14"/>
  <c r="J226" i="14"/>
  <c r="I226" i="14"/>
  <c r="G226" i="14"/>
  <c r="L225" i="14"/>
  <c r="K225" i="14"/>
  <c r="J225" i="14"/>
  <c r="I225" i="14"/>
  <c r="G225" i="14"/>
  <c r="O225" i="14" s="1"/>
  <c r="K224" i="14"/>
  <c r="J224" i="14"/>
  <c r="L224" i="14" s="1"/>
  <c r="I224" i="14"/>
  <c r="G224" i="14"/>
  <c r="O224" i="14" s="1"/>
  <c r="K223" i="14"/>
  <c r="J223" i="14"/>
  <c r="L223" i="14" s="1"/>
  <c r="I223" i="14"/>
  <c r="G223" i="14"/>
  <c r="O223" i="14" s="1"/>
  <c r="K222" i="14"/>
  <c r="J222" i="14"/>
  <c r="I222" i="14"/>
  <c r="G222" i="14"/>
  <c r="O222" i="14" s="1"/>
  <c r="K221" i="14"/>
  <c r="J221" i="14"/>
  <c r="I221" i="14"/>
  <c r="G221" i="14"/>
  <c r="O221" i="14" s="1"/>
  <c r="K220" i="14"/>
  <c r="J220" i="14"/>
  <c r="I220" i="14"/>
  <c r="G220" i="14"/>
  <c r="O220" i="14" s="1"/>
  <c r="L219" i="14"/>
  <c r="K219" i="14"/>
  <c r="J219" i="14"/>
  <c r="I219" i="14"/>
  <c r="G219" i="14"/>
  <c r="O219" i="14" s="1"/>
  <c r="O218" i="14"/>
  <c r="K218" i="14"/>
  <c r="J218" i="14"/>
  <c r="I218" i="14"/>
  <c r="G218" i="14"/>
  <c r="K217" i="14"/>
  <c r="J217" i="14"/>
  <c r="L217" i="14" s="1"/>
  <c r="I217" i="14"/>
  <c r="G217" i="14"/>
  <c r="O217" i="14" s="1"/>
  <c r="O216" i="14"/>
  <c r="K216" i="14"/>
  <c r="J216" i="14"/>
  <c r="I216" i="14"/>
  <c r="G216" i="14"/>
  <c r="K215" i="14"/>
  <c r="J215" i="14"/>
  <c r="L215" i="14" s="1"/>
  <c r="I215" i="14"/>
  <c r="G215" i="14"/>
  <c r="O215" i="14" s="1"/>
  <c r="O214" i="14"/>
  <c r="K214" i="14"/>
  <c r="J214" i="14"/>
  <c r="L214" i="14" s="1"/>
  <c r="I214" i="14"/>
  <c r="G214" i="14"/>
  <c r="L213" i="14"/>
  <c r="K213" i="14"/>
  <c r="J213" i="14"/>
  <c r="I213" i="14"/>
  <c r="G213" i="14"/>
  <c r="O213" i="14" s="1"/>
  <c r="K212" i="14"/>
  <c r="J212" i="14"/>
  <c r="L212" i="14" s="1"/>
  <c r="I212" i="14"/>
  <c r="G212" i="14"/>
  <c r="O212" i="14" s="1"/>
  <c r="K211" i="14"/>
  <c r="J211" i="14"/>
  <c r="L211" i="14" s="1"/>
  <c r="I211" i="14"/>
  <c r="G211" i="14"/>
  <c r="O211" i="14" s="1"/>
  <c r="K210" i="14"/>
  <c r="J210" i="14"/>
  <c r="I210" i="14"/>
  <c r="G210" i="14"/>
  <c r="O210" i="14" s="1"/>
  <c r="K209" i="14"/>
  <c r="J209" i="14"/>
  <c r="I209" i="14"/>
  <c r="G209" i="14"/>
  <c r="O209" i="14" s="1"/>
  <c r="K208" i="14"/>
  <c r="J208" i="14"/>
  <c r="I208" i="14"/>
  <c r="L208" i="14" s="1"/>
  <c r="G208" i="14"/>
  <c r="O208" i="14" s="1"/>
  <c r="K207" i="14"/>
  <c r="J207" i="14"/>
  <c r="L207" i="14" s="1"/>
  <c r="I207" i="14"/>
  <c r="G207" i="14"/>
  <c r="O207" i="14" s="1"/>
  <c r="O206" i="14"/>
  <c r="K206" i="14"/>
  <c r="J206" i="14"/>
  <c r="L206" i="14" s="1"/>
  <c r="I206" i="14"/>
  <c r="G206" i="14"/>
  <c r="K205" i="14"/>
  <c r="J205" i="14"/>
  <c r="I205" i="14"/>
  <c r="L205" i="14" s="1"/>
  <c r="G205" i="14"/>
  <c r="O205" i="14" s="1"/>
  <c r="O204" i="14"/>
  <c r="L204" i="14"/>
  <c r="K204" i="14"/>
  <c r="J204" i="14"/>
  <c r="I204" i="14"/>
  <c r="G204" i="14"/>
  <c r="L203" i="14"/>
  <c r="K203" i="14"/>
  <c r="J203" i="14"/>
  <c r="I203" i="14"/>
  <c r="G203" i="14"/>
  <c r="O203" i="14" s="1"/>
  <c r="O202" i="14"/>
  <c r="L202" i="14"/>
  <c r="K202" i="14"/>
  <c r="J202" i="14"/>
  <c r="I202" i="14"/>
  <c r="G202" i="14"/>
  <c r="K201" i="14"/>
  <c r="L201" i="14" s="1"/>
  <c r="J201" i="14"/>
  <c r="I201" i="14"/>
  <c r="G201" i="14"/>
  <c r="O201" i="14" s="1"/>
  <c r="O200" i="14"/>
  <c r="L200" i="14"/>
  <c r="K200" i="14"/>
  <c r="J200" i="14"/>
  <c r="I200" i="14"/>
  <c r="G200" i="14"/>
  <c r="K199" i="14"/>
  <c r="J199" i="14"/>
  <c r="I199" i="14"/>
  <c r="G199" i="14"/>
  <c r="O199" i="14" s="1"/>
  <c r="O198" i="14"/>
  <c r="K198" i="14"/>
  <c r="J198" i="14"/>
  <c r="L198" i="14" s="1"/>
  <c r="I198" i="14"/>
  <c r="G198" i="14"/>
  <c r="K197" i="14"/>
  <c r="J197" i="14"/>
  <c r="L197" i="14" s="1"/>
  <c r="I197" i="14"/>
  <c r="G197" i="14"/>
  <c r="O197" i="14" s="1"/>
  <c r="K196" i="14"/>
  <c r="J196" i="14"/>
  <c r="I196" i="14"/>
  <c r="G196" i="14"/>
  <c r="O196" i="14" s="1"/>
  <c r="K195" i="14"/>
  <c r="J195" i="14"/>
  <c r="L195" i="14" s="1"/>
  <c r="I195" i="14"/>
  <c r="G195" i="14"/>
  <c r="O195" i="14" s="1"/>
  <c r="O194" i="14"/>
  <c r="K194" i="14"/>
  <c r="J194" i="14"/>
  <c r="L194" i="14" s="1"/>
  <c r="I194" i="14"/>
  <c r="G194" i="14"/>
  <c r="L193" i="14"/>
  <c r="K193" i="14"/>
  <c r="J193" i="14"/>
  <c r="I193" i="14"/>
  <c r="G193" i="14"/>
  <c r="O193" i="14" s="1"/>
  <c r="O192" i="14"/>
  <c r="L192" i="14"/>
  <c r="K192" i="14"/>
  <c r="J192" i="14"/>
  <c r="I192" i="14"/>
  <c r="G192" i="14"/>
  <c r="K191" i="14"/>
  <c r="L191" i="14" s="1"/>
  <c r="J191" i="14"/>
  <c r="I191" i="14"/>
  <c r="G191" i="14"/>
  <c r="N191" i="14" s="1"/>
  <c r="L190" i="14"/>
  <c r="K190" i="14"/>
  <c r="J190" i="14"/>
  <c r="I190" i="14"/>
  <c r="G190" i="14"/>
  <c r="N190" i="14" s="1"/>
  <c r="K189" i="14"/>
  <c r="J189" i="14"/>
  <c r="L189" i="14" s="1"/>
  <c r="I189" i="14"/>
  <c r="G189" i="14"/>
  <c r="N189" i="14" s="1"/>
  <c r="K188" i="14"/>
  <c r="J188" i="14"/>
  <c r="L188" i="14" s="1"/>
  <c r="I188" i="14"/>
  <c r="G188" i="14"/>
  <c r="N188" i="14" s="1"/>
  <c r="K187" i="14"/>
  <c r="L187" i="14" s="1"/>
  <c r="J187" i="14"/>
  <c r="I187" i="14"/>
  <c r="G187" i="14"/>
  <c r="N187" i="14" s="1"/>
  <c r="K186" i="14"/>
  <c r="J186" i="14"/>
  <c r="L186" i="14" s="1"/>
  <c r="I186" i="14"/>
  <c r="G186" i="14"/>
  <c r="N186" i="14" s="1"/>
  <c r="K185" i="14"/>
  <c r="J185" i="14"/>
  <c r="L185" i="14" s="1"/>
  <c r="I185" i="14"/>
  <c r="G185" i="14"/>
  <c r="N185" i="14" s="1"/>
  <c r="K184" i="14"/>
  <c r="J184" i="14"/>
  <c r="L184" i="14" s="1"/>
  <c r="I184" i="14"/>
  <c r="G184" i="14"/>
  <c r="N184" i="14" s="1"/>
  <c r="K183" i="14"/>
  <c r="J183" i="14"/>
  <c r="L183" i="14" s="1"/>
  <c r="I183" i="14"/>
  <c r="G183" i="14"/>
  <c r="N183" i="14" s="1"/>
  <c r="N182" i="14"/>
  <c r="K182" i="14"/>
  <c r="J182" i="14"/>
  <c r="I182" i="14"/>
  <c r="G182" i="14"/>
  <c r="K181" i="14"/>
  <c r="J181" i="14"/>
  <c r="L181" i="14" s="1"/>
  <c r="I181" i="14"/>
  <c r="G181" i="14"/>
  <c r="N181" i="14" s="1"/>
  <c r="L180" i="14"/>
  <c r="K180" i="14"/>
  <c r="J180" i="14"/>
  <c r="I180" i="14"/>
  <c r="G180" i="14"/>
  <c r="N180" i="14" s="1"/>
  <c r="K179" i="14"/>
  <c r="J179" i="14"/>
  <c r="L179" i="14" s="1"/>
  <c r="I179" i="14"/>
  <c r="G179" i="14"/>
  <c r="N179" i="14" s="1"/>
  <c r="N178" i="14"/>
  <c r="L178" i="14"/>
  <c r="K178" i="14"/>
  <c r="J178" i="14"/>
  <c r="I178" i="14"/>
  <c r="G178" i="14"/>
  <c r="K177" i="14"/>
  <c r="J177" i="14"/>
  <c r="I177" i="14"/>
  <c r="L177" i="14" s="1"/>
  <c r="G177" i="14"/>
  <c r="N177" i="14" s="1"/>
  <c r="N176" i="14"/>
  <c r="K176" i="14"/>
  <c r="J176" i="14"/>
  <c r="L176" i="14" s="1"/>
  <c r="I176" i="14"/>
  <c r="G176" i="14"/>
  <c r="K175" i="14"/>
  <c r="J175" i="14"/>
  <c r="L175" i="14" s="1"/>
  <c r="I175" i="14"/>
  <c r="G175" i="14"/>
  <c r="N175" i="14" s="1"/>
  <c r="N174" i="14"/>
  <c r="L174" i="14"/>
  <c r="K174" i="14"/>
  <c r="J174" i="14"/>
  <c r="I174" i="14"/>
  <c r="G174" i="14"/>
  <c r="K173" i="14"/>
  <c r="J173" i="14"/>
  <c r="L173" i="14" s="1"/>
  <c r="I173" i="14"/>
  <c r="G173" i="14"/>
  <c r="N173" i="14" s="1"/>
  <c r="K172" i="14"/>
  <c r="J172" i="14"/>
  <c r="L172" i="14" s="1"/>
  <c r="I172" i="14"/>
  <c r="G172" i="14"/>
  <c r="N172" i="14" s="1"/>
  <c r="K171" i="14"/>
  <c r="J171" i="14"/>
  <c r="I171" i="14"/>
  <c r="G171" i="14"/>
  <c r="N171" i="14" s="1"/>
  <c r="K170" i="14"/>
  <c r="J170" i="14"/>
  <c r="I170" i="14"/>
  <c r="L170" i="14" s="1"/>
  <c r="G170" i="14"/>
  <c r="N170" i="14" s="1"/>
  <c r="K169" i="14"/>
  <c r="J169" i="14"/>
  <c r="I169" i="14"/>
  <c r="G169" i="14"/>
  <c r="N169" i="14" s="1"/>
  <c r="K168" i="14"/>
  <c r="L168" i="14" s="1"/>
  <c r="J168" i="14"/>
  <c r="I168" i="14"/>
  <c r="G168" i="14"/>
  <c r="N168" i="14" s="1"/>
  <c r="K167" i="14"/>
  <c r="J167" i="14"/>
  <c r="L167" i="14" s="1"/>
  <c r="I167" i="14"/>
  <c r="G167" i="14"/>
  <c r="N167" i="14" s="1"/>
  <c r="N166" i="14"/>
  <c r="K166" i="14"/>
  <c r="J166" i="14"/>
  <c r="L166" i="14" s="1"/>
  <c r="I166" i="14"/>
  <c r="G166" i="14"/>
  <c r="N165" i="14"/>
  <c r="K165" i="14"/>
  <c r="J165" i="14"/>
  <c r="L165" i="14" s="1"/>
  <c r="I165" i="14"/>
  <c r="G165" i="14"/>
  <c r="N164" i="14"/>
  <c r="L164" i="14"/>
  <c r="K164" i="14"/>
  <c r="J164" i="14"/>
  <c r="I164" i="14"/>
  <c r="G164" i="14"/>
  <c r="K163" i="14"/>
  <c r="J163" i="14"/>
  <c r="I163" i="14"/>
  <c r="G163" i="14"/>
  <c r="N163" i="14" s="1"/>
  <c r="K162" i="14"/>
  <c r="L162" i="14" s="1"/>
  <c r="J162" i="14"/>
  <c r="I162" i="14"/>
  <c r="G162" i="14"/>
  <c r="N162" i="14" s="1"/>
  <c r="K161" i="14"/>
  <c r="J161" i="14"/>
  <c r="I161" i="14"/>
  <c r="G161" i="14"/>
  <c r="N161" i="14" s="1"/>
  <c r="N160" i="14"/>
  <c r="K160" i="14"/>
  <c r="J160" i="14"/>
  <c r="L160" i="14" s="1"/>
  <c r="I160" i="14"/>
  <c r="G160" i="14"/>
  <c r="K159" i="14"/>
  <c r="J159" i="14"/>
  <c r="I159" i="14"/>
  <c r="G159" i="14"/>
  <c r="N159" i="14" s="1"/>
  <c r="N158" i="14"/>
  <c r="K158" i="14"/>
  <c r="J158" i="14"/>
  <c r="L158" i="14" s="1"/>
  <c r="I158" i="14"/>
  <c r="G158" i="14"/>
  <c r="K157" i="14"/>
  <c r="J157" i="14"/>
  <c r="L157" i="14" s="1"/>
  <c r="I157" i="14"/>
  <c r="G157" i="14"/>
  <c r="N157" i="14" s="1"/>
  <c r="K156" i="14"/>
  <c r="J156" i="14"/>
  <c r="I156" i="14"/>
  <c r="L156" i="14" s="1"/>
  <c r="G156" i="14"/>
  <c r="N156" i="14" s="1"/>
  <c r="N155" i="14"/>
  <c r="K155" i="14"/>
  <c r="J155" i="14"/>
  <c r="L155" i="14" s="1"/>
  <c r="I155" i="14"/>
  <c r="G155" i="14"/>
  <c r="K154" i="14"/>
  <c r="L154" i="14" s="1"/>
  <c r="J154" i="14"/>
  <c r="I154" i="14"/>
  <c r="G154" i="14"/>
  <c r="N154" i="14" s="1"/>
  <c r="N153" i="14"/>
  <c r="K153" i="14"/>
  <c r="J153" i="14"/>
  <c r="I153" i="14"/>
  <c r="G153" i="14"/>
  <c r="K152" i="14"/>
  <c r="J152" i="14"/>
  <c r="L152" i="14" s="1"/>
  <c r="I152" i="14"/>
  <c r="G152" i="14"/>
  <c r="N152" i="14" s="1"/>
  <c r="N151" i="14"/>
  <c r="K151" i="14"/>
  <c r="J151" i="14"/>
  <c r="L151" i="14" s="1"/>
  <c r="I151" i="14"/>
  <c r="G151" i="14"/>
  <c r="K150" i="14"/>
  <c r="J150" i="14"/>
  <c r="L150" i="14" s="1"/>
  <c r="I150" i="14"/>
  <c r="G150" i="14"/>
  <c r="N150" i="14" s="1"/>
  <c r="K149" i="14"/>
  <c r="J149" i="14"/>
  <c r="L149" i="14" s="1"/>
  <c r="I149" i="14"/>
  <c r="G149" i="14"/>
  <c r="N149" i="14" s="1"/>
  <c r="K148" i="14"/>
  <c r="J148" i="14"/>
  <c r="L148" i="14" s="1"/>
  <c r="I148" i="14"/>
  <c r="G148" i="14"/>
  <c r="N148" i="14" s="1"/>
  <c r="N147" i="14"/>
  <c r="K147" i="14"/>
  <c r="J147" i="14"/>
  <c r="I147" i="14"/>
  <c r="G147" i="14"/>
  <c r="K146" i="14"/>
  <c r="J146" i="14"/>
  <c r="I146" i="14"/>
  <c r="L146" i="14" s="1"/>
  <c r="G146" i="14"/>
  <c r="N146" i="14" s="1"/>
  <c r="K145" i="14"/>
  <c r="J145" i="14"/>
  <c r="I145" i="14"/>
  <c r="G145" i="14"/>
  <c r="N145" i="14" s="1"/>
  <c r="K144" i="14"/>
  <c r="L144" i="14" s="1"/>
  <c r="J144" i="14"/>
  <c r="I144" i="14"/>
  <c r="G144" i="14"/>
  <c r="N144" i="14" s="1"/>
  <c r="K143" i="14"/>
  <c r="J143" i="14"/>
  <c r="L143" i="14" s="1"/>
  <c r="I143" i="14"/>
  <c r="G143" i="14"/>
  <c r="N143" i="14" s="1"/>
  <c r="N142" i="14"/>
  <c r="K142" i="14"/>
  <c r="J142" i="14"/>
  <c r="L142" i="14" s="1"/>
  <c r="I142" i="14"/>
  <c r="G142" i="14"/>
  <c r="N141" i="14"/>
  <c r="K141" i="14"/>
  <c r="J141" i="14"/>
  <c r="L141" i="14" s="1"/>
  <c r="I141" i="14"/>
  <c r="G141" i="14"/>
  <c r="N140" i="14"/>
  <c r="L140" i="14"/>
  <c r="K140" i="14"/>
  <c r="J140" i="14"/>
  <c r="I140" i="14"/>
  <c r="G140" i="14"/>
  <c r="K139" i="14"/>
  <c r="J139" i="14"/>
  <c r="I139" i="14"/>
  <c r="G139" i="14"/>
  <c r="N139" i="14" s="1"/>
  <c r="K138" i="14"/>
  <c r="L138" i="14" s="1"/>
  <c r="J138" i="14"/>
  <c r="I138" i="14"/>
  <c r="G138" i="14"/>
  <c r="N138" i="14" s="1"/>
  <c r="K137" i="14"/>
  <c r="J137" i="14"/>
  <c r="I137" i="14"/>
  <c r="G137" i="14"/>
  <c r="N137" i="14" s="1"/>
  <c r="N136" i="14"/>
  <c r="K136" i="14"/>
  <c r="J136" i="14"/>
  <c r="L136" i="14" s="1"/>
  <c r="I136" i="14"/>
  <c r="G136" i="14"/>
  <c r="K135" i="14"/>
  <c r="J135" i="14"/>
  <c r="I135" i="14"/>
  <c r="G135" i="14"/>
  <c r="N135" i="14" s="1"/>
  <c r="N134" i="14"/>
  <c r="K134" i="14"/>
  <c r="J134" i="14"/>
  <c r="L134" i="14" s="1"/>
  <c r="I134" i="14"/>
  <c r="G134" i="14"/>
  <c r="K133" i="14"/>
  <c r="J133" i="14"/>
  <c r="L133" i="14" s="1"/>
  <c r="I133" i="14"/>
  <c r="G133" i="14"/>
  <c r="N133" i="14" s="1"/>
  <c r="K132" i="14"/>
  <c r="J132" i="14"/>
  <c r="I132" i="14"/>
  <c r="L132" i="14" s="1"/>
  <c r="G132" i="14"/>
  <c r="N132" i="14" s="1"/>
  <c r="N131" i="14"/>
  <c r="K131" i="14"/>
  <c r="J131" i="14"/>
  <c r="L131" i="14" s="1"/>
  <c r="I131" i="14"/>
  <c r="G131" i="14"/>
  <c r="K130" i="14"/>
  <c r="L130" i="14" s="1"/>
  <c r="J130" i="14"/>
  <c r="I130" i="14"/>
  <c r="G130" i="14"/>
  <c r="N130" i="14" s="1"/>
  <c r="N129" i="14"/>
  <c r="K129" i="14"/>
  <c r="J129" i="14"/>
  <c r="I129" i="14"/>
  <c r="G129" i="14"/>
  <c r="K128" i="14"/>
  <c r="J128" i="14"/>
  <c r="L128" i="14" s="1"/>
  <c r="I128" i="14"/>
  <c r="G128" i="14"/>
  <c r="N128" i="14" s="1"/>
  <c r="N127" i="14"/>
  <c r="K127" i="14"/>
  <c r="J127" i="14"/>
  <c r="L127" i="14" s="1"/>
  <c r="I127" i="14"/>
  <c r="G127" i="14"/>
  <c r="K126" i="14"/>
  <c r="J126" i="14"/>
  <c r="L126" i="14" s="1"/>
  <c r="I126" i="14"/>
  <c r="G126" i="14"/>
  <c r="N126" i="14" s="1"/>
  <c r="K125" i="14"/>
  <c r="J125" i="14"/>
  <c r="L125" i="14" s="1"/>
  <c r="I125" i="14"/>
  <c r="G125" i="14"/>
  <c r="N125" i="14" s="1"/>
  <c r="K124" i="14"/>
  <c r="J124" i="14"/>
  <c r="L124" i="14" s="1"/>
  <c r="I124" i="14"/>
  <c r="G124" i="14"/>
  <c r="N124" i="14" s="1"/>
  <c r="N123" i="14"/>
  <c r="K123" i="14"/>
  <c r="J123" i="14"/>
  <c r="I123" i="14"/>
  <c r="G123" i="14"/>
  <c r="K122" i="14"/>
  <c r="J122" i="14"/>
  <c r="I122" i="14"/>
  <c r="L122" i="14" s="1"/>
  <c r="G122" i="14"/>
  <c r="N122" i="14" s="1"/>
  <c r="K121" i="14"/>
  <c r="J121" i="14"/>
  <c r="I121" i="14"/>
  <c r="G121" i="14"/>
  <c r="N121" i="14" s="1"/>
  <c r="K120" i="14"/>
  <c r="L120" i="14" s="1"/>
  <c r="J120" i="14"/>
  <c r="I120" i="14"/>
  <c r="G120" i="14"/>
  <c r="N120" i="14" s="1"/>
  <c r="K119" i="14"/>
  <c r="J119" i="14"/>
  <c r="I119" i="14"/>
  <c r="G119" i="14"/>
  <c r="N119" i="14" s="1"/>
  <c r="N118" i="14"/>
  <c r="K118" i="14"/>
  <c r="J118" i="14"/>
  <c r="L118" i="14" s="1"/>
  <c r="I118" i="14"/>
  <c r="G118" i="14"/>
  <c r="N117" i="14"/>
  <c r="K117" i="14"/>
  <c r="J117" i="14"/>
  <c r="L117" i="14" s="1"/>
  <c r="I117" i="14"/>
  <c r="G117" i="14"/>
  <c r="N116" i="14"/>
  <c r="L116" i="14"/>
  <c r="K116" i="14"/>
  <c r="J116" i="14"/>
  <c r="I116" i="14"/>
  <c r="G116" i="14"/>
  <c r="K115" i="14"/>
  <c r="J115" i="14"/>
  <c r="I115" i="14"/>
  <c r="G115" i="14"/>
  <c r="N115" i="14" s="1"/>
  <c r="K114" i="14"/>
  <c r="L114" i="14" s="1"/>
  <c r="J114" i="14"/>
  <c r="I114" i="14"/>
  <c r="G114" i="14"/>
  <c r="N114" i="14" s="1"/>
  <c r="K113" i="14"/>
  <c r="J113" i="14"/>
  <c r="I113" i="14"/>
  <c r="G113" i="14"/>
  <c r="N113" i="14" s="1"/>
  <c r="N112" i="14"/>
  <c r="K112" i="14"/>
  <c r="J112" i="14"/>
  <c r="L112" i="14" s="1"/>
  <c r="I112" i="14"/>
  <c r="G112" i="14"/>
  <c r="K111" i="14"/>
  <c r="J111" i="14"/>
  <c r="I111" i="14"/>
  <c r="G111" i="14"/>
  <c r="N111" i="14" s="1"/>
  <c r="N110" i="14"/>
  <c r="K110" i="14"/>
  <c r="J110" i="14"/>
  <c r="L110" i="14" s="1"/>
  <c r="I110" i="14"/>
  <c r="G110" i="14"/>
  <c r="K109" i="14"/>
  <c r="J109" i="14"/>
  <c r="I109" i="14"/>
  <c r="G109" i="14"/>
  <c r="N109" i="14" s="1"/>
  <c r="K108" i="14"/>
  <c r="J108" i="14"/>
  <c r="I108" i="14"/>
  <c r="L108" i="14" s="1"/>
  <c r="G108" i="14"/>
  <c r="N108" i="14" s="1"/>
  <c r="N107" i="14"/>
  <c r="K107" i="14"/>
  <c r="J107" i="14"/>
  <c r="L107" i="14" s="1"/>
  <c r="I107" i="14"/>
  <c r="G107" i="14"/>
  <c r="K106" i="14"/>
  <c r="L106" i="14" s="1"/>
  <c r="J106" i="14"/>
  <c r="I106" i="14"/>
  <c r="G106" i="14"/>
  <c r="N106" i="14" s="1"/>
  <c r="N105" i="14"/>
  <c r="K105" i="14"/>
  <c r="J105" i="14"/>
  <c r="I105" i="14"/>
  <c r="G105" i="14"/>
  <c r="K104" i="14"/>
  <c r="J104" i="14"/>
  <c r="L104" i="14" s="1"/>
  <c r="I104" i="14"/>
  <c r="G104" i="14"/>
  <c r="N104" i="14" s="1"/>
  <c r="N103" i="14"/>
  <c r="K103" i="14"/>
  <c r="J103" i="14"/>
  <c r="I103" i="14"/>
  <c r="G103" i="14"/>
  <c r="K102" i="14"/>
  <c r="J102" i="14"/>
  <c r="L102" i="14" s="1"/>
  <c r="I102" i="14"/>
  <c r="G102" i="14"/>
  <c r="N102" i="14" s="1"/>
  <c r="K101" i="14"/>
  <c r="J101" i="14"/>
  <c r="L101" i="14" s="1"/>
  <c r="I101" i="14"/>
  <c r="G101" i="14"/>
  <c r="N101" i="14" s="1"/>
  <c r="K100" i="14"/>
  <c r="J100" i="14"/>
  <c r="L100" i="14" s="1"/>
  <c r="I100" i="14"/>
  <c r="G100" i="14"/>
  <c r="N100" i="14" s="1"/>
  <c r="N99" i="14"/>
  <c r="K99" i="14"/>
  <c r="J99" i="14"/>
  <c r="I99" i="14"/>
  <c r="G99" i="14"/>
  <c r="K98" i="14"/>
  <c r="J98" i="14"/>
  <c r="I98" i="14"/>
  <c r="L98" i="14" s="1"/>
  <c r="G98" i="14"/>
  <c r="N98" i="14" s="1"/>
  <c r="K97" i="14"/>
  <c r="J97" i="14"/>
  <c r="I97" i="14"/>
  <c r="G97" i="14"/>
  <c r="N97" i="14" s="1"/>
  <c r="K96" i="14"/>
  <c r="L96" i="14" s="1"/>
  <c r="J96" i="14"/>
  <c r="I96" i="14"/>
  <c r="G96" i="14"/>
  <c r="N96" i="14" s="1"/>
  <c r="K95" i="14"/>
  <c r="J95" i="14"/>
  <c r="I95" i="14"/>
  <c r="G95" i="14"/>
  <c r="N95" i="14" s="1"/>
  <c r="N94" i="14"/>
  <c r="K94" i="14"/>
  <c r="J94" i="14"/>
  <c r="L94" i="14" s="1"/>
  <c r="I94" i="14"/>
  <c r="G94" i="14"/>
  <c r="N93" i="14"/>
  <c r="K93" i="14"/>
  <c r="J93" i="14"/>
  <c r="L93" i="14" s="1"/>
  <c r="I93" i="14"/>
  <c r="G93" i="14"/>
  <c r="N92" i="14"/>
  <c r="L92" i="14"/>
  <c r="K92" i="14"/>
  <c r="J92" i="14"/>
  <c r="I92" i="14"/>
  <c r="G92" i="14"/>
  <c r="K91" i="14"/>
  <c r="J91" i="14"/>
  <c r="I91" i="14"/>
  <c r="G91" i="14"/>
  <c r="N91" i="14" s="1"/>
  <c r="K90" i="14"/>
  <c r="L90" i="14" s="1"/>
  <c r="J90" i="14"/>
  <c r="I90" i="14"/>
  <c r="G90" i="14"/>
  <c r="N90" i="14" s="1"/>
  <c r="K89" i="14"/>
  <c r="J89" i="14"/>
  <c r="I89" i="14"/>
  <c r="G89" i="14"/>
  <c r="N89" i="14" s="1"/>
  <c r="N88" i="14"/>
  <c r="K88" i="14"/>
  <c r="J88" i="14"/>
  <c r="L88" i="14" s="1"/>
  <c r="I88" i="14"/>
  <c r="G88" i="14"/>
  <c r="K87" i="14"/>
  <c r="J87" i="14"/>
  <c r="I87" i="14"/>
  <c r="G87" i="14"/>
  <c r="N87" i="14" s="1"/>
  <c r="N86" i="14"/>
  <c r="K86" i="14"/>
  <c r="J86" i="14"/>
  <c r="L86" i="14" s="1"/>
  <c r="I86" i="14"/>
  <c r="G86" i="14"/>
  <c r="K85" i="14"/>
  <c r="J85" i="14"/>
  <c r="I85" i="14"/>
  <c r="G85" i="14"/>
  <c r="N85" i="14" s="1"/>
  <c r="K84" i="14"/>
  <c r="J84" i="14"/>
  <c r="I84" i="14"/>
  <c r="L84" i="14" s="1"/>
  <c r="G84" i="14"/>
  <c r="N84" i="14" s="1"/>
  <c r="N83" i="14"/>
  <c r="K83" i="14"/>
  <c r="J83" i="14"/>
  <c r="L83" i="14" s="1"/>
  <c r="I83" i="14"/>
  <c r="G83" i="14"/>
  <c r="K82" i="14"/>
  <c r="L82" i="14" s="1"/>
  <c r="J82" i="14"/>
  <c r="I82" i="14"/>
  <c r="G82" i="14"/>
  <c r="N82" i="14" s="1"/>
  <c r="N81" i="14"/>
  <c r="K81" i="14"/>
  <c r="J81" i="14"/>
  <c r="I81" i="14"/>
  <c r="G81" i="14"/>
  <c r="K80" i="14"/>
  <c r="J80" i="14"/>
  <c r="L80" i="14" s="1"/>
  <c r="I80" i="14"/>
  <c r="G80" i="14"/>
  <c r="N80" i="14" s="1"/>
  <c r="N79" i="14"/>
  <c r="K79" i="14"/>
  <c r="J79" i="14"/>
  <c r="I79" i="14"/>
  <c r="G79" i="14"/>
  <c r="K78" i="14"/>
  <c r="J78" i="14"/>
  <c r="L78" i="14" s="1"/>
  <c r="I78" i="14"/>
  <c r="G78" i="14"/>
  <c r="N78" i="14" s="1"/>
  <c r="K77" i="14"/>
  <c r="J77" i="14"/>
  <c r="L77" i="14" s="1"/>
  <c r="I77" i="14"/>
  <c r="G77" i="14"/>
  <c r="N77" i="14" s="1"/>
  <c r="K76" i="14"/>
  <c r="J76" i="14"/>
  <c r="L76" i="14" s="1"/>
  <c r="I76" i="14"/>
  <c r="G76" i="14"/>
  <c r="N76" i="14" s="1"/>
  <c r="N75" i="14"/>
  <c r="K75" i="14"/>
  <c r="J75" i="14"/>
  <c r="I75" i="14"/>
  <c r="G75" i="14"/>
  <c r="K74" i="14"/>
  <c r="J74" i="14"/>
  <c r="I74" i="14"/>
  <c r="L74" i="14" s="1"/>
  <c r="G74" i="14"/>
  <c r="N74" i="14" s="1"/>
  <c r="K73" i="14"/>
  <c r="J73" i="14"/>
  <c r="I73" i="14"/>
  <c r="G73" i="14"/>
  <c r="N73" i="14" s="1"/>
  <c r="K72" i="14"/>
  <c r="L72" i="14" s="1"/>
  <c r="J72" i="14"/>
  <c r="I72" i="14"/>
  <c r="G72" i="14"/>
  <c r="N72" i="14" s="1"/>
  <c r="K71" i="14"/>
  <c r="J71" i="14"/>
  <c r="I71" i="14"/>
  <c r="G71" i="14"/>
  <c r="N71" i="14" s="1"/>
  <c r="N70" i="14"/>
  <c r="K70" i="14"/>
  <c r="J70" i="14"/>
  <c r="L70" i="14" s="1"/>
  <c r="I70" i="14"/>
  <c r="G70" i="14"/>
  <c r="N69" i="14"/>
  <c r="K69" i="14"/>
  <c r="J69" i="14"/>
  <c r="L69" i="14" s="1"/>
  <c r="I69" i="14"/>
  <c r="G69" i="14"/>
  <c r="N68" i="14"/>
  <c r="L68" i="14"/>
  <c r="K68" i="14"/>
  <c r="J68" i="14"/>
  <c r="I68" i="14"/>
  <c r="G68" i="14"/>
  <c r="K67" i="14"/>
  <c r="J67" i="14"/>
  <c r="I67" i="14"/>
  <c r="G67" i="14"/>
  <c r="N67" i="14" s="1"/>
  <c r="K66" i="14"/>
  <c r="L66" i="14" s="1"/>
  <c r="J66" i="14"/>
  <c r="I66" i="14"/>
  <c r="G66" i="14"/>
  <c r="N66" i="14" s="1"/>
  <c r="K65" i="14"/>
  <c r="J65" i="14"/>
  <c r="I65" i="14"/>
  <c r="G65" i="14"/>
  <c r="N65" i="14" s="1"/>
  <c r="N64" i="14"/>
  <c r="K64" i="14"/>
  <c r="J64" i="14"/>
  <c r="L64" i="14" s="1"/>
  <c r="I64" i="14"/>
  <c r="G64" i="14"/>
  <c r="K63" i="14"/>
  <c r="J63" i="14"/>
  <c r="I63" i="14"/>
  <c r="G63" i="14"/>
  <c r="N63" i="14" s="1"/>
  <c r="N62" i="14"/>
  <c r="K62" i="14"/>
  <c r="J62" i="14"/>
  <c r="L62" i="14" s="1"/>
  <c r="I62" i="14"/>
  <c r="G62" i="14"/>
  <c r="K61" i="14"/>
  <c r="J61" i="14"/>
  <c r="I61" i="14"/>
  <c r="G61" i="14"/>
  <c r="N61" i="14" s="1"/>
  <c r="K60" i="14"/>
  <c r="J60" i="14"/>
  <c r="I60" i="14"/>
  <c r="L60" i="14" s="1"/>
  <c r="G60" i="14"/>
  <c r="N60" i="14" s="1"/>
  <c r="N59" i="14"/>
  <c r="K59" i="14"/>
  <c r="J59" i="14"/>
  <c r="L59" i="14" s="1"/>
  <c r="I59" i="14"/>
  <c r="G59" i="14"/>
  <c r="K58" i="14"/>
  <c r="L58" i="14" s="1"/>
  <c r="J58" i="14"/>
  <c r="I58" i="14"/>
  <c r="G58" i="14"/>
  <c r="N58" i="14" s="1"/>
  <c r="N57" i="14"/>
  <c r="K57" i="14"/>
  <c r="J57" i="14"/>
  <c r="I57" i="14"/>
  <c r="G57" i="14"/>
  <c r="K56" i="14"/>
  <c r="J56" i="14"/>
  <c r="L56" i="14" s="1"/>
  <c r="I56" i="14"/>
  <c r="G56" i="14"/>
  <c r="N56" i="14" s="1"/>
  <c r="N55" i="14"/>
  <c r="K55" i="14"/>
  <c r="J55" i="14"/>
  <c r="I55" i="14"/>
  <c r="G55" i="14"/>
  <c r="K54" i="14"/>
  <c r="J54" i="14"/>
  <c r="L54" i="14" s="1"/>
  <c r="I54" i="14"/>
  <c r="G54" i="14"/>
  <c r="N54" i="14" s="1"/>
  <c r="K53" i="14"/>
  <c r="J53" i="14"/>
  <c r="L53" i="14" s="1"/>
  <c r="I53" i="14"/>
  <c r="G53" i="14"/>
  <c r="N53" i="14" s="1"/>
  <c r="K52" i="14"/>
  <c r="J52" i="14"/>
  <c r="L52" i="14" s="1"/>
  <c r="I52" i="14"/>
  <c r="G52" i="14"/>
  <c r="N52" i="14" s="1"/>
  <c r="N51" i="14"/>
  <c r="K51" i="14"/>
  <c r="J51" i="14"/>
  <c r="I51" i="14"/>
  <c r="G51" i="14"/>
  <c r="K50" i="14"/>
  <c r="J50" i="14"/>
  <c r="I50" i="14"/>
  <c r="L50" i="14" s="1"/>
  <c r="G50" i="14"/>
  <c r="N50" i="14" s="1"/>
  <c r="K49" i="14"/>
  <c r="J49" i="14"/>
  <c r="I49" i="14"/>
  <c r="G49" i="14"/>
  <c r="N49" i="14" s="1"/>
  <c r="K48" i="14"/>
  <c r="L48" i="14" s="1"/>
  <c r="J48" i="14"/>
  <c r="I48" i="14"/>
  <c r="G48" i="14"/>
  <c r="N48" i="14" s="1"/>
  <c r="K47" i="14"/>
  <c r="J47" i="14"/>
  <c r="I47" i="14"/>
  <c r="G47" i="14"/>
  <c r="N47" i="14" s="1"/>
  <c r="N46" i="14"/>
  <c r="K46" i="14"/>
  <c r="J46" i="14"/>
  <c r="L46" i="14" s="1"/>
  <c r="I46" i="14"/>
  <c r="G46" i="14"/>
  <c r="N45" i="14"/>
  <c r="K45" i="14"/>
  <c r="J45" i="14"/>
  <c r="L45" i="14" s="1"/>
  <c r="I45" i="14"/>
  <c r="G45" i="14"/>
  <c r="N44" i="14"/>
  <c r="L44" i="14"/>
  <c r="K44" i="14"/>
  <c r="J44" i="14"/>
  <c r="I44" i="14"/>
  <c r="G44" i="14"/>
  <c r="K43" i="14"/>
  <c r="J43" i="14"/>
  <c r="I43" i="14"/>
  <c r="G43" i="14"/>
  <c r="N43" i="14" s="1"/>
  <c r="K42" i="14"/>
  <c r="L42" i="14" s="1"/>
  <c r="J42" i="14"/>
  <c r="I42" i="14"/>
  <c r="G42" i="14"/>
  <c r="N42" i="14" s="1"/>
  <c r="K41" i="14"/>
  <c r="J41" i="14"/>
  <c r="L41" i="14" s="1"/>
  <c r="I41" i="14"/>
  <c r="G41" i="14"/>
  <c r="N41" i="14" s="1"/>
  <c r="K40" i="14"/>
  <c r="L40" i="14" s="1"/>
  <c r="J40" i="14"/>
  <c r="I40" i="14"/>
  <c r="G40" i="14"/>
  <c r="N40" i="14" s="1"/>
  <c r="K39" i="14"/>
  <c r="J39" i="14"/>
  <c r="L39" i="14" s="1"/>
  <c r="I39" i="14"/>
  <c r="G39" i="14"/>
  <c r="N39" i="14" s="1"/>
  <c r="K38" i="14"/>
  <c r="L38" i="14" s="1"/>
  <c r="J38" i="14"/>
  <c r="I38" i="14"/>
  <c r="G38" i="14"/>
  <c r="N38" i="14" s="1"/>
  <c r="K37" i="14"/>
  <c r="J37" i="14"/>
  <c r="L37" i="14" s="1"/>
  <c r="I37" i="14"/>
  <c r="G37" i="14"/>
  <c r="N37" i="14" s="1"/>
  <c r="K36" i="14"/>
  <c r="L36" i="14" s="1"/>
  <c r="J36" i="14"/>
  <c r="I36" i="14"/>
  <c r="G36" i="14"/>
  <c r="N36" i="14" s="1"/>
  <c r="K35" i="14"/>
  <c r="J35" i="14"/>
  <c r="L35" i="14" s="1"/>
  <c r="I35" i="14"/>
  <c r="G35" i="14"/>
  <c r="N35" i="14" s="1"/>
  <c r="K34" i="14"/>
  <c r="L34" i="14" s="1"/>
  <c r="J34" i="14"/>
  <c r="I34" i="14"/>
  <c r="G34" i="14"/>
  <c r="N34" i="14" s="1"/>
  <c r="K33" i="14"/>
  <c r="J33" i="14"/>
  <c r="L33" i="14" s="1"/>
  <c r="I33" i="14"/>
  <c r="G33" i="14"/>
  <c r="N33" i="14" s="1"/>
  <c r="K32" i="14"/>
  <c r="L32" i="14" s="1"/>
  <c r="J32" i="14"/>
  <c r="I32" i="14"/>
  <c r="G32" i="14"/>
  <c r="N32" i="14" s="1"/>
  <c r="K31" i="14"/>
  <c r="J31" i="14"/>
  <c r="L31" i="14" s="1"/>
  <c r="I31" i="14"/>
  <c r="G31" i="14"/>
  <c r="N31" i="14" s="1"/>
  <c r="K30" i="14"/>
  <c r="L30" i="14" s="1"/>
  <c r="J30" i="14"/>
  <c r="I30" i="14"/>
  <c r="G30" i="14"/>
  <c r="N30" i="14" s="1"/>
  <c r="K29" i="14"/>
  <c r="J29" i="14"/>
  <c r="L29" i="14" s="1"/>
  <c r="I29" i="14"/>
  <c r="G29" i="14"/>
  <c r="N29" i="14" s="1"/>
  <c r="K28" i="14"/>
  <c r="L28" i="14" s="1"/>
  <c r="J28" i="14"/>
  <c r="I28" i="14"/>
  <c r="G28" i="14"/>
  <c r="N28" i="14" s="1"/>
  <c r="K27" i="14"/>
  <c r="J27" i="14"/>
  <c r="L27" i="14" s="1"/>
  <c r="I27" i="14"/>
  <c r="G27" i="14"/>
  <c r="N27" i="14" s="1"/>
  <c r="K26" i="14"/>
  <c r="L26" i="14" s="1"/>
  <c r="J26" i="14"/>
  <c r="I26" i="14"/>
  <c r="G26" i="14"/>
  <c r="N26" i="14" s="1"/>
  <c r="K25" i="14"/>
  <c r="J25" i="14"/>
  <c r="L25" i="14" s="1"/>
  <c r="I25" i="14"/>
  <c r="G25" i="14"/>
  <c r="N25" i="14" s="1"/>
  <c r="K24" i="14"/>
  <c r="L24" i="14" s="1"/>
  <c r="J24" i="14"/>
  <c r="I24" i="14"/>
  <c r="G24" i="14"/>
  <c r="N24" i="14" s="1"/>
  <c r="K23" i="14"/>
  <c r="J23" i="14"/>
  <c r="L23" i="14" s="1"/>
  <c r="I23" i="14"/>
  <c r="G23" i="14"/>
  <c r="N23" i="14" s="1"/>
  <c r="K22" i="14"/>
  <c r="L22" i="14" s="1"/>
  <c r="J22" i="14"/>
  <c r="I22" i="14"/>
  <c r="G22" i="14"/>
  <c r="N22" i="14" s="1"/>
  <c r="K21" i="14"/>
  <c r="J21" i="14"/>
  <c r="L21" i="14" s="1"/>
  <c r="I21" i="14"/>
  <c r="G21" i="14"/>
  <c r="N21" i="14" s="1"/>
  <c r="K20" i="14"/>
  <c r="L20" i="14" s="1"/>
  <c r="J20" i="14"/>
  <c r="I20" i="14"/>
  <c r="G20" i="14"/>
  <c r="N20" i="14" s="1"/>
  <c r="K19" i="14"/>
  <c r="J19" i="14"/>
  <c r="L19" i="14" s="1"/>
  <c r="I19" i="14"/>
  <c r="G19" i="14"/>
  <c r="N19" i="14" s="1"/>
  <c r="K18" i="14"/>
  <c r="L18" i="14" s="1"/>
  <c r="J18" i="14"/>
  <c r="I18" i="14"/>
  <c r="G18" i="14"/>
  <c r="N18" i="14" s="1"/>
  <c r="K17" i="14"/>
  <c r="J17" i="14"/>
  <c r="L17" i="14" s="1"/>
  <c r="I17" i="14"/>
  <c r="G17" i="14"/>
  <c r="N17" i="14" s="1"/>
  <c r="K16" i="14"/>
  <c r="L16" i="14" s="1"/>
  <c r="J16" i="14"/>
  <c r="I16" i="14"/>
  <c r="G16" i="14"/>
  <c r="N16" i="14" s="1"/>
  <c r="K15" i="14"/>
  <c r="J15" i="14"/>
  <c r="L15" i="14" s="1"/>
  <c r="I15" i="14"/>
  <c r="G15" i="14"/>
  <c r="N15" i="14" s="1"/>
  <c r="K14" i="14"/>
  <c r="L14" i="14" s="1"/>
  <c r="J14" i="14"/>
  <c r="I14" i="14"/>
  <c r="G14" i="14"/>
  <c r="N14" i="14" s="1"/>
  <c r="K13" i="14"/>
  <c r="J13" i="14"/>
  <c r="L13" i="14" s="1"/>
  <c r="I13" i="14"/>
  <c r="G13" i="14"/>
  <c r="N13" i="14" s="1"/>
  <c r="K12" i="14"/>
  <c r="L12" i="14" s="1"/>
  <c r="J12" i="14"/>
  <c r="I12" i="14"/>
  <c r="G12" i="14"/>
  <c r="N12" i="14" s="1"/>
  <c r="K11" i="14"/>
  <c r="J11" i="14"/>
  <c r="L11" i="14" s="1"/>
  <c r="I11" i="14"/>
  <c r="G11" i="14"/>
  <c r="N11" i="14" s="1"/>
  <c r="K10" i="14"/>
  <c r="L10" i="14" s="1"/>
  <c r="J10" i="14"/>
  <c r="I10" i="14"/>
  <c r="G10" i="14"/>
  <c r="N10" i="14" s="1"/>
  <c r="K9" i="14"/>
  <c r="J9" i="14"/>
  <c r="L9" i="14" s="1"/>
  <c r="I9" i="14"/>
  <c r="G9" i="14"/>
  <c r="N9" i="14" s="1"/>
  <c r="K8" i="14"/>
  <c r="L8" i="14" s="1"/>
  <c r="J8" i="14"/>
  <c r="I8" i="14"/>
  <c r="G8" i="14"/>
  <c r="N8" i="14" s="1"/>
  <c r="K7" i="14"/>
  <c r="J7" i="14"/>
  <c r="L7" i="14" s="1"/>
  <c r="I7" i="14"/>
  <c r="G7" i="14"/>
  <c r="N7" i="14" s="1"/>
  <c r="K6" i="14"/>
  <c r="L6" i="14" s="1"/>
  <c r="J6" i="14"/>
  <c r="I6" i="14"/>
  <c r="G6" i="14"/>
  <c r="N6" i="14" s="1"/>
  <c r="K5" i="14"/>
  <c r="J5" i="14"/>
  <c r="L5" i="14" s="1"/>
  <c r="I5" i="14"/>
  <c r="G5" i="14"/>
  <c r="N5" i="14" s="1"/>
  <c r="K4" i="14"/>
  <c r="L4" i="14" s="1"/>
  <c r="J4" i="14"/>
  <c r="I4" i="14"/>
  <c r="G4" i="14"/>
  <c r="N4" i="14" s="1"/>
  <c r="K3" i="14"/>
  <c r="J3" i="14"/>
  <c r="L3" i="14" s="1"/>
  <c r="I3" i="14"/>
  <c r="G3" i="14"/>
  <c r="N3" i="14" s="1"/>
  <c r="K2" i="14"/>
  <c r="L2" i="14" s="1"/>
  <c r="J2" i="14"/>
  <c r="I2" i="14"/>
  <c r="G2" i="14"/>
  <c r="N2" i="14" s="1"/>
  <c r="L26" i="3"/>
  <c r="L50" i="3"/>
  <c r="L62" i="3"/>
  <c r="L74" i="3"/>
  <c r="L86" i="3"/>
  <c r="L98" i="3"/>
  <c r="L110" i="3"/>
  <c r="L122" i="3"/>
  <c r="L134" i="3"/>
  <c r="L146" i="3"/>
  <c r="L158" i="3"/>
  <c r="L170" i="3"/>
  <c r="L182" i="3"/>
  <c r="L194" i="3"/>
  <c r="L206" i="3"/>
  <c r="L218" i="3"/>
  <c r="L230" i="3"/>
  <c r="L242" i="3"/>
  <c r="L254" i="3"/>
  <c r="L266" i="3"/>
  <c r="L278" i="3"/>
  <c r="L290" i="3"/>
  <c r="L302" i="3"/>
  <c r="L314" i="3"/>
  <c r="L326" i="3"/>
  <c r="L338" i="3"/>
  <c r="H3" i="11"/>
  <c r="L3" i="11" s="1"/>
  <c r="I3" i="11"/>
  <c r="J3" i="11"/>
  <c r="H4" i="11"/>
  <c r="I4" i="11"/>
  <c r="J4" i="11"/>
  <c r="L4" i="11" s="1"/>
  <c r="H5" i="11"/>
  <c r="I5" i="11"/>
  <c r="J5" i="11"/>
  <c r="L5" i="11"/>
  <c r="H6" i="11"/>
  <c r="I6" i="11"/>
  <c r="J6" i="11"/>
  <c r="H7" i="11"/>
  <c r="I7" i="11"/>
  <c r="J7" i="11"/>
  <c r="L7" i="11" s="1"/>
  <c r="H8" i="11"/>
  <c r="I8" i="11"/>
  <c r="J8" i="11"/>
  <c r="L8" i="11"/>
  <c r="H9" i="11"/>
  <c r="I9" i="11"/>
  <c r="J9" i="11"/>
  <c r="H10" i="11"/>
  <c r="I10" i="11"/>
  <c r="J10" i="11"/>
  <c r="L10" i="11" s="1"/>
  <c r="H11" i="11"/>
  <c r="I11" i="11"/>
  <c r="J11" i="11"/>
  <c r="L11" i="11"/>
  <c r="H12" i="11"/>
  <c r="I12" i="11"/>
  <c r="J12" i="11"/>
  <c r="H13" i="11"/>
  <c r="I13" i="11"/>
  <c r="J13" i="11"/>
  <c r="L13" i="11" s="1"/>
  <c r="H14" i="11"/>
  <c r="I14" i="11"/>
  <c r="J14" i="11"/>
  <c r="L14" i="11"/>
  <c r="H15" i="11"/>
  <c r="I15" i="11"/>
  <c r="J15" i="11"/>
  <c r="H16" i="11"/>
  <c r="I16" i="11"/>
  <c r="J16" i="11"/>
  <c r="L16" i="11" s="1"/>
  <c r="H17" i="11"/>
  <c r="I17" i="11"/>
  <c r="J17" i="11"/>
  <c r="L17" i="11"/>
  <c r="H18" i="11"/>
  <c r="I18" i="11"/>
  <c r="J18" i="11"/>
  <c r="H19" i="11"/>
  <c r="I19" i="11"/>
  <c r="J19" i="11"/>
  <c r="L19" i="11" s="1"/>
  <c r="H20" i="11"/>
  <c r="I20" i="11"/>
  <c r="J20" i="11"/>
  <c r="L20" i="11"/>
  <c r="H21" i="11"/>
  <c r="I21" i="11"/>
  <c r="J21" i="11"/>
  <c r="H22" i="11"/>
  <c r="I22" i="11"/>
  <c r="J22" i="11"/>
  <c r="L22" i="11" s="1"/>
  <c r="H23" i="11"/>
  <c r="I23" i="11"/>
  <c r="J23" i="11"/>
  <c r="L23" i="11"/>
  <c r="H24" i="11"/>
  <c r="I24" i="11"/>
  <c r="J24" i="11"/>
  <c r="H25" i="11"/>
  <c r="I25" i="11"/>
  <c r="J25" i="11"/>
  <c r="L25" i="11" s="1"/>
  <c r="H26" i="11"/>
  <c r="I26" i="11"/>
  <c r="L26" i="11" s="1"/>
  <c r="J26" i="11"/>
  <c r="H27" i="11"/>
  <c r="I27" i="11"/>
  <c r="J27" i="11"/>
  <c r="H28" i="11"/>
  <c r="I28" i="11"/>
  <c r="J28" i="11"/>
  <c r="L28" i="11" s="1"/>
  <c r="H29" i="11"/>
  <c r="I29" i="11"/>
  <c r="J29" i="11"/>
  <c r="L29" i="11"/>
  <c r="H30" i="11"/>
  <c r="I30" i="11"/>
  <c r="J30" i="11"/>
  <c r="H31" i="11"/>
  <c r="I31" i="11"/>
  <c r="J31" i="11"/>
  <c r="L31" i="11" s="1"/>
  <c r="H32" i="11"/>
  <c r="I32" i="11"/>
  <c r="J32" i="11"/>
  <c r="L32" i="11"/>
  <c r="H33" i="11"/>
  <c r="I33" i="11"/>
  <c r="J33" i="11"/>
  <c r="H34" i="11"/>
  <c r="I34" i="11"/>
  <c r="J34" i="11"/>
  <c r="L34" i="11" s="1"/>
  <c r="H35" i="11"/>
  <c r="L35" i="11" s="1"/>
  <c r="I35" i="11"/>
  <c r="J35" i="11"/>
  <c r="H36" i="11"/>
  <c r="I36" i="11"/>
  <c r="J36" i="11"/>
  <c r="H37" i="11"/>
  <c r="I37" i="11"/>
  <c r="J37" i="11"/>
  <c r="L37" i="11" s="1"/>
  <c r="H38" i="11"/>
  <c r="I38" i="11"/>
  <c r="J38" i="11"/>
  <c r="L38" i="11"/>
  <c r="H39" i="11"/>
  <c r="I39" i="11"/>
  <c r="J39" i="11"/>
  <c r="H40" i="11"/>
  <c r="I40" i="11"/>
  <c r="J40" i="11"/>
  <c r="L40" i="11" s="1"/>
  <c r="H41" i="11"/>
  <c r="I41" i="11"/>
  <c r="J41" i="11"/>
  <c r="L41" i="11"/>
  <c r="H42" i="11"/>
  <c r="I42" i="11"/>
  <c r="J42" i="11"/>
  <c r="H43" i="11"/>
  <c r="I43" i="11"/>
  <c r="J43" i="11"/>
  <c r="L43" i="11" s="1"/>
  <c r="H44" i="11"/>
  <c r="I44" i="11"/>
  <c r="L44" i="11" s="1"/>
  <c r="J44" i="11"/>
  <c r="H45" i="11"/>
  <c r="I45" i="11"/>
  <c r="J45" i="11"/>
  <c r="H46" i="11"/>
  <c r="I46" i="11"/>
  <c r="J46" i="11"/>
  <c r="L46" i="11" s="1"/>
  <c r="H47" i="11"/>
  <c r="I47" i="11"/>
  <c r="J47" i="11"/>
  <c r="L47" i="11"/>
  <c r="H48" i="11"/>
  <c r="I48" i="11"/>
  <c r="J48" i="11"/>
  <c r="H49" i="11"/>
  <c r="I49" i="11"/>
  <c r="J49" i="11"/>
  <c r="L49" i="11" s="1"/>
  <c r="H50" i="11"/>
  <c r="I50" i="11"/>
  <c r="J50" i="11"/>
  <c r="L50" i="11"/>
  <c r="H51" i="11"/>
  <c r="I51" i="11"/>
  <c r="J51" i="11"/>
  <c r="H52" i="11"/>
  <c r="I52" i="11"/>
  <c r="J52" i="11"/>
  <c r="L52" i="11" s="1"/>
  <c r="H53" i="11"/>
  <c r="L53" i="11" s="1"/>
  <c r="I53" i="11"/>
  <c r="J53" i="11"/>
  <c r="H54" i="11"/>
  <c r="I54" i="11"/>
  <c r="J54" i="11"/>
  <c r="H55" i="11"/>
  <c r="I55" i="11"/>
  <c r="J55" i="11"/>
  <c r="L55" i="11" s="1"/>
  <c r="H56" i="11"/>
  <c r="L56" i="11" s="1"/>
  <c r="I56" i="11"/>
  <c r="J56" i="11"/>
  <c r="H57" i="11"/>
  <c r="I57" i="11"/>
  <c r="J57" i="11"/>
  <c r="H58" i="11"/>
  <c r="I58" i="11"/>
  <c r="L58" i="11" s="1"/>
  <c r="J58" i="11"/>
  <c r="H59" i="11"/>
  <c r="I59" i="11"/>
  <c r="J59" i="11"/>
  <c r="L59" i="11"/>
  <c r="H60" i="11"/>
  <c r="I60" i="11"/>
  <c r="J60" i="11"/>
  <c r="H61" i="11"/>
  <c r="I61" i="11"/>
  <c r="J61" i="11"/>
  <c r="L61" i="11" s="1"/>
  <c r="H62" i="11"/>
  <c r="I62" i="11"/>
  <c r="J62" i="11"/>
  <c r="L62" i="11"/>
  <c r="H63" i="11"/>
  <c r="L63" i="11" s="1"/>
  <c r="I63" i="11"/>
  <c r="J63" i="11"/>
  <c r="H64" i="11"/>
  <c r="I64" i="11"/>
  <c r="J64" i="11"/>
  <c r="L64" i="11"/>
  <c r="H65" i="11"/>
  <c r="I65" i="11"/>
  <c r="J65" i="11"/>
  <c r="L65" i="11"/>
  <c r="H66" i="11"/>
  <c r="I66" i="11"/>
  <c r="J66" i="11"/>
  <c r="H67" i="11"/>
  <c r="I67" i="11"/>
  <c r="J67" i="11"/>
  <c r="L67" i="11" s="1"/>
  <c r="H68" i="11"/>
  <c r="L68" i="11" s="1"/>
  <c r="I68" i="11"/>
  <c r="J68" i="11"/>
  <c r="H69" i="11"/>
  <c r="I69" i="11"/>
  <c r="J69" i="11"/>
  <c r="H70" i="11"/>
  <c r="I70" i="11"/>
  <c r="J70" i="11"/>
  <c r="L70" i="11"/>
  <c r="H71" i="11"/>
  <c r="I71" i="11"/>
  <c r="L71" i="11" s="1"/>
  <c r="J71" i="11"/>
  <c r="H72" i="11"/>
  <c r="I72" i="11"/>
  <c r="J72" i="11"/>
  <c r="H73" i="11"/>
  <c r="I73" i="11"/>
  <c r="J73" i="11"/>
  <c r="L73" i="11"/>
  <c r="H74" i="11"/>
  <c r="I74" i="11"/>
  <c r="J74" i="11"/>
  <c r="L74" i="11"/>
  <c r="H75" i="11"/>
  <c r="I75" i="11"/>
  <c r="J75" i="11"/>
  <c r="H76" i="11"/>
  <c r="I76" i="11"/>
  <c r="L76" i="11" s="1"/>
  <c r="J76" i="11"/>
  <c r="H77" i="11"/>
  <c r="I77" i="11"/>
  <c r="J77" i="11"/>
  <c r="L77" i="11"/>
  <c r="H78" i="11"/>
  <c r="I78" i="11"/>
  <c r="J78" i="11"/>
  <c r="H79" i="11"/>
  <c r="I79" i="11"/>
  <c r="L79" i="11" s="1"/>
  <c r="J79" i="11"/>
  <c r="H80" i="11"/>
  <c r="I80" i="11"/>
  <c r="J80" i="11"/>
  <c r="L80" i="11" s="1"/>
  <c r="H81" i="11"/>
  <c r="L81" i="11" s="1"/>
  <c r="I81" i="11"/>
  <c r="J81" i="11"/>
  <c r="H82" i="11"/>
  <c r="I82" i="11"/>
  <c r="J82" i="11"/>
  <c r="L82" i="11"/>
  <c r="H83" i="11"/>
  <c r="I83" i="11"/>
  <c r="J83" i="11"/>
  <c r="L83" i="11"/>
  <c r="H84" i="11"/>
  <c r="I84" i="11"/>
  <c r="J84" i="11"/>
  <c r="H85" i="11"/>
  <c r="I85" i="11"/>
  <c r="J85" i="11"/>
  <c r="L85" i="11"/>
  <c r="H86" i="11"/>
  <c r="L86" i="11" s="1"/>
  <c r="I86" i="11"/>
  <c r="J86" i="11"/>
  <c r="H87" i="11"/>
  <c r="I87" i="11"/>
  <c r="J87" i="11"/>
  <c r="H88" i="11"/>
  <c r="I88" i="11"/>
  <c r="J88" i="11"/>
  <c r="L88" i="11"/>
  <c r="H89" i="11"/>
  <c r="L89" i="11" s="1"/>
  <c r="I89" i="11"/>
  <c r="J89" i="11"/>
  <c r="H90" i="11"/>
  <c r="I90" i="11"/>
  <c r="J90" i="11"/>
  <c r="H91" i="11"/>
  <c r="I91" i="11"/>
  <c r="L91" i="11" s="1"/>
  <c r="J91" i="11"/>
  <c r="H92" i="11"/>
  <c r="L92" i="11" s="1"/>
  <c r="I92" i="11"/>
  <c r="J92" i="11"/>
  <c r="H93" i="11"/>
  <c r="I93" i="11"/>
  <c r="J93" i="11"/>
  <c r="H94" i="11"/>
  <c r="I94" i="11"/>
  <c r="L94" i="11" s="1"/>
  <c r="J94" i="11"/>
  <c r="H95" i="11"/>
  <c r="I95" i="11"/>
  <c r="J95" i="11"/>
  <c r="L95" i="11"/>
  <c r="H96" i="11"/>
  <c r="I96" i="11"/>
  <c r="J96" i="11"/>
  <c r="H97" i="11"/>
  <c r="I97" i="11"/>
  <c r="J97" i="11"/>
  <c r="L97" i="11" s="1"/>
  <c r="H98" i="11"/>
  <c r="I98" i="11"/>
  <c r="J98" i="11"/>
  <c r="L98" i="11"/>
  <c r="H99" i="11"/>
  <c r="L99" i="11" s="1"/>
  <c r="I99" i="11"/>
  <c r="J99" i="11"/>
  <c r="H100" i="11"/>
  <c r="I100" i="11"/>
  <c r="J100" i="11"/>
  <c r="L100" i="11"/>
  <c r="H101" i="11"/>
  <c r="I101" i="11"/>
  <c r="J101" i="11"/>
  <c r="L101" i="11"/>
  <c r="H102" i="11"/>
  <c r="I102" i="11"/>
  <c r="J102" i="11"/>
  <c r="H103" i="11"/>
  <c r="I103" i="11"/>
  <c r="L103" i="11" s="1"/>
  <c r="J103" i="11"/>
  <c r="H104" i="11"/>
  <c r="L104" i="11" s="1"/>
  <c r="I104" i="11"/>
  <c r="J104" i="11"/>
  <c r="H105" i="11"/>
  <c r="I105" i="11"/>
  <c r="J105" i="11"/>
  <c r="H106" i="11"/>
  <c r="I106" i="11"/>
  <c r="J106" i="11"/>
  <c r="L106" i="11"/>
  <c r="H107" i="11"/>
  <c r="I107" i="11"/>
  <c r="L107" i="11" s="1"/>
  <c r="J107" i="11"/>
  <c r="H108" i="11"/>
  <c r="I108" i="11"/>
  <c r="J108" i="11"/>
  <c r="H109" i="11"/>
  <c r="I109" i="11"/>
  <c r="J109" i="11"/>
  <c r="L109" i="11"/>
  <c r="H110" i="11"/>
  <c r="I110" i="11"/>
  <c r="J110" i="11"/>
  <c r="L110" i="11" s="1"/>
  <c r="H111" i="11"/>
  <c r="I111" i="11"/>
  <c r="J111" i="11"/>
  <c r="H112" i="11"/>
  <c r="I112" i="11"/>
  <c r="L112" i="11" s="1"/>
  <c r="J112" i="11"/>
  <c r="H113" i="11"/>
  <c r="I113" i="11"/>
  <c r="J113" i="11"/>
  <c r="L113" i="11"/>
  <c r="H114" i="11"/>
  <c r="I114" i="11"/>
  <c r="J114" i="11"/>
  <c r="H115" i="11"/>
  <c r="I115" i="11"/>
  <c r="L115" i="11" s="1"/>
  <c r="J115" i="11"/>
  <c r="H116" i="11"/>
  <c r="I116" i="11"/>
  <c r="L116" i="11" s="1"/>
  <c r="J116" i="11"/>
  <c r="H117" i="11"/>
  <c r="L117" i="11" s="1"/>
  <c r="I117" i="11"/>
  <c r="J117" i="11"/>
  <c r="H118" i="11"/>
  <c r="I118" i="11"/>
  <c r="J118" i="11"/>
  <c r="L118" i="11"/>
  <c r="H119" i="11"/>
  <c r="I119" i="11"/>
  <c r="J119" i="11"/>
  <c r="L119" i="11"/>
  <c r="H120" i="11"/>
  <c r="I120" i="11"/>
  <c r="J120" i="11"/>
  <c r="H121" i="11"/>
  <c r="I121" i="11"/>
  <c r="J121" i="11"/>
  <c r="L121" i="11"/>
  <c r="H122" i="11"/>
  <c r="L122" i="11" s="1"/>
  <c r="I122" i="11"/>
  <c r="J122" i="11"/>
  <c r="H123" i="11"/>
  <c r="I123" i="11"/>
  <c r="J123" i="11"/>
  <c r="H124" i="11"/>
  <c r="I124" i="11"/>
  <c r="J124" i="11"/>
  <c r="L124" i="11"/>
  <c r="H125" i="11"/>
  <c r="L125" i="11" s="1"/>
  <c r="I125" i="11"/>
  <c r="J125" i="11"/>
  <c r="H126" i="11"/>
  <c r="I126" i="11"/>
  <c r="J126" i="11"/>
  <c r="H127" i="11"/>
  <c r="I127" i="11"/>
  <c r="L127" i="11" s="1"/>
  <c r="J127" i="11"/>
  <c r="H128" i="11"/>
  <c r="L128" i="11" s="1"/>
  <c r="I128" i="11"/>
  <c r="J128" i="11"/>
  <c r="H129" i="11"/>
  <c r="I129" i="11"/>
  <c r="J129" i="11"/>
  <c r="H130" i="11"/>
  <c r="I130" i="11"/>
  <c r="L130" i="11" s="1"/>
  <c r="J130" i="11"/>
  <c r="H131" i="11"/>
  <c r="I131" i="11"/>
  <c r="J131" i="11"/>
  <c r="L131" i="11"/>
  <c r="H132" i="11"/>
  <c r="I132" i="11"/>
  <c r="J132" i="11"/>
  <c r="H133" i="11"/>
  <c r="I133" i="11"/>
  <c r="J133" i="11"/>
  <c r="L133" i="11" s="1"/>
  <c r="H134" i="11"/>
  <c r="I134" i="11"/>
  <c r="J134" i="11"/>
  <c r="L134" i="11"/>
  <c r="H135" i="11"/>
  <c r="L135" i="11" s="1"/>
  <c r="I135" i="11"/>
  <c r="J135" i="11"/>
  <c r="H136" i="11"/>
  <c r="I136" i="11"/>
  <c r="J136" i="11"/>
  <c r="L136" i="11"/>
  <c r="H137" i="11"/>
  <c r="I137" i="11"/>
  <c r="J137" i="11"/>
  <c r="L137" i="11"/>
  <c r="H138" i="11"/>
  <c r="I138" i="11"/>
  <c r="J138" i="11"/>
  <c r="H139" i="11"/>
  <c r="I139" i="11"/>
  <c r="L139" i="11" s="1"/>
  <c r="J139" i="11"/>
  <c r="H140" i="11"/>
  <c r="L140" i="11" s="1"/>
  <c r="I140" i="11"/>
  <c r="J140" i="11"/>
  <c r="H141" i="11"/>
  <c r="I141" i="11"/>
  <c r="J141" i="11"/>
  <c r="H142" i="11"/>
  <c r="I142" i="11"/>
  <c r="J142" i="11"/>
  <c r="L142" i="11"/>
  <c r="H143" i="11"/>
  <c r="I143" i="11"/>
  <c r="L143" i="11" s="1"/>
  <c r="J143" i="11"/>
  <c r="H144" i="11"/>
  <c r="I144" i="11"/>
  <c r="J144" i="11"/>
  <c r="H145" i="11"/>
  <c r="I145" i="11"/>
  <c r="J145" i="11"/>
  <c r="L145" i="11"/>
  <c r="H146" i="11"/>
  <c r="L146" i="11" s="1"/>
  <c r="I146" i="11"/>
  <c r="J146" i="11"/>
  <c r="H147" i="11"/>
  <c r="I147" i="11"/>
  <c r="J147" i="11"/>
  <c r="H148" i="11"/>
  <c r="I148" i="11"/>
  <c r="L148" i="11" s="1"/>
  <c r="J148" i="11"/>
  <c r="H149" i="11"/>
  <c r="I149" i="11"/>
  <c r="J149" i="11"/>
  <c r="L149" i="11"/>
  <c r="H150" i="11"/>
  <c r="I150" i="11"/>
  <c r="J150" i="11"/>
  <c r="H151" i="11"/>
  <c r="L151" i="11" s="1"/>
  <c r="I151" i="11"/>
  <c r="J151" i="11"/>
  <c r="H152" i="11"/>
  <c r="I152" i="11"/>
  <c r="L152" i="11" s="1"/>
  <c r="J152" i="11"/>
  <c r="H153" i="11"/>
  <c r="L153" i="11" s="1"/>
  <c r="I153" i="11"/>
  <c r="J153" i="11"/>
  <c r="H154" i="11"/>
  <c r="I154" i="11"/>
  <c r="J154" i="11"/>
  <c r="L154" i="11"/>
  <c r="H155" i="11"/>
  <c r="I155" i="11"/>
  <c r="J155" i="11"/>
  <c r="L155" i="11"/>
  <c r="H156" i="11"/>
  <c r="I156" i="11"/>
  <c r="J156" i="11"/>
  <c r="H157" i="11"/>
  <c r="I157" i="11"/>
  <c r="J157" i="11"/>
  <c r="L157" i="11"/>
  <c r="H158" i="11"/>
  <c r="L158" i="11" s="1"/>
  <c r="I158" i="11"/>
  <c r="J158" i="11"/>
  <c r="H159" i="11"/>
  <c r="I159" i="11"/>
  <c r="J159" i="11"/>
  <c r="H160" i="11"/>
  <c r="I160" i="11"/>
  <c r="J160" i="11"/>
  <c r="L160" i="11"/>
  <c r="H161" i="11"/>
  <c r="L161" i="11" s="1"/>
  <c r="I161" i="11"/>
  <c r="J161" i="11"/>
  <c r="H162" i="11"/>
  <c r="I162" i="11"/>
  <c r="J162" i="11"/>
  <c r="H163" i="11"/>
  <c r="L163" i="11" s="1"/>
  <c r="I163" i="11"/>
  <c r="J163" i="11"/>
  <c r="H164" i="11"/>
  <c r="L164" i="11" s="1"/>
  <c r="I164" i="11"/>
  <c r="J164" i="11"/>
  <c r="H165" i="11"/>
  <c r="I165" i="11"/>
  <c r="J165" i="11"/>
  <c r="H166" i="11"/>
  <c r="I166" i="11"/>
  <c r="L166" i="11" s="1"/>
  <c r="J166" i="11"/>
  <c r="H167" i="11"/>
  <c r="I167" i="11"/>
  <c r="J167" i="11"/>
  <c r="L167" i="11"/>
  <c r="H168" i="11"/>
  <c r="I168" i="11"/>
  <c r="J168" i="11"/>
  <c r="H169" i="11"/>
  <c r="L169" i="11" s="1"/>
  <c r="I169" i="11"/>
  <c r="J169" i="11"/>
  <c r="H170" i="11"/>
  <c r="I170" i="11"/>
  <c r="J170" i="11"/>
  <c r="L170" i="11"/>
  <c r="H171" i="11"/>
  <c r="L171" i="11" s="1"/>
  <c r="I171" i="11"/>
  <c r="J171" i="11"/>
  <c r="H172" i="11"/>
  <c r="I172" i="11"/>
  <c r="J172" i="11"/>
  <c r="L172" i="11"/>
  <c r="H173" i="11"/>
  <c r="I173" i="11"/>
  <c r="J173" i="11"/>
  <c r="L173" i="11"/>
  <c r="H174" i="11"/>
  <c r="I174" i="11"/>
  <c r="J174" i="11"/>
  <c r="H175" i="11"/>
  <c r="I175" i="11"/>
  <c r="L175" i="11" s="1"/>
  <c r="J175" i="11"/>
  <c r="H176" i="11"/>
  <c r="L176" i="11" s="1"/>
  <c r="I176" i="11"/>
  <c r="J176" i="11"/>
  <c r="H177" i="11"/>
  <c r="I177" i="11"/>
  <c r="J177" i="11"/>
  <c r="H178" i="11"/>
  <c r="I178" i="11"/>
  <c r="J178" i="11"/>
  <c r="L178" i="11"/>
  <c r="H179" i="11"/>
  <c r="I179" i="11"/>
  <c r="L179" i="11" s="1"/>
  <c r="J179" i="11"/>
  <c r="H180" i="11"/>
  <c r="I180" i="11"/>
  <c r="J180" i="11"/>
  <c r="H181" i="11"/>
  <c r="L181" i="11" s="1"/>
  <c r="I181" i="11"/>
  <c r="J181" i="11"/>
  <c r="H182" i="11"/>
  <c r="L182" i="11" s="1"/>
  <c r="I182" i="11"/>
  <c r="J182" i="11"/>
  <c r="H183" i="11"/>
  <c r="I183" i="11"/>
  <c r="J183" i="11"/>
  <c r="H184" i="11"/>
  <c r="L184" i="11" s="1"/>
  <c r="I184" i="11"/>
  <c r="J184" i="11"/>
  <c r="H185" i="11"/>
  <c r="I185" i="11"/>
  <c r="J185" i="11"/>
  <c r="L185" i="11"/>
  <c r="H186" i="11"/>
  <c r="L186" i="11" s="1"/>
  <c r="I186" i="11"/>
  <c r="J186" i="11"/>
  <c r="H187" i="11"/>
  <c r="L187" i="11" s="1"/>
  <c r="I187" i="11"/>
  <c r="J187" i="11"/>
  <c r="H188" i="11"/>
  <c r="I188" i="11"/>
  <c r="L188" i="11" s="1"/>
  <c r="J188" i="11"/>
  <c r="H189" i="11"/>
  <c r="L189" i="11" s="1"/>
  <c r="I189" i="11"/>
  <c r="J189" i="11"/>
  <c r="H190" i="11"/>
  <c r="I190" i="11"/>
  <c r="J190" i="11"/>
  <c r="L190" i="11"/>
  <c r="H191" i="11"/>
  <c r="I191" i="11"/>
  <c r="J191" i="11"/>
  <c r="L191" i="11"/>
  <c r="H192" i="11"/>
  <c r="I192" i="11"/>
  <c r="J192" i="11"/>
  <c r="H193" i="11"/>
  <c r="I193" i="11"/>
  <c r="J193" i="11"/>
  <c r="L193" i="11"/>
  <c r="H194" i="11"/>
  <c r="L194" i="11" s="1"/>
  <c r="I194" i="11"/>
  <c r="J194" i="11"/>
  <c r="H195" i="11"/>
  <c r="I195" i="11"/>
  <c r="J195" i="11"/>
  <c r="H196" i="11"/>
  <c r="I196" i="11"/>
  <c r="J196" i="11"/>
  <c r="L196" i="11"/>
  <c r="H197" i="11"/>
  <c r="L197" i="11" s="1"/>
  <c r="I197" i="11"/>
  <c r="J197" i="11"/>
  <c r="H198" i="11"/>
  <c r="I198" i="11"/>
  <c r="J198" i="11"/>
  <c r="H199" i="11"/>
  <c r="L199" i="11" s="1"/>
  <c r="I199" i="11"/>
  <c r="J199" i="11"/>
  <c r="H200" i="11"/>
  <c r="L200" i="11" s="1"/>
  <c r="I200" i="11"/>
  <c r="J200" i="11"/>
  <c r="H201" i="11"/>
  <c r="I201" i="11"/>
  <c r="J201" i="11"/>
  <c r="H202" i="11"/>
  <c r="I202" i="11"/>
  <c r="L202" i="11" s="1"/>
  <c r="J202" i="11"/>
  <c r="H203" i="11"/>
  <c r="I203" i="11"/>
  <c r="J203" i="11"/>
  <c r="L203" i="11"/>
  <c r="H204" i="11"/>
  <c r="I204" i="11"/>
  <c r="J204" i="11"/>
  <c r="H205" i="11"/>
  <c r="L205" i="11" s="1"/>
  <c r="I205" i="11"/>
  <c r="J205" i="11"/>
  <c r="H206" i="11"/>
  <c r="I206" i="11"/>
  <c r="J206" i="11"/>
  <c r="L206" i="11"/>
  <c r="H207" i="11"/>
  <c r="L207" i="11" s="1"/>
  <c r="I207" i="11"/>
  <c r="J207" i="11"/>
  <c r="H208" i="11"/>
  <c r="I208" i="11"/>
  <c r="J208" i="11"/>
  <c r="L208" i="11"/>
  <c r="H209" i="11"/>
  <c r="I209" i="11"/>
  <c r="J209" i="11"/>
  <c r="L209" i="11"/>
  <c r="H210" i="11"/>
  <c r="I210" i="11"/>
  <c r="J210" i="11"/>
  <c r="H211" i="11"/>
  <c r="I211" i="11"/>
  <c r="L211" i="11" s="1"/>
  <c r="J211" i="11"/>
  <c r="H212" i="11"/>
  <c r="L212" i="11" s="1"/>
  <c r="I212" i="11"/>
  <c r="J212" i="11"/>
  <c r="H213" i="11"/>
  <c r="I213" i="11"/>
  <c r="J213" i="11"/>
  <c r="H214" i="11"/>
  <c r="I214" i="11"/>
  <c r="J214" i="11"/>
  <c r="L214" i="11"/>
  <c r="H215" i="11"/>
  <c r="I215" i="11"/>
  <c r="L215" i="11" s="1"/>
  <c r="J215" i="11"/>
  <c r="H216" i="11"/>
  <c r="I216" i="11"/>
  <c r="J216" i="11"/>
  <c r="H217" i="11"/>
  <c r="L217" i="11" s="1"/>
  <c r="I217" i="11"/>
  <c r="J217" i="11"/>
  <c r="H218" i="11"/>
  <c r="L218" i="11" s="1"/>
  <c r="I218" i="11"/>
  <c r="J218" i="11"/>
  <c r="H219" i="11"/>
  <c r="I219" i="11"/>
  <c r="J219" i="11"/>
  <c r="H220" i="11"/>
  <c r="L220" i="11" s="1"/>
  <c r="I220" i="11"/>
  <c r="J220" i="11"/>
  <c r="H221" i="11"/>
  <c r="I221" i="11"/>
  <c r="J221" i="11"/>
  <c r="L221" i="11"/>
  <c r="H222" i="11"/>
  <c r="L222" i="11" s="1"/>
  <c r="I222" i="11"/>
  <c r="J222" i="11"/>
  <c r="H223" i="11"/>
  <c r="L223" i="11" s="1"/>
  <c r="I223" i="11"/>
  <c r="J223" i="11"/>
  <c r="H224" i="11"/>
  <c r="I224" i="11"/>
  <c r="L224" i="11" s="1"/>
  <c r="J224" i="11"/>
  <c r="H225" i="11"/>
  <c r="L225" i="11" s="1"/>
  <c r="I225" i="11"/>
  <c r="J225" i="11"/>
  <c r="H226" i="11"/>
  <c r="I226" i="11"/>
  <c r="J226" i="11"/>
  <c r="L226" i="11"/>
  <c r="H227" i="11"/>
  <c r="I227" i="11"/>
  <c r="J227" i="11"/>
  <c r="L227" i="11"/>
  <c r="H228" i="11"/>
  <c r="I228" i="11"/>
  <c r="J228" i="11"/>
  <c r="H229" i="11"/>
  <c r="I229" i="11"/>
  <c r="J229" i="11"/>
  <c r="L229" i="11"/>
  <c r="H230" i="11"/>
  <c r="L230" i="11" s="1"/>
  <c r="I230" i="11"/>
  <c r="J230" i="11"/>
  <c r="H231" i="11"/>
  <c r="I231" i="11"/>
  <c r="J231" i="11"/>
  <c r="H232" i="11"/>
  <c r="I232" i="11"/>
  <c r="J232" i="11"/>
  <c r="L232" i="11"/>
  <c r="H233" i="11"/>
  <c r="L233" i="11" s="1"/>
  <c r="I233" i="11"/>
  <c r="J233" i="11"/>
  <c r="H234" i="11"/>
  <c r="I234" i="11"/>
  <c r="J234" i="11"/>
  <c r="H235" i="11"/>
  <c r="L235" i="11" s="1"/>
  <c r="I235" i="11"/>
  <c r="J235" i="11"/>
  <c r="H236" i="11"/>
  <c r="L236" i="11" s="1"/>
  <c r="I236" i="11"/>
  <c r="J236" i="11"/>
  <c r="H237" i="11"/>
  <c r="I237" i="11"/>
  <c r="J237" i="11"/>
  <c r="H238" i="11"/>
  <c r="I238" i="11"/>
  <c r="L238" i="11" s="1"/>
  <c r="J238" i="11"/>
  <c r="H239" i="11"/>
  <c r="I239" i="11"/>
  <c r="J239" i="11"/>
  <c r="L239" i="11"/>
  <c r="H240" i="11"/>
  <c r="I240" i="11"/>
  <c r="J240" i="11"/>
  <c r="H241" i="11"/>
  <c r="L241" i="11" s="1"/>
  <c r="I241" i="11"/>
  <c r="J241" i="11"/>
  <c r="H242" i="11"/>
  <c r="I242" i="11"/>
  <c r="J242" i="11"/>
  <c r="L242" i="11"/>
  <c r="H243" i="11"/>
  <c r="L243" i="11" s="1"/>
  <c r="I243" i="11"/>
  <c r="J243" i="11"/>
  <c r="H244" i="11"/>
  <c r="I244" i="11"/>
  <c r="J244" i="11"/>
  <c r="L244" i="11"/>
  <c r="H245" i="11"/>
  <c r="I245" i="11"/>
  <c r="J245" i="11"/>
  <c r="L245" i="11"/>
  <c r="H246" i="11"/>
  <c r="I246" i="11"/>
  <c r="J246" i="11"/>
  <c r="H247" i="11"/>
  <c r="I247" i="11"/>
  <c r="L247" i="11" s="1"/>
  <c r="J247" i="11"/>
  <c r="H248" i="11"/>
  <c r="L248" i="11" s="1"/>
  <c r="I248" i="11"/>
  <c r="J248" i="11"/>
  <c r="H249" i="11"/>
  <c r="I249" i="11"/>
  <c r="J249" i="11"/>
  <c r="H250" i="11"/>
  <c r="I250" i="11"/>
  <c r="J250" i="11"/>
  <c r="L250" i="11"/>
  <c r="H251" i="11"/>
  <c r="I251" i="11"/>
  <c r="L251" i="11" s="1"/>
  <c r="J251" i="11"/>
  <c r="H252" i="11"/>
  <c r="I252" i="11"/>
  <c r="J252" i="11"/>
  <c r="H253" i="11"/>
  <c r="L253" i="11" s="1"/>
  <c r="I253" i="11"/>
  <c r="J253" i="11"/>
  <c r="H254" i="11"/>
  <c r="L254" i="11" s="1"/>
  <c r="I254" i="11"/>
  <c r="J254" i="11"/>
  <c r="H255" i="11"/>
  <c r="I255" i="11"/>
  <c r="J255" i="11"/>
  <c r="H256" i="11"/>
  <c r="L256" i="11" s="1"/>
  <c r="I256" i="11"/>
  <c r="J256" i="11"/>
  <c r="H257" i="11"/>
  <c r="I257" i="11"/>
  <c r="J257" i="11"/>
  <c r="L257" i="11"/>
  <c r="H258" i="11"/>
  <c r="I258" i="11"/>
  <c r="J258" i="11"/>
  <c r="L258" i="11"/>
  <c r="H259" i="11"/>
  <c r="L259" i="11" s="1"/>
  <c r="I259" i="11"/>
  <c r="J259" i="11"/>
  <c r="H260" i="11"/>
  <c r="I260" i="11"/>
  <c r="J260" i="11"/>
  <c r="L260" i="11"/>
  <c r="H261" i="11"/>
  <c r="I261" i="11"/>
  <c r="J261" i="11"/>
  <c r="L261" i="11"/>
  <c r="H262" i="11"/>
  <c r="L262" i="11" s="1"/>
  <c r="I262" i="11"/>
  <c r="J262" i="11"/>
  <c r="H263" i="11"/>
  <c r="I263" i="11"/>
  <c r="J263" i="11"/>
  <c r="L263" i="11"/>
  <c r="H264" i="11"/>
  <c r="I264" i="11"/>
  <c r="J264" i="11"/>
  <c r="L264" i="11"/>
  <c r="H265" i="11"/>
  <c r="L265" i="11" s="1"/>
  <c r="I265" i="11"/>
  <c r="J265" i="11"/>
  <c r="H266" i="11"/>
  <c r="I266" i="11"/>
  <c r="J266" i="11"/>
  <c r="L266" i="11"/>
  <c r="H267" i="11"/>
  <c r="I267" i="11"/>
  <c r="J267" i="11"/>
  <c r="L267" i="11"/>
  <c r="H268" i="11"/>
  <c r="L268" i="11" s="1"/>
  <c r="I268" i="11"/>
  <c r="J268" i="11"/>
  <c r="H269" i="11"/>
  <c r="I269" i="11"/>
  <c r="J269" i="11"/>
  <c r="L269" i="11"/>
  <c r="H270" i="11"/>
  <c r="I270" i="11"/>
  <c r="J270" i="11"/>
  <c r="L270" i="11"/>
  <c r="H271" i="11"/>
  <c r="L271" i="11" s="1"/>
  <c r="I271" i="11"/>
  <c r="J271" i="11"/>
  <c r="H272" i="11"/>
  <c r="I272" i="11"/>
  <c r="J272" i="11"/>
  <c r="L272" i="11"/>
  <c r="H273" i="11"/>
  <c r="I273" i="11"/>
  <c r="J273" i="11"/>
  <c r="L273" i="11"/>
  <c r="H274" i="11"/>
  <c r="L274" i="11" s="1"/>
  <c r="I274" i="11"/>
  <c r="J274" i="11"/>
  <c r="H275" i="11"/>
  <c r="I275" i="11"/>
  <c r="J275" i="11"/>
  <c r="L275" i="11"/>
  <c r="H276" i="11"/>
  <c r="I276" i="11"/>
  <c r="J276" i="11"/>
  <c r="L276" i="11"/>
  <c r="H277" i="11"/>
  <c r="L277" i="11" s="1"/>
  <c r="I277" i="11"/>
  <c r="J277" i="11"/>
  <c r="H278" i="11"/>
  <c r="I278" i="11"/>
  <c r="J278" i="11"/>
  <c r="L278" i="11"/>
  <c r="H279" i="11"/>
  <c r="I279" i="11"/>
  <c r="J279" i="11"/>
  <c r="L279" i="11"/>
  <c r="H280" i="11"/>
  <c r="L280" i="11" s="1"/>
  <c r="I280" i="11"/>
  <c r="J280" i="11"/>
  <c r="H281" i="11"/>
  <c r="I281" i="11"/>
  <c r="J281" i="11"/>
  <c r="L281" i="11"/>
  <c r="H282" i="11"/>
  <c r="I282" i="11"/>
  <c r="J282" i="11"/>
  <c r="L282" i="11"/>
  <c r="H283" i="11"/>
  <c r="L283" i="11" s="1"/>
  <c r="I283" i="11"/>
  <c r="J283" i="11"/>
  <c r="H284" i="11"/>
  <c r="I284" i="11"/>
  <c r="J284" i="11"/>
  <c r="L284" i="11"/>
  <c r="H285" i="11"/>
  <c r="I285" i="11"/>
  <c r="J285" i="11"/>
  <c r="L285" i="11"/>
  <c r="H286" i="11"/>
  <c r="L286" i="11" s="1"/>
  <c r="I286" i="11"/>
  <c r="J286" i="11"/>
  <c r="H287" i="11"/>
  <c r="I287" i="11"/>
  <c r="J287" i="11"/>
  <c r="L287" i="11"/>
  <c r="H288" i="11"/>
  <c r="I288" i="11"/>
  <c r="J288" i="11"/>
  <c r="L288" i="11"/>
  <c r="H289" i="11"/>
  <c r="L289" i="11" s="1"/>
  <c r="I289" i="11"/>
  <c r="J289" i="11"/>
  <c r="H290" i="11"/>
  <c r="I290" i="11"/>
  <c r="J290" i="11"/>
  <c r="L290" i="11"/>
  <c r="H291" i="11"/>
  <c r="I291" i="11"/>
  <c r="J291" i="11"/>
  <c r="L291" i="11"/>
  <c r="H292" i="11"/>
  <c r="L292" i="11" s="1"/>
  <c r="I292" i="11"/>
  <c r="J292" i="11"/>
  <c r="H293" i="11"/>
  <c r="I293" i="11"/>
  <c r="J293" i="11"/>
  <c r="L293" i="11"/>
  <c r="H294" i="11"/>
  <c r="I294" i="11"/>
  <c r="J294" i="11"/>
  <c r="L294" i="11"/>
  <c r="H295" i="11"/>
  <c r="L295" i="11" s="1"/>
  <c r="I295" i="11"/>
  <c r="J295" i="11"/>
  <c r="H296" i="11"/>
  <c r="I296" i="11"/>
  <c r="J296" i="11"/>
  <c r="L296" i="11"/>
  <c r="H297" i="11"/>
  <c r="I297" i="11"/>
  <c r="J297" i="11"/>
  <c r="L297" i="11"/>
  <c r="H298" i="11"/>
  <c r="L298" i="11" s="1"/>
  <c r="I298" i="11"/>
  <c r="J298" i="11"/>
  <c r="H299" i="11"/>
  <c r="I299" i="11"/>
  <c r="J299" i="11"/>
  <c r="L299" i="11"/>
  <c r="H300" i="11"/>
  <c r="I300" i="11"/>
  <c r="J300" i="11"/>
  <c r="L300" i="11"/>
  <c r="H301" i="11"/>
  <c r="L301" i="11" s="1"/>
  <c r="I301" i="11"/>
  <c r="J301" i="11"/>
  <c r="H302" i="11"/>
  <c r="I302" i="11"/>
  <c r="J302" i="11"/>
  <c r="L302" i="11"/>
  <c r="H303" i="11"/>
  <c r="I303" i="11"/>
  <c r="J303" i="11"/>
  <c r="L303" i="11"/>
  <c r="H304" i="11"/>
  <c r="L304" i="11" s="1"/>
  <c r="I304" i="11"/>
  <c r="J304" i="11"/>
  <c r="H305" i="11"/>
  <c r="I305" i="11"/>
  <c r="J305" i="11"/>
  <c r="L305" i="11"/>
  <c r="H306" i="11"/>
  <c r="I306" i="11"/>
  <c r="J306" i="11"/>
  <c r="L306" i="11"/>
  <c r="H307" i="11"/>
  <c r="L307" i="11" s="1"/>
  <c r="I307" i="11"/>
  <c r="J307" i="11"/>
  <c r="H308" i="11"/>
  <c r="I308" i="11"/>
  <c r="J308" i="11"/>
  <c r="L308" i="11"/>
  <c r="H309" i="11"/>
  <c r="I309" i="11"/>
  <c r="J309" i="11"/>
  <c r="L309" i="11"/>
  <c r="H310" i="11"/>
  <c r="L310" i="11" s="1"/>
  <c r="I310" i="11"/>
  <c r="J310" i="11"/>
  <c r="H311" i="11"/>
  <c r="I311" i="11"/>
  <c r="J311" i="11"/>
  <c r="L311" i="11"/>
  <c r="H312" i="11"/>
  <c r="I312" i="11"/>
  <c r="J312" i="11"/>
  <c r="L312" i="11"/>
  <c r="H313" i="11"/>
  <c r="L313" i="11" s="1"/>
  <c r="I313" i="11"/>
  <c r="J313" i="11"/>
  <c r="H314" i="11"/>
  <c r="I314" i="11"/>
  <c r="J314" i="11"/>
  <c r="L314" i="11"/>
  <c r="H315" i="11"/>
  <c r="I315" i="11"/>
  <c r="J315" i="11"/>
  <c r="L315" i="11"/>
  <c r="H316" i="11"/>
  <c r="L316" i="11" s="1"/>
  <c r="I316" i="11"/>
  <c r="J316" i="11"/>
  <c r="H317" i="11"/>
  <c r="I317" i="11"/>
  <c r="J317" i="11"/>
  <c r="L317" i="11"/>
  <c r="H318" i="11"/>
  <c r="I318" i="11"/>
  <c r="J318" i="11"/>
  <c r="L318" i="11"/>
  <c r="H319" i="11"/>
  <c r="L319" i="11" s="1"/>
  <c r="I319" i="11"/>
  <c r="J319" i="11"/>
  <c r="H320" i="11"/>
  <c r="I320" i="11"/>
  <c r="J320" i="11"/>
  <c r="L320" i="11"/>
  <c r="H321" i="11"/>
  <c r="I321" i="11"/>
  <c r="J321" i="11"/>
  <c r="L321" i="11"/>
  <c r="H322" i="11"/>
  <c r="L322" i="11" s="1"/>
  <c r="I322" i="11"/>
  <c r="J322" i="11"/>
  <c r="H323" i="11"/>
  <c r="I323" i="11"/>
  <c r="J323" i="11"/>
  <c r="L323" i="11"/>
  <c r="H324" i="11"/>
  <c r="I324" i="11"/>
  <c r="J324" i="11"/>
  <c r="L324" i="11"/>
  <c r="H325" i="11"/>
  <c r="L325" i="11" s="1"/>
  <c r="I325" i="11"/>
  <c r="J325" i="11"/>
  <c r="H326" i="11"/>
  <c r="I326" i="11"/>
  <c r="J326" i="11"/>
  <c r="L326" i="11"/>
  <c r="H327" i="11"/>
  <c r="I327" i="11"/>
  <c r="J327" i="11"/>
  <c r="L327" i="11"/>
  <c r="H328" i="11"/>
  <c r="L328" i="11" s="1"/>
  <c r="I328" i="11"/>
  <c r="J328" i="11"/>
  <c r="H329" i="11"/>
  <c r="I329" i="11"/>
  <c r="J329" i="11"/>
  <c r="L329" i="11"/>
  <c r="H330" i="11"/>
  <c r="I330" i="11"/>
  <c r="J330" i="11"/>
  <c r="L330" i="11"/>
  <c r="H331" i="11"/>
  <c r="L331" i="11" s="1"/>
  <c r="I331" i="11"/>
  <c r="J331" i="11"/>
  <c r="H332" i="11"/>
  <c r="I332" i="11"/>
  <c r="J332" i="11"/>
  <c r="L332" i="11"/>
  <c r="H333" i="11"/>
  <c r="I333" i="11"/>
  <c r="J333" i="11"/>
  <c r="L333" i="11"/>
  <c r="H334" i="11"/>
  <c r="L334" i="11" s="1"/>
  <c r="I334" i="11"/>
  <c r="J334" i="11"/>
  <c r="H335" i="11"/>
  <c r="I335" i="11"/>
  <c r="J335" i="11"/>
  <c r="L335" i="11"/>
  <c r="H336" i="11"/>
  <c r="I336" i="11"/>
  <c r="J336" i="11"/>
  <c r="L336" i="11"/>
  <c r="H337" i="11"/>
  <c r="L337" i="11" s="1"/>
  <c r="I337" i="11"/>
  <c r="J337" i="11"/>
  <c r="H338" i="11"/>
  <c r="I338" i="11"/>
  <c r="J338" i="11"/>
  <c r="L338" i="11"/>
  <c r="H339" i="11"/>
  <c r="I339" i="11"/>
  <c r="J339" i="11"/>
  <c r="L339" i="11"/>
  <c r="H340" i="11"/>
  <c r="L340" i="11" s="1"/>
  <c r="I340" i="11"/>
  <c r="J340" i="11"/>
  <c r="J2" i="11"/>
  <c r="H2" i="11"/>
  <c r="I2" i="11"/>
  <c r="F343" i="11"/>
  <c r="P330" i="11" s="1"/>
  <c r="N122" i="11"/>
  <c r="F343" i="10"/>
  <c r="G340" i="10" s="1"/>
  <c r="G339" i="10"/>
  <c r="G332" i="10"/>
  <c r="G327" i="10"/>
  <c r="G323" i="10"/>
  <c r="G320" i="10"/>
  <c r="G316" i="10"/>
  <c r="G315" i="10"/>
  <c r="G311" i="10"/>
  <c r="G308" i="10"/>
  <c r="G307" i="10"/>
  <c r="G304" i="10"/>
  <c r="G303" i="10"/>
  <c r="G300" i="10"/>
  <c r="G299" i="10"/>
  <c r="G296" i="10"/>
  <c r="G295" i="10"/>
  <c r="G293" i="10"/>
  <c r="G292" i="10"/>
  <c r="G291" i="10"/>
  <c r="G288" i="10"/>
  <c r="G287" i="10"/>
  <c r="G286" i="10"/>
  <c r="G284" i="10"/>
  <c r="G283" i="10"/>
  <c r="G281" i="10"/>
  <c r="G280" i="10"/>
  <c r="G279" i="10"/>
  <c r="G276" i="10"/>
  <c r="G275" i="10"/>
  <c r="G274" i="10"/>
  <c r="G272" i="10"/>
  <c r="G271" i="10"/>
  <c r="G269" i="10"/>
  <c r="G268" i="10"/>
  <c r="G267" i="10"/>
  <c r="G264" i="10"/>
  <c r="G263" i="10"/>
  <c r="G262" i="10"/>
  <c r="G260" i="10"/>
  <c r="G259" i="10"/>
  <c r="G257" i="10"/>
  <c r="G256" i="10"/>
  <c r="G255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F343" i="3"/>
  <c r="G340" i="3" s="1"/>
  <c r="O340" i="3" s="1"/>
  <c r="K340" i="3"/>
  <c r="J340" i="3"/>
  <c r="I340" i="3"/>
  <c r="L340" i="3" s="1"/>
  <c r="K339" i="3"/>
  <c r="J339" i="3"/>
  <c r="I339" i="3"/>
  <c r="L339" i="3" s="1"/>
  <c r="K338" i="3"/>
  <c r="J338" i="3"/>
  <c r="I338" i="3"/>
  <c r="K337" i="3"/>
  <c r="J337" i="3"/>
  <c r="I337" i="3"/>
  <c r="L337" i="3" s="1"/>
  <c r="K336" i="3"/>
  <c r="J336" i="3"/>
  <c r="I336" i="3"/>
  <c r="L336" i="3" s="1"/>
  <c r="K335" i="3"/>
  <c r="J335" i="3"/>
  <c r="I335" i="3"/>
  <c r="L335" i="3" s="1"/>
  <c r="K334" i="3"/>
  <c r="J334" i="3"/>
  <c r="I334" i="3"/>
  <c r="L334" i="3" s="1"/>
  <c r="K333" i="3"/>
  <c r="J333" i="3"/>
  <c r="I333" i="3"/>
  <c r="L333" i="3" s="1"/>
  <c r="K332" i="3"/>
  <c r="J332" i="3"/>
  <c r="I332" i="3"/>
  <c r="L332" i="3" s="1"/>
  <c r="K331" i="3"/>
  <c r="J331" i="3"/>
  <c r="I331" i="3"/>
  <c r="L331" i="3" s="1"/>
  <c r="K330" i="3"/>
  <c r="J330" i="3"/>
  <c r="I330" i="3"/>
  <c r="L330" i="3" s="1"/>
  <c r="K329" i="3"/>
  <c r="J329" i="3"/>
  <c r="I329" i="3"/>
  <c r="L329" i="3" s="1"/>
  <c r="K328" i="3"/>
  <c r="J328" i="3"/>
  <c r="I328" i="3"/>
  <c r="L328" i="3" s="1"/>
  <c r="K327" i="3"/>
  <c r="J327" i="3"/>
  <c r="I327" i="3"/>
  <c r="L327" i="3" s="1"/>
  <c r="K326" i="3"/>
  <c r="J326" i="3"/>
  <c r="I326" i="3"/>
  <c r="K325" i="3"/>
  <c r="J325" i="3"/>
  <c r="I325" i="3"/>
  <c r="L325" i="3" s="1"/>
  <c r="K324" i="3"/>
  <c r="J324" i="3"/>
  <c r="I324" i="3"/>
  <c r="L324" i="3" s="1"/>
  <c r="K323" i="3"/>
  <c r="J323" i="3"/>
  <c r="I323" i="3"/>
  <c r="L323" i="3" s="1"/>
  <c r="K322" i="3"/>
  <c r="J322" i="3"/>
  <c r="I322" i="3"/>
  <c r="L322" i="3" s="1"/>
  <c r="K321" i="3"/>
  <c r="J321" i="3"/>
  <c r="I321" i="3"/>
  <c r="L321" i="3" s="1"/>
  <c r="K320" i="3"/>
  <c r="J320" i="3"/>
  <c r="I320" i="3"/>
  <c r="L320" i="3" s="1"/>
  <c r="K319" i="3"/>
  <c r="J319" i="3"/>
  <c r="I319" i="3"/>
  <c r="L319" i="3" s="1"/>
  <c r="K318" i="3"/>
  <c r="J318" i="3"/>
  <c r="I318" i="3"/>
  <c r="L318" i="3" s="1"/>
  <c r="K317" i="3"/>
  <c r="J317" i="3"/>
  <c r="I317" i="3"/>
  <c r="L317" i="3" s="1"/>
  <c r="K316" i="3"/>
  <c r="J316" i="3"/>
  <c r="I316" i="3"/>
  <c r="L316" i="3" s="1"/>
  <c r="K315" i="3"/>
  <c r="J315" i="3"/>
  <c r="I315" i="3"/>
  <c r="L315" i="3" s="1"/>
  <c r="K314" i="3"/>
  <c r="J314" i="3"/>
  <c r="I314" i="3"/>
  <c r="K313" i="3"/>
  <c r="J313" i="3"/>
  <c r="I313" i="3"/>
  <c r="L313" i="3" s="1"/>
  <c r="K312" i="3"/>
  <c r="J312" i="3"/>
  <c r="I312" i="3"/>
  <c r="L312" i="3" s="1"/>
  <c r="K311" i="3"/>
  <c r="J311" i="3"/>
  <c r="I311" i="3"/>
  <c r="L311" i="3" s="1"/>
  <c r="K310" i="3"/>
  <c r="J310" i="3"/>
  <c r="I310" i="3"/>
  <c r="L310" i="3" s="1"/>
  <c r="K309" i="3"/>
  <c r="J309" i="3"/>
  <c r="I309" i="3"/>
  <c r="L309" i="3" s="1"/>
  <c r="K308" i="3"/>
  <c r="J308" i="3"/>
  <c r="I308" i="3"/>
  <c r="L308" i="3" s="1"/>
  <c r="K307" i="3"/>
  <c r="J307" i="3"/>
  <c r="I307" i="3"/>
  <c r="L307" i="3" s="1"/>
  <c r="K306" i="3"/>
  <c r="J306" i="3"/>
  <c r="I306" i="3"/>
  <c r="L306" i="3" s="1"/>
  <c r="K305" i="3"/>
  <c r="J305" i="3"/>
  <c r="I305" i="3"/>
  <c r="L305" i="3" s="1"/>
  <c r="K304" i="3"/>
  <c r="J304" i="3"/>
  <c r="I304" i="3"/>
  <c r="L304" i="3" s="1"/>
  <c r="K303" i="3"/>
  <c r="J303" i="3"/>
  <c r="I303" i="3"/>
  <c r="L303" i="3" s="1"/>
  <c r="K302" i="3"/>
  <c r="J302" i="3"/>
  <c r="I302" i="3"/>
  <c r="K301" i="3"/>
  <c r="J301" i="3"/>
  <c r="I301" i="3"/>
  <c r="L301" i="3" s="1"/>
  <c r="K300" i="3"/>
  <c r="J300" i="3"/>
  <c r="I300" i="3"/>
  <c r="L300" i="3" s="1"/>
  <c r="K299" i="3"/>
  <c r="J299" i="3"/>
  <c r="I299" i="3"/>
  <c r="L299" i="3" s="1"/>
  <c r="K298" i="3"/>
  <c r="J298" i="3"/>
  <c r="I298" i="3"/>
  <c r="L298" i="3" s="1"/>
  <c r="K297" i="3"/>
  <c r="J297" i="3"/>
  <c r="I297" i="3"/>
  <c r="L297" i="3" s="1"/>
  <c r="K296" i="3"/>
  <c r="J296" i="3"/>
  <c r="I296" i="3"/>
  <c r="L296" i="3" s="1"/>
  <c r="K295" i="3"/>
  <c r="J295" i="3"/>
  <c r="I295" i="3"/>
  <c r="L295" i="3" s="1"/>
  <c r="K294" i="3"/>
  <c r="J294" i="3"/>
  <c r="I294" i="3"/>
  <c r="L294" i="3" s="1"/>
  <c r="K293" i="3"/>
  <c r="J293" i="3"/>
  <c r="I293" i="3"/>
  <c r="L293" i="3" s="1"/>
  <c r="K292" i="3"/>
  <c r="J292" i="3"/>
  <c r="I292" i="3"/>
  <c r="L292" i="3" s="1"/>
  <c r="K291" i="3"/>
  <c r="J291" i="3"/>
  <c r="I291" i="3"/>
  <c r="L291" i="3" s="1"/>
  <c r="K290" i="3"/>
  <c r="J290" i="3"/>
  <c r="I290" i="3"/>
  <c r="K289" i="3"/>
  <c r="J289" i="3"/>
  <c r="I289" i="3"/>
  <c r="L289" i="3" s="1"/>
  <c r="K288" i="3"/>
  <c r="J288" i="3"/>
  <c r="I288" i="3"/>
  <c r="L288" i="3" s="1"/>
  <c r="K287" i="3"/>
  <c r="J287" i="3"/>
  <c r="I287" i="3"/>
  <c r="L287" i="3" s="1"/>
  <c r="K286" i="3"/>
  <c r="J286" i="3"/>
  <c r="I286" i="3"/>
  <c r="L286" i="3" s="1"/>
  <c r="K285" i="3"/>
  <c r="J285" i="3"/>
  <c r="I285" i="3"/>
  <c r="L285" i="3" s="1"/>
  <c r="K284" i="3"/>
  <c r="J284" i="3"/>
  <c r="I284" i="3"/>
  <c r="L284" i="3" s="1"/>
  <c r="K283" i="3"/>
  <c r="J283" i="3"/>
  <c r="I283" i="3"/>
  <c r="L283" i="3" s="1"/>
  <c r="K282" i="3"/>
  <c r="J282" i="3"/>
  <c r="I282" i="3"/>
  <c r="L282" i="3" s="1"/>
  <c r="K281" i="3"/>
  <c r="J281" i="3"/>
  <c r="I281" i="3"/>
  <c r="L281" i="3" s="1"/>
  <c r="K280" i="3"/>
  <c r="J280" i="3"/>
  <c r="I280" i="3"/>
  <c r="L280" i="3" s="1"/>
  <c r="K279" i="3"/>
  <c r="J279" i="3"/>
  <c r="I279" i="3"/>
  <c r="L279" i="3" s="1"/>
  <c r="K278" i="3"/>
  <c r="J278" i="3"/>
  <c r="I278" i="3"/>
  <c r="K277" i="3"/>
  <c r="J277" i="3"/>
  <c r="I277" i="3"/>
  <c r="L277" i="3" s="1"/>
  <c r="K276" i="3"/>
  <c r="J276" i="3"/>
  <c r="I276" i="3"/>
  <c r="L276" i="3" s="1"/>
  <c r="K275" i="3"/>
  <c r="J275" i="3"/>
  <c r="I275" i="3"/>
  <c r="L275" i="3" s="1"/>
  <c r="K274" i="3"/>
  <c r="J274" i="3"/>
  <c r="I274" i="3"/>
  <c r="L274" i="3" s="1"/>
  <c r="K273" i="3"/>
  <c r="J273" i="3"/>
  <c r="I273" i="3"/>
  <c r="L273" i="3" s="1"/>
  <c r="K272" i="3"/>
  <c r="J272" i="3"/>
  <c r="I272" i="3"/>
  <c r="L272" i="3" s="1"/>
  <c r="K271" i="3"/>
  <c r="J271" i="3"/>
  <c r="I271" i="3"/>
  <c r="L271" i="3" s="1"/>
  <c r="K270" i="3"/>
  <c r="J270" i="3"/>
  <c r="I270" i="3"/>
  <c r="L270" i="3" s="1"/>
  <c r="K269" i="3"/>
  <c r="J269" i="3"/>
  <c r="I269" i="3"/>
  <c r="L269" i="3" s="1"/>
  <c r="K268" i="3"/>
  <c r="J268" i="3"/>
  <c r="I268" i="3"/>
  <c r="L268" i="3" s="1"/>
  <c r="K267" i="3"/>
  <c r="J267" i="3"/>
  <c r="I267" i="3"/>
  <c r="L267" i="3" s="1"/>
  <c r="K266" i="3"/>
  <c r="J266" i="3"/>
  <c r="I266" i="3"/>
  <c r="K265" i="3"/>
  <c r="J265" i="3"/>
  <c r="I265" i="3"/>
  <c r="L265" i="3" s="1"/>
  <c r="K264" i="3"/>
  <c r="J264" i="3"/>
  <c r="I264" i="3"/>
  <c r="L264" i="3" s="1"/>
  <c r="K263" i="3"/>
  <c r="J263" i="3"/>
  <c r="I263" i="3"/>
  <c r="L263" i="3" s="1"/>
  <c r="K262" i="3"/>
  <c r="J262" i="3"/>
  <c r="I262" i="3"/>
  <c r="L262" i="3" s="1"/>
  <c r="K261" i="3"/>
  <c r="J261" i="3"/>
  <c r="I261" i="3"/>
  <c r="L261" i="3" s="1"/>
  <c r="K260" i="3"/>
  <c r="J260" i="3"/>
  <c r="I260" i="3"/>
  <c r="L260" i="3" s="1"/>
  <c r="K259" i="3"/>
  <c r="J259" i="3"/>
  <c r="I259" i="3"/>
  <c r="L259" i="3" s="1"/>
  <c r="K258" i="3"/>
  <c r="J258" i="3"/>
  <c r="I258" i="3"/>
  <c r="L258" i="3" s="1"/>
  <c r="K257" i="3"/>
  <c r="J257" i="3"/>
  <c r="I257" i="3"/>
  <c r="L257" i="3" s="1"/>
  <c r="K256" i="3"/>
  <c r="J256" i="3"/>
  <c r="I256" i="3"/>
  <c r="L256" i="3" s="1"/>
  <c r="K255" i="3"/>
  <c r="J255" i="3"/>
  <c r="I255" i="3"/>
  <c r="L255" i="3" s="1"/>
  <c r="K254" i="3"/>
  <c r="J254" i="3"/>
  <c r="I254" i="3"/>
  <c r="K253" i="3"/>
  <c r="J253" i="3"/>
  <c r="I253" i="3"/>
  <c r="L253" i="3" s="1"/>
  <c r="K252" i="3"/>
  <c r="J252" i="3"/>
  <c r="I252" i="3"/>
  <c r="L252" i="3" s="1"/>
  <c r="K251" i="3"/>
  <c r="J251" i="3"/>
  <c r="I251" i="3"/>
  <c r="L251" i="3" s="1"/>
  <c r="K250" i="3"/>
  <c r="J250" i="3"/>
  <c r="I250" i="3"/>
  <c r="L250" i="3" s="1"/>
  <c r="K249" i="3"/>
  <c r="J249" i="3"/>
  <c r="I249" i="3"/>
  <c r="L249" i="3" s="1"/>
  <c r="K248" i="3"/>
  <c r="J248" i="3"/>
  <c r="I248" i="3"/>
  <c r="L248" i="3" s="1"/>
  <c r="K247" i="3"/>
  <c r="J247" i="3"/>
  <c r="I247" i="3"/>
  <c r="L247" i="3" s="1"/>
  <c r="K246" i="3"/>
  <c r="J246" i="3"/>
  <c r="I246" i="3"/>
  <c r="L246" i="3" s="1"/>
  <c r="K245" i="3"/>
  <c r="J245" i="3"/>
  <c r="I245" i="3"/>
  <c r="L245" i="3" s="1"/>
  <c r="K244" i="3"/>
  <c r="J244" i="3"/>
  <c r="I244" i="3"/>
  <c r="L244" i="3" s="1"/>
  <c r="K243" i="3"/>
  <c r="J243" i="3"/>
  <c r="I243" i="3"/>
  <c r="L243" i="3" s="1"/>
  <c r="K242" i="3"/>
  <c r="J242" i="3"/>
  <c r="I242" i="3"/>
  <c r="K241" i="3"/>
  <c r="J241" i="3"/>
  <c r="I241" i="3"/>
  <c r="L241" i="3" s="1"/>
  <c r="K240" i="3"/>
  <c r="J240" i="3"/>
  <c r="I240" i="3"/>
  <c r="L240" i="3" s="1"/>
  <c r="K239" i="3"/>
  <c r="J239" i="3"/>
  <c r="I239" i="3"/>
  <c r="L239" i="3" s="1"/>
  <c r="K238" i="3"/>
  <c r="J238" i="3"/>
  <c r="I238" i="3"/>
  <c r="L238" i="3" s="1"/>
  <c r="K237" i="3"/>
  <c r="J237" i="3"/>
  <c r="I237" i="3"/>
  <c r="L237" i="3" s="1"/>
  <c r="K236" i="3"/>
  <c r="J236" i="3"/>
  <c r="I236" i="3"/>
  <c r="L236" i="3" s="1"/>
  <c r="K235" i="3"/>
  <c r="J235" i="3"/>
  <c r="I235" i="3"/>
  <c r="L235" i="3" s="1"/>
  <c r="K234" i="3"/>
  <c r="J234" i="3"/>
  <c r="I234" i="3"/>
  <c r="L234" i="3" s="1"/>
  <c r="K233" i="3"/>
  <c r="J233" i="3"/>
  <c r="I233" i="3"/>
  <c r="L233" i="3" s="1"/>
  <c r="K232" i="3"/>
  <c r="J232" i="3"/>
  <c r="I232" i="3"/>
  <c r="L232" i="3" s="1"/>
  <c r="K231" i="3"/>
  <c r="J231" i="3"/>
  <c r="I231" i="3"/>
  <c r="L231" i="3" s="1"/>
  <c r="K230" i="3"/>
  <c r="J230" i="3"/>
  <c r="I230" i="3"/>
  <c r="K229" i="3"/>
  <c r="J229" i="3"/>
  <c r="I229" i="3"/>
  <c r="L229" i="3" s="1"/>
  <c r="K228" i="3"/>
  <c r="J228" i="3"/>
  <c r="I228" i="3"/>
  <c r="L228" i="3" s="1"/>
  <c r="K227" i="3"/>
  <c r="J227" i="3"/>
  <c r="I227" i="3"/>
  <c r="L227" i="3" s="1"/>
  <c r="K226" i="3"/>
  <c r="J226" i="3"/>
  <c r="I226" i="3"/>
  <c r="L226" i="3" s="1"/>
  <c r="K225" i="3"/>
  <c r="J225" i="3"/>
  <c r="I225" i="3"/>
  <c r="L225" i="3" s="1"/>
  <c r="K224" i="3"/>
  <c r="J224" i="3"/>
  <c r="I224" i="3"/>
  <c r="L224" i="3" s="1"/>
  <c r="K223" i="3"/>
  <c r="J223" i="3"/>
  <c r="I223" i="3"/>
  <c r="L223" i="3" s="1"/>
  <c r="K222" i="3"/>
  <c r="J222" i="3"/>
  <c r="I222" i="3"/>
  <c r="L222" i="3" s="1"/>
  <c r="K221" i="3"/>
  <c r="J221" i="3"/>
  <c r="I221" i="3"/>
  <c r="L221" i="3" s="1"/>
  <c r="K220" i="3"/>
  <c r="J220" i="3"/>
  <c r="I220" i="3"/>
  <c r="L220" i="3" s="1"/>
  <c r="K219" i="3"/>
  <c r="J219" i="3"/>
  <c r="I219" i="3"/>
  <c r="L219" i="3" s="1"/>
  <c r="K218" i="3"/>
  <c r="J218" i="3"/>
  <c r="I218" i="3"/>
  <c r="K217" i="3"/>
  <c r="J217" i="3"/>
  <c r="I217" i="3"/>
  <c r="L217" i="3" s="1"/>
  <c r="K216" i="3"/>
  <c r="J216" i="3"/>
  <c r="I216" i="3"/>
  <c r="L216" i="3" s="1"/>
  <c r="K215" i="3"/>
  <c r="J215" i="3"/>
  <c r="I215" i="3"/>
  <c r="L215" i="3" s="1"/>
  <c r="K214" i="3"/>
  <c r="J214" i="3"/>
  <c r="I214" i="3"/>
  <c r="L214" i="3" s="1"/>
  <c r="K213" i="3"/>
  <c r="J213" i="3"/>
  <c r="I213" i="3"/>
  <c r="L213" i="3" s="1"/>
  <c r="K212" i="3"/>
  <c r="J212" i="3"/>
  <c r="I212" i="3"/>
  <c r="L212" i="3" s="1"/>
  <c r="K211" i="3"/>
  <c r="J211" i="3"/>
  <c r="I211" i="3"/>
  <c r="L211" i="3" s="1"/>
  <c r="K210" i="3"/>
  <c r="J210" i="3"/>
  <c r="I210" i="3"/>
  <c r="L210" i="3" s="1"/>
  <c r="K209" i="3"/>
  <c r="J209" i="3"/>
  <c r="I209" i="3"/>
  <c r="L209" i="3" s="1"/>
  <c r="K208" i="3"/>
  <c r="J208" i="3"/>
  <c r="I208" i="3"/>
  <c r="L208" i="3" s="1"/>
  <c r="K207" i="3"/>
  <c r="J207" i="3"/>
  <c r="I207" i="3"/>
  <c r="L207" i="3" s="1"/>
  <c r="K206" i="3"/>
  <c r="J206" i="3"/>
  <c r="I206" i="3"/>
  <c r="K205" i="3"/>
  <c r="J205" i="3"/>
  <c r="I205" i="3"/>
  <c r="L205" i="3" s="1"/>
  <c r="K204" i="3"/>
  <c r="J204" i="3"/>
  <c r="I204" i="3"/>
  <c r="L204" i="3" s="1"/>
  <c r="K203" i="3"/>
  <c r="J203" i="3"/>
  <c r="I203" i="3"/>
  <c r="L203" i="3" s="1"/>
  <c r="K202" i="3"/>
  <c r="J202" i="3"/>
  <c r="I202" i="3"/>
  <c r="L202" i="3" s="1"/>
  <c r="K201" i="3"/>
  <c r="J201" i="3"/>
  <c r="I201" i="3"/>
  <c r="L201" i="3" s="1"/>
  <c r="K200" i="3"/>
  <c r="J200" i="3"/>
  <c r="I200" i="3"/>
  <c r="L200" i="3" s="1"/>
  <c r="K199" i="3"/>
  <c r="J199" i="3"/>
  <c r="I199" i="3"/>
  <c r="L199" i="3" s="1"/>
  <c r="K198" i="3"/>
  <c r="J198" i="3"/>
  <c r="I198" i="3"/>
  <c r="L198" i="3" s="1"/>
  <c r="K197" i="3"/>
  <c r="J197" i="3"/>
  <c r="I197" i="3"/>
  <c r="L197" i="3" s="1"/>
  <c r="K196" i="3"/>
  <c r="J196" i="3"/>
  <c r="I196" i="3"/>
  <c r="L196" i="3" s="1"/>
  <c r="K195" i="3"/>
  <c r="J195" i="3"/>
  <c r="I195" i="3"/>
  <c r="L195" i="3" s="1"/>
  <c r="K194" i="3"/>
  <c r="J194" i="3"/>
  <c r="I194" i="3"/>
  <c r="K193" i="3"/>
  <c r="J193" i="3"/>
  <c r="I193" i="3"/>
  <c r="L193" i="3" s="1"/>
  <c r="K192" i="3"/>
  <c r="J192" i="3"/>
  <c r="I192" i="3"/>
  <c r="L192" i="3" s="1"/>
  <c r="K191" i="3"/>
  <c r="J191" i="3"/>
  <c r="I191" i="3"/>
  <c r="L191" i="3" s="1"/>
  <c r="K190" i="3"/>
  <c r="J190" i="3"/>
  <c r="I190" i="3"/>
  <c r="L190" i="3" s="1"/>
  <c r="K189" i="3"/>
  <c r="J189" i="3"/>
  <c r="I189" i="3"/>
  <c r="L189" i="3" s="1"/>
  <c r="K188" i="3"/>
  <c r="J188" i="3"/>
  <c r="I188" i="3"/>
  <c r="L188" i="3" s="1"/>
  <c r="K187" i="3"/>
  <c r="J187" i="3"/>
  <c r="I187" i="3"/>
  <c r="L187" i="3" s="1"/>
  <c r="K186" i="3"/>
  <c r="J186" i="3"/>
  <c r="I186" i="3"/>
  <c r="L186" i="3" s="1"/>
  <c r="K185" i="3"/>
  <c r="J185" i="3"/>
  <c r="I185" i="3"/>
  <c r="L185" i="3" s="1"/>
  <c r="K184" i="3"/>
  <c r="J184" i="3"/>
  <c r="I184" i="3"/>
  <c r="L184" i="3" s="1"/>
  <c r="K183" i="3"/>
  <c r="J183" i="3"/>
  <c r="I183" i="3"/>
  <c r="L183" i="3" s="1"/>
  <c r="K182" i="3"/>
  <c r="J182" i="3"/>
  <c r="I182" i="3"/>
  <c r="K181" i="3"/>
  <c r="J181" i="3"/>
  <c r="I181" i="3"/>
  <c r="L181" i="3" s="1"/>
  <c r="K180" i="3"/>
  <c r="J180" i="3"/>
  <c r="I180" i="3"/>
  <c r="L180" i="3" s="1"/>
  <c r="K179" i="3"/>
  <c r="J179" i="3"/>
  <c r="I179" i="3"/>
  <c r="L179" i="3" s="1"/>
  <c r="K178" i="3"/>
  <c r="J178" i="3"/>
  <c r="I178" i="3"/>
  <c r="L178" i="3" s="1"/>
  <c r="K177" i="3"/>
  <c r="J177" i="3"/>
  <c r="I177" i="3"/>
  <c r="L177" i="3" s="1"/>
  <c r="K176" i="3"/>
  <c r="J176" i="3"/>
  <c r="I176" i="3"/>
  <c r="L176" i="3" s="1"/>
  <c r="K175" i="3"/>
  <c r="J175" i="3"/>
  <c r="I175" i="3"/>
  <c r="L175" i="3" s="1"/>
  <c r="K174" i="3"/>
  <c r="J174" i="3"/>
  <c r="I174" i="3"/>
  <c r="L174" i="3" s="1"/>
  <c r="K173" i="3"/>
  <c r="J173" i="3"/>
  <c r="I173" i="3"/>
  <c r="L173" i="3" s="1"/>
  <c r="K172" i="3"/>
  <c r="J172" i="3"/>
  <c r="I172" i="3"/>
  <c r="L172" i="3" s="1"/>
  <c r="K171" i="3"/>
  <c r="J171" i="3"/>
  <c r="I171" i="3"/>
  <c r="L171" i="3" s="1"/>
  <c r="K170" i="3"/>
  <c r="J170" i="3"/>
  <c r="I170" i="3"/>
  <c r="K169" i="3"/>
  <c r="J169" i="3"/>
  <c r="I169" i="3"/>
  <c r="L169" i="3" s="1"/>
  <c r="K168" i="3"/>
  <c r="J168" i="3"/>
  <c r="I168" i="3"/>
  <c r="L168" i="3" s="1"/>
  <c r="K167" i="3"/>
  <c r="J167" i="3"/>
  <c r="I167" i="3"/>
  <c r="L167" i="3" s="1"/>
  <c r="K166" i="3"/>
  <c r="J166" i="3"/>
  <c r="I166" i="3"/>
  <c r="L166" i="3" s="1"/>
  <c r="K165" i="3"/>
  <c r="J165" i="3"/>
  <c r="I165" i="3"/>
  <c r="L165" i="3" s="1"/>
  <c r="K164" i="3"/>
  <c r="J164" i="3"/>
  <c r="I164" i="3"/>
  <c r="L164" i="3" s="1"/>
  <c r="K163" i="3"/>
  <c r="J163" i="3"/>
  <c r="I163" i="3"/>
  <c r="L163" i="3" s="1"/>
  <c r="K162" i="3"/>
  <c r="J162" i="3"/>
  <c r="I162" i="3"/>
  <c r="L162" i="3" s="1"/>
  <c r="K161" i="3"/>
  <c r="J161" i="3"/>
  <c r="I161" i="3"/>
  <c r="L161" i="3" s="1"/>
  <c r="K160" i="3"/>
  <c r="J160" i="3"/>
  <c r="I160" i="3"/>
  <c r="L160" i="3" s="1"/>
  <c r="K159" i="3"/>
  <c r="J159" i="3"/>
  <c r="I159" i="3"/>
  <c r="L159" i="3" s="1"/>
  <c r="K158" i="3"/>
  <c r="J158" i="3"/>
  <c r="I158" i="3"/>
  <c r="K157" i="3"/>
  <c r="J157" i="3"/>
  <c r="I157" i="3"/>
  <c r="L157" i="3" s="1"/>
  <c r="K156" i="3"/>
  <c r="J156" i="3"/>
  <c r="I156" i="3"/>
  <c r="L156" i="3" s="1"/>
  <c r="K155" i="3"/>
  <c r="J155" i="3"/>
  <c r="I155" i="3"/>
  <c r="L155" i="3" s="1"/>
  <c r="K154" i="3"/>
  <c r="J154" i="3"/>
  <c r="I154" i="3"/>
  <c r="L154" i="3" s="1"/>
  <c r="K153" i="3"/>
  <c r="J153" i="3"/>
  <c r="I153" i="3"/>
  <c r="L153" i="3" s="1"/>
  <c r="K152" i="3"/>
  <c r="J152" i="3"/>
  <c r="I152" i="3"/>
  <c r="L152" i="3" s="1"/>
  <c r="K151" i="3"/>
  <c r="J151" i="3"/>
  <c r="I151" i="3"/>
  <c r="L151" i="3" s="1"/>
  <c r="K150" i="3"/>
  <c r="J150" i="3"/>
  <c r="I150" i="3"/>
  <c r="L150" i="3" s="1"/>
  <c r="K149" i="3"/>
  <c r="J149" i="3"/>
  <c r="I149" i="3"/>
  <c r="L149" i="3" s="1"/>
  <c r="K148" i="3"/>
  <c r="J148" i="3"/>
  <c r="I148" i="3"/>
  <c r="L148" i="3" s="1"/>
  <c r="K147" i="3"/>
  <c r="J147" i="3"/>
  <c r="I147" i="3"/>
  <c r="L147" i="3" s="1"/>
  <c r="K146" i="3"/>
  <c r="J146" i="3"/>
  <c r="I146" i="3"/>
  <c r="K145" i="3"/>
  <c r="J145" i="3"/>
  <c r="I145" i="3"/>
  <c r="L145" i="3" s="1"/>
  <c r="K144" i="3"/>
  <c r="J144" i="3"/>
  <c r="I144" i="3"/>
  <c r="L144" i="3" s="1"/>
  <c r="K143" i="3"/>
  <c r="J143" i="3"/>
  <c r="I143" i="3"/>
  <c r="L143" i="3" s="1"/>
  <c r="K142" i="3"/>
  <c r="J142" i="3"/>
  <c r="I142" i="3"/>
  <c r="L142" i="3" s="1"/>
  <c r="K141" i="3"/>
  <c r="J141" i="3"/>
  <c r="I141" i="3"/>
  <c r="L141" i="3" s="1"/>
  <c r="K140" i="3"/>
  <c r="J140" i="3"/>
  <c r="I140" i="3"/>
  <c r="L140" i="3" s="1"/>
  <c r="K139" i="3"/>
  <c r="J139" i="3"/>
  <c r="I139" i="3"/>
  <c r="L139" i="3" s="1"/>
  <c r="K138" i="3"/>
  <c r="J138" i="3"/>
  <c r="I138" i="3"/>
  <c r="L138" i="3" s="1"/>
  <c r="K137" i="3"/>
  <c r="J137" i="3"/>
  <c r="I137" i="3"/>
  <c r="L137" i="3" s="1"/>
  <c r="K136" i="3"/>
  <c r="J136" i="3"/>
  <c r="I136" i="3"/>
  <c r="L136" i="3" s="1"/>
  <c r="K135" i="3"/>
  <c r="J135" i="3"/>
  <c r="I135" i="3"/>
  <c r="L135" i="3" s="1"/>
  <c r="K134" i="3"/>
  <c r="J134" i="3"/>
  <c r="I134" i="3"/>
  <c r="K133" i="3"/>
  <c r="J133" i="3"/>
  <c r="I133" i="3"/>
  <c r="L133" i="3" s="1"/>
  <c r="K132" i="3"/>
  <c r="J132" i="3"/>
  <c r="I132" i="3"/>
  <c r="L132" i="3" s="1"/>
  <c r="K131" i="3"/>
  <c r="J131" i="3"/>
  <c r="I131" i="3"/>
  <c r="L131" i="3" s="1"/>
  <c r="K130" i="3"/>
  <c r="J130" i="3"/>
  <c r="I130" i="3"/>
  <c r="L130" i="3" s="1"/>
  <c r="K129" i="3"/>
  <c r="J129" i="3"/>
  <c r="I129" i="3"/>
  <c r="L129" i="3" s="1"/>
  <c r="K128" i="3"/>
  <c r="J128" i="3"/>
  <c r="I128" i="3"/>
  <c r="L128" i="3" s="1"/>
  <c r="K127" i="3"/>
  <c r="J127" i="3"/>
  <c r="I127" i="3"/>
  <c r="L127" i="3" s="1"/>
  <c r="K126" i="3"/>
  <c r="J126" i="3"/>
  <c r="I126" i="3"/>
  <c r="L126" i="3" s="1"/>
  <c r="K125" i="3"/>
  <c r="J125" i="3"/>
  <c r="I125" i="3"/>
  <c r="L125" i="3" s="1"/>
  <c r="K124" i="3"/>
  <c r="J124" i="3"/>
  <c r="I124" i="3"/>
  <c r="L124" i="3" s="1"/>
  <c r="K123" i="3"/>
  <c r="J123" i="3"/>
  <c r="I123" i="3"/>
  <c r="L123" i="3" s="1"/>
  <c r="K122" i="3"/>
  <c r="J122" i="3"/>
  <c r="I122" i="3"/>
  <c r="K121" i="3"/>
  <c r="J121" i="3"/>
  <c r="I121" i="3"/>
  <c r="L121" i="3" s="1"/>
  <c r="K120" i="3"/>
  <c r="J120" i="3"/>
  <c r="I120" i="3"/>
  <c r="L120" i="3" s="1"/>
  <c r="K119" i="3"/>
  <c r="J119" i="3"/>
  <c r="I119" i="3"/>
  <c r="L119" i="3" s="1"/>
  <c r="K118" i="3"/>
  <c r="J118" i="3"/>
  <c r="I118" i="3"/>
  <c r="L118" i="3" s="1"/>
  <c r="K117" i="3"/>
  <c r="J117" i="3"/>
  <c r="I117" i="3"/>
  <c r="L117" i="3" s="1"/>
  <c r="K116" i="3"/>
  <c r="J116" i="3"/>
  <c r="I116" i="3"/>
  <c r="L116" i="3" s="1"/>
  <c r="K115" i="3"/>
  <c r="J115" i="3"/>
  <c r="I115" i="3"/>
  <c r="L115" i="3" s="1"/>
  <c r="K114" i="3"/>
  <c r="J114" i="3"/>
  <c r="I114" i="3"/>
  <c r="L114" i="3" s="1"/>
  <c r="K113" i="3"/>
  <c r="J113" i="3"/>
  <c r="I113" i="3"/>
  <c r="L113" i="3" s="1"/>
  <c r="K112" i="3"/>
  <c r="J112" i="3"/>
  <c r="I112" i="3"/>
  <c r="L112" i="3" s="1"/>
  <c r="K111" i="3"/>
  <c r="J111" i="3"/>
  <c r="I111" i="3"/>
  <c r="L111" i="3" s="1"/>
  <c r="K110" i="3"/>
  <c r="J110" i="3"/>
  <c r="I110" i="3"/>
  <c r="K109" i="3"/>
  <c r="J109" i="3"/>
  <c r="I109" i="3"/>
  <c r="L109" i="3" s="1"/>
  <c r="K108" i="3"/>
  <c r="J108" i="3"/>
  <c r="I108" i="3"/>
  <c r="L108" i="3" s="1"/>
  <c r="K107" i="3"/>
  <c r="J107" i="3"/>
  <c r="I107" i="3"/>
  <c r="L107" i="3" s="1"/>
  <c r="K106" i="3"/>
  <c r="J106" i="3"/>
  <c r="I106" i="3"/>
  <c r="L106" i="3" s="1"/>
  <c r="K105" i="3"/>
  <c r="J105" i="3"/>
  <c r="I105" i="3"/>
  <c r="L105" i="3" s="1"/>
  <c r="K104" i="3"/>
  <c r="J104" i="3"/>
  <c r="I104" i="3"/>
  <c r="L104" i="3" s="1"/>
  <c r="K103" i="3"/>
  <c r="J103" i="3"/>
  <c r="I103" i="3"/>
  <c r="L103" i="3" s="1"/>
  <c r="K102" i="3"/>
  <c r="J102" i="3"/>
  <c r="I102" i="3"/>
  <c r="L102" i="3" s="1"/>
  <c r="K101" i="3"/>
  <c r="J101" i="3"/>
  <c r="I101" i="3"/>
  <c r="L101" i="3" s="1"/>
  <c r="K100" i="3"/>
  <c r="J100" i="3"/>
  <c r="I100" i="3"/>
  <c r="L100" i="3" s="1"/>
  <c r="K99" i="3"/>
  <c r="J99" i="3"/>
  <c r="I99" i="3"/>
  <c r="L99" i="3" s="1"/>
  <c r="K98" i="3"/>
  <c r="J98" i="3"/>
  <c r="I98" i="3"/>
  <c r="K97" i="3"/>
  <c r="J97" i="3"/>
  <c r="I97" i="3"/>
  <c r="L97" i="3" s="1"/>
  <c r="K96" i="3"/>
  <c r="J96" i="3"/>
  <c r="I96" i="3"/>
  <c r="L96" i="3" s="1"/>
  <c r="K95" i="3"/>
  <c r="J95" i="3"/>
  <c r="I95" i="3"/>
  <c r="L95" i="3" s="1"/>
  <c r="K94" i="3"/>
  <c r="J94" i="3"/>
  <c r="I94" i="3"/>
  <c r="L94" i="3" s="1"/>
  <c r="K93" i="3"/>
  <c r="J93" i="3"/>
  <c r="I93" i="3"/>
  <c r="L93" i="3" s="1"/>
  <c r="K92" i="3"/>
  <c r="J92" i="3"/>
  <c r="I92" i="3"/>
  <c r="L92" i="3" s="1"/>
  <c r="K91" i="3"/>
  <c r="J91" i="3"/>
  <c r="I91" i="3"/>
  <c r="L91" i="3" s="1"/>
  <c r="K90" i="3"/>
  <c r="J90" i="3"/>
  <c r="I90" i="3"/>
  <c r="L90" i="3" s="1"/>
  <c r="K89" i="3"/>
  <c r="J89" i="3"/>
  <c r="I89" i="3"/>
  <c r="L89" i="3" s="1"/>
  <c r="K88" i="3"/>
  <c r="J88" i="3"/>
  <c r="I88" i="3"/>
  <c r="L88" i="3" s="1"/>
  <c r="K87" i="3"/>
  <c r="J87" i="3"/>
  <c r="I87" i="3"/>
  <c r="L87" i="3" s="1"/>
  <c r="K86" i="3"/>
  <c r="J86" i="3"/>
  <c r="I86" i="3"/>
  <c r="K85" i="3"/>
  <c r="J85" i="3"/>
  <c r="I85" i="3"/>
  <c r="L85" i="3" s="1"/>
  <c r="K84" i="3"/>
  <c r="J84" i="3"/>
  <c r="I84" i="3"/>
  <c r="L84" i="3" s="1"/>
  <c r="K83" i="3"/>
  <c r="J83" i="3"/>
  <c r="I83" i="3"/>
  <c r="L83" i="3" s="1"/>
  <c r="K82" i="3"/>
  <c r="J82" i="3"/>
  <c r="I82" i="3"/>
  <c r="L82" i="3" s="1"/>
  <c r="K81" i="3"/>
  <c r="J81" i="3"/>
  <c r="I81" i="3"/>
  <c r="L81" i="3" s="1"/>
  <c r="K80" i="3"/>
  <c r="J80" i="3"/>
  <c r="I80" i="3"/>
  <c r="L80" i="3" s="1"/>
  <c r="K79" i="3"/>
  <c r="J79" i="3"/>
  <c r="I79" i="3"/>
  <c r="L79" i="3" s="1"/>
  <c r="K78" i="3"/>
  <c r="J78" i="3"/>
  <c r="I78" i="3"/>
  <c r="L78" i="3" s="1"/>
  <c r="K77" i="3"/>
  <c r="J77" i="3"/>
  <c r="I77" i="3"/>
  <c r="L77" i="3" s="1"/>
  <c r="K76" i="3"/>
  <c r="J76" i="3"/>
  <c r="I76" i="3"/>
  <c r="L76" i="3" s="1"/>
  <c r="K75" i="3"/>
  <c r="J75" i="3"/>
  <c r="I75" i="3"/>
  <c r="L75" i="3" s="1"/>
  <c r="K74" i="3"/>
  <c r="J74" i="3"/>
  <c r="I74" i="3"/>
  <c r="K73" i="3"/>
  <c r="J73" i="3"/>
  <c r="I73" i="3"/>
  <c r="L73" i="3" s="1"/>
  <c r="K72" i="3"/>
  <c r="J72" i="3"/>
  <c r="I72" i="3"/>
  <c r="L72" i="3" s="1"/>
  <c r="K71" i="3"/>
  <c r="J71" i="3"/>
  <c r="I71" i="3"/>
  <c r="L71" i="3" s="1"/>
  <c r="K70" i="3"/>
  <c r="J70" i="3"/>
  <c r="I70" i="3"/>
  <c r="L70" i="3" s="1"/>
  <c r="K69" i="3"/>
  <c r="J69" i="3"/>
  <c r="I69" i="3"/>
  <c r="L69" i="3" s="1"/>
  <c r="K68" i="3"/>
  <c r="J68" i="3"/>
  <c r="I68" i="3"/>
  <c r="L68" i="3" s="1"/>
  <c r="K67" i="3"/>
  <c r="J67" i="3"/>
  <c r="I67" i="3"/>
  <c r="L67" i="3" s="1"/>
  <c r="K66" i="3"/>
  <c r="J66" i="3"/>
  <c r="I66" i="3"/>
  <c r="L66" i="3" s="1"/>
  <c r="K65" i="3"/>
  <c r="J65" i="3"/>
  <c r="I65" i="3"/>
  <c r="L65" i="3" s="1"/>
  <c r="K64" i="3"/>
  <c r="J64" i="3"/>
  <c r="I64" i="3"/>
  <c r="L64" i="3" s="1"/>
  <c r="K63" i="3"/>
  <c r="J63" i="3"/>
  <c r="I63" i="3"/>
  <c r="L63" i="3" s="1"/>
  <c r="K62" i="3"/>
  <c r="J62" i="3"/>
  <c r="I62" i="3"/>
  <c r="K61" i="3"/>
  <c r="J61" i="3"/>
  <c r="I61" i="3"/>
  <c r="L61" i="3" s="1"/>
  <c r="K60" i="3"/>
  <c r="J60" i="3"/>
  <c r="I60" i="3"/>
  <c r="L60" i="3" s="1"/>
  <c r="K59" i="3"/>
  <c r="J59" i="3"/>
  <c r="I59" i="3"/>
  <c r="L59" i="3" s="1"/>
  <c r="K58" i="3"/>
  <c r="J58" i="3"/>
  <c r="I58" i="3"/>
  <c r="L58" i="3" s="1"/>
  <c r="K57" i="3"/>
  <c r="J57" i="3"/>
  <c r="I57" i="3"/>
  <c r="L57" i="3" s="1"/>
  <c r="K56" i="3"/>
  <c r="J56" i="3"/>
  <c r="I56" i="3"/>
  <c r="L56" i="3" s="1"/>
  <c r="K55" i="3"/>
  <c r="J55" i="3"/>
  <c r="I55" i="3"/>
  <c r="L55" i="3" s="1"/>
  <c r="K54" i="3"/>
  <c r="J54" i="3"/>
  <c r="I54" i="3"/>
  <c r="L54" i="3" s="1"/>
  <c r="K53" i="3"/>
  <c r="J53" i="3"/>
  <c r="I53" i="3"/>
  <c r="L53" i="3" s="1"/>
  <c r="K52" i="3"/>
  <c r="J52" i="3"/>
  <c r="I52" i="3"/>
  <c r="L52" i="3" s="1"/>
  <c r="K51" i="3"/>
  <c r="J51" i="3"/>
  <c r="I51" i="3"/>
  <c r="L51" i="3" s="1"/>
  <c r="K50" i="3"/>
  <c r="J50" i="3"/>
  <c r="I50" i="3"/>
  <c r="K49" i="3"/>
  <c r="J49" i="3"/>
  <c r="I49" i="3"/>
  <c r="L49" i="3" s="1"/>
  <c r="K48" i="3"/>
  <c r="J48" i="3"/>
  <c r="I48" i="3"/>
  <c r="L48" i="3" s="1"/>
  <c r="K47" i="3"/>
  <c r="J47" i="3"/>
  <c r="I47" i="3"/>
  <c r="L47" i="3" s="1"/>
  <c r="K46" i="3"/>
  <c r="J46" i="3"/>
  <c r="I46" i="3"/>
  <c r="L46" i="3" s="1"/>
  <c r="K45" i="3"/>
  <c r="J45" i="3"/>
  <c r="I45" i="3"/>
  <c r="L45" i="3" s="1"/>
  <c r="K44" i="3"/>
  <c r="J44" i="3"/>
  <c r="I44" i="3"/>
  <c r="L44" i="3" s="1"/>
  <c r="K43" i="3"/>
  <c r="J43" i="3"/>
  <c r="I43" i="3"/>
  <c r="L43" i="3" s="1"/>
  <c r="K42" i="3"/>
  <c r="J42" i="3"/>
  <c r="I42" i="3"/>
  <c r="L42" i="3" s="1"/>
  <c r="K41" i="3"/>
  <c r="J41" i="3"/>
  <c r="I41" i="3"/>
  <c r="L41" i="3" s="1"/>
  <c r="K40" i="3"/>
  <c r="J40" i="3"/>
  <c r="I40" i="3"/>
  <c r="L40" i="3" s="1"/>
  <c r="K39" i="3"/>
  <c r="J39" i="3"/>
  <c r="I39" i="3"/>
  <c r="L39" i="3" s="1"/>
  <c r="K38" i="3"/>
  <c r="J38" i="3"/>
  <c r="L38" i="3" s="1"/>
  <c r="I38" i="3"/>
  <c r="K37" i="3"/>
  <c r="J37" i="3"/>
  <c r="I37" i="3"/>
  <c r="L37" i="3" s="1"/>
  <c r="K36" i="3"/>
  <c r="J36" i="3"/>
  <c r="I36" i="3"/>
  <c r="L36" i="3" s="1"/>
  <c r="K35" i="3"/>
  <c r="J35" i="3"/>
  <c r="I35" i="3"/>
  <c r="L35" i="3" s="1"/>
  <c r="K34" i="3"/>
  <c r="J34" i="3"/>
  <c r="I34" i="3"/>
  <c r="L34" i="3" s="1"/>
  <c r="K33" i="3"/>
  <c r="J33" i="3"/>
  <c r="I33" i="3"/>
  <c r="L33" i="3" s="1"/>
  <c r="K32" i="3"/>
  <c r="J32" i="3"/>
  <c r="I32" i="3"/>
  <c r="L32" i="3" s="1"/>
  <c r="K31" i="3"/>
  <c r="J31" i="3"/>
  <c r="I31" i="3"/>
  <c r="L31" i="3" s="1"/>
  <c r="K30" i="3"/>
  <c r="J30" i="3"/>
  <c r="I30" i="3"/>
  <c r="L30" i="3" s="1"/>
  <c r="K29" i="3"/>
  <c r="J29" i="3"/>
  <c r="I29" i="3"/>
  <c r="L29" i="3" s="1"/>
  <c r="K28" i="3"/>
  <c r="J28" i="3"/>
  <c r="I28" i="3"/>
  <c r="L28" i="3" s="1"/>
  <c r="K27" i="3"/>
  <c r="J27" i="3"/>
  <c r="I27" i="3"/>
  <c r="L27" i="3" s="1"/>
  <c r="K26" i="3"/>
  <c r="J26" i="3"/>
  <c r="I26" i="3"/>
  <c r="K25" i="3"/>
  <c r="J25" i="3"/>
  <c r="I25" i="3"/>
  <c r="L25" i="3" s="1"/>
  <c r="K24" i="3"/>
  <c r="J24" i="3"/>
  <c r="I24" i="3"/>
  <c r="L24" i="3" s="1"/>
  <c r="K23" i="3"/>
  <c r="J23" i="3"/>
  <c r="I23" i="3"/>
  <c r="L23" i="3" s="1"/>
  <c r="K22" i="3"/>
  <c r="J22" i="3"/>
  <c r="I22" i="3"/>
  <c r="L22" i="3" s="1"/>
  <c r="K21" i="3"/>
  <c r="J21" i="3"/>
  <c r="I21" i="3"/>
  <c r="L21" i="3" s="1"/>
  <c r="K20" i="3"/>
  <c r="J20" i="3"/>
  <c r="I20" i="3"/>
  <c r="L20" i="3" s="1"/>
  <c r="K19" i="3"/>
  <c r="J19" i="3"/>
  <c r="I19" i="3"/>
  <c r="L19" i="3" s="1"/>
  <c r="K18" i="3"/>
  <c r="J18" i="3"/>
  <c r="I18" i="3"/>
  <c r="L18" i="3" s="1"/>
  <c r="K17" i="3"/>
  <c r="J17" i="3"/>
  <c r="I17" i="3"/>
  <c r="L17" i="3" s="1"/>
  <c r="K16" i="3"/>
  <c r="J16" i="3"/>
  <c r="I16" i="3"/>
  <c r="L16" i="3" s="1"/>
  <c r="K15" i="3"/>
  <c r="J15" i="3"/>
  <c r="I15" i="3"/>
  <c r="L15" i="3" s="1"/>
  <c r="K14" i="3"/>
  <c r="J14" i="3"/>
  <c r="L14" i="3" s="1"/>
  <c r="I14" i="3"/>
  <c r="K13" i="3"/>
  <c r="J13" i="3"/>
  <c r="I13" i="3"/>
  <c r="L13" i="3" s="1"/>
  <c r="K12" i="3"/>
  <c r="J12" i="3"/>
  <c r="I12" i="3"/>
  <c r="L12" i="3" s="1"/>
  <c r="K11" i="3"/>
  <c r="J11" i="3"/>
  <c r="I11" i="3"/>
  <c r="L11" i="3" s="1"/>
  <c r="K10" i="3"/>
  <c r="J10" i="3"/>
  <c r="I10" i="3"/>
  <c r="L10" i="3" s="1"/>
  <c r="K9" i="3"/>
  <c r="J9" i="3"/>
  <c r="I9" i="3"/>
  <c r="L9" i="3" s="1"/>
  <c r="K8" i="3"/>
  <c r="J8" i="3"/>
  <c r="I8" i="3"/>
  <c r="L8" i="3" s="1"/>
  <c r="K7" i="3"/>
  <c r="J7" i="3"/>
  <c r="I7" i="3"/>
  <c r="L7" i="3" s="1"/>
  <c r="K6" i="3"/>
  <c r="J6" i="3"/>
  <c r="I6" i="3"/>
  <c r="L6" i="3" s="1"/>
  <c r="K5" i="3"/>
  <c r="J5" i="3"/>
  <c r="I5" i="3"/>
  <c r="L5" i="3" s="1"/>
  <c r="K4" i="3"/>
  <c r="J4" i="3"/>
  <c r="I4" i="3"/>
  <c r="L4" i="3" s="1"/>
  <c r="K3" i="3"/>
  <c r="J3" i="3"/>
  <c r="I3" i="3"/>
  <c r="L3" i="3" s="1"/>
  <c r="K2" i="3"/>
  <c r="J2" i="3"/>
  <c r="I2" i="3"/>
  <c r="L2" i="3" s="1"/>
  <c r="F343" i="2"/>
  <c r="G340" i="2" s="1"/>
  <c r="Q340" i="2" s="1"/>
  <c r="K340" i="2"/>
  <c r="J340" i="2"/>
  <c r="I340" i="2"/>
  <c r="L340" i="2" s="1"/>
  <c r="K339" i="2"/>
  <c r="J339" i="2"/>
  <c r="I339" i="2"/>
  <c r="G339" i="2"/>
  <c r="Q339" i="2" s="1"/>
  <c r="K338" i="2"/>
  <c r="J338" i="2"/>
  <c r="I338" i="2"/>
  <c r="K337" i="2"/>
  <c r="J337" i="2"/>
  <c r="I337" i="2"/>
  <c r="L337" i="2" s="1"/>
  <c r="G337" i="2"/>
  <c r="Q337" i="2" s="1"/>
  <c r="K336" i="2"/>
  <c r="J336" i="2"/>
  <c r="I336" i="2"/>
  <c r="K335" i="2"/>
  <c r="J335" i="2"/>
  <c r="I335" i="2"/>
  <c r="G335" i="2"/>
  <c r="Q335" i="2" s="1"/>
  <c r="K334" i="2"/>
  <c r="J334" i="2"/>
  <c r="I334" i="2"/>
  <c r="K333" i="2"/>
  <c r="J333" i="2"/>
  <c r="I333" i="2"/>
  <c r="L333" i="2" s="1"/>
  <c r="G333" i="2"/>
  <c r="Q333" i="2" s="1"/>
  <c r="K332" i="2"/>
  <c r="J332" i="2"/>
  <c r="I332" i="2"/>
  <c r="K331" i="2"/>
  <c r="J331" i="2"/>
  <c r="I331" i="2"/>
  <c r="G331" i="2"/>
  <c r="Q331" i="2" s="1"/>
  <c r="K330" i="2"/>
  <c r="J330" i="2"/>
  <c r="I330" i="2"/>
  <c r="K329" i="2"/>
  <c r="J329" i="2"/>
  <c r="I329" i="2"/>
  <c r="G329" i="2"/>
  <c r="Q329" i="2" s="1"/>
  <c r="K328" i="2"/>
  <c r="J328" i="2"/>
  <c r="I328" i="2"/>
  <c r="K327" i="2"/>
  <c r="J327" i="2"/>
  <c r="I327" i="2"/>
  <c r="G327" i="2"/>
  <c r="Q327" i="2" s="1"/>
  <c r="K326" i="2"/>
  <c r="J326" i="2"/>
  <c r="I326" i="2"/>
  <c r="K325" i="2"/>
  <c r="J325" i="2"/>
  <c r="I325" i="2"/>
  <c r="G325" i="2"/>
  <c r="Q325" i="2" s="1"/>
  <c r="K324" i="2"/>
  <c r="J324" i="2"/>
  <c r="I324" i="2"/>
  <c r="L324" i="2" s="1"/>
  <c r="K323" i="2"/>
  <c r="J323" i="2"/>
  <c r="I323" i="2"/>
  <c r="G323" i="2"/>
  <c r="Q323" i="2" s="1"/>
  <c r="K322" i="2"/>
  <c r="J322" i="2"/>
  <c r="I322" i="2"/>
  <c r="K321" i="2"/>
  <c r="J321" i="2"/>
  <c r="I321" i="2"/>
  <c r="G321" i="2"/>
  <c r="Q321" i="2" s="1"/>
  <c r="K320" i="2"/>
  <c r="J320" i="2"/>
  <c r="I320" i="2"/>
  <c r="L320" i="2" s="1"/>
  <c r="K319" i="2"/>
  <c r="J319" i="2"/>
  <c r="I319" i="2"/>
  <c r="G319" i="2"/>
  <c r="Q319" i="2" s="1"/>
  <c r="K318" i="2"/>
  <c r="J318" i="2"/>
  <c r="I318" i="2"/>
  <c r="K317" i="2"/>
  <c r="J317" i="2"/>
  <c r="I317" i="2"/>
  <c r="L317" i="2" s="1"/>
  <c r="G317" i="2"/>
  <c r="Q317" i="2" s="1"/>
  <c r="K316" i="2"/>
  <c r="J316" i="2"/>
  <c r="I316" i="2"/>
  <c r="L316" i="2" s="1"/>
  <c r="K315" i="2"/>
  <c r="J315" i="2"/>
  <c r="L315" i="2" s="1"/>
  <c r="I315" i="2"/>
  <c r="G315" i="2"/>
  <c r="Q315" i="2" s="1"/>
  <c r="K314" i="2"/>
  <c r="J314" i="2"/>
  <c r="I314" i="2"/>
  <c r="K313" i="2"/>
  <c r="J313" i="2"/>
  <c r="I313" i="2"/>
  <c r="G313" i="2"/>
  <c r="Q313" i="2" s="1"/>
  <c r="K312" i="2"/>
  <c r="J312" i="2"/>
  <c r="I312" i="2"/>
  <c r="K311" i="2"/>
  <c r="J311" i="2"/>
  <c r="I311" i="2"/>
  <c r="G311" i="2"/>
  <c r="Q311" i="2" s="1"/>
  <c r="K310" i="2"/>
  <c r="J310" i="2"/>
  <c r="I310" i="2"/>
  <c r="K309" i="2"/>
  <c r="J309" i="2"/>
  <c r="I309" i="2"/>
  <c r="L309" i="2" s="1"/>
  <c r="G309" i="2"/>
  <c r="Q309" i="2" s="1"/>
  <c r="K308" i="2"/>
  <c r="J308" i="2"/>
  <c r="I308" i="2"/>
  <c r="K307" i="2"/>
  <c r="J307" i="2"/>
  <c r="L307" i="2" s="1"/>
  <c r="I307" i="2"/>
  <c r="G307" i="2"/>
  <c r="Q307" i="2" s="1"/>
  <c r="K306" i="2"/>
  <c r="J306" i="2"/>
  <c r="I306" i="2"/>
  <c r="K305" i="2"/>
  <c r="J305" i="2"/>
  <c r="I305" i="2"/>
  <c r="G305" i="2"/>
  <c r="Q305" i="2" s="1"/>
  <c r="K304" i="2"/>
  <c r="J304" i="2"/>
  <c r="I304" i="2"/>
  <c r="K303" i="2"/>
  <c r="J303" i="2"/>
  <c r="I303" i="2"/>
  <c r="G303" i="2"/>
  <c r="Q303" i="2" s="1"/>
  <c r="K302" i="2"/>
  <c r="J302" i="2"/>
  <c r="I302" i="2"/>
  <c r="K301" i="2"/>
  <c r="J301" i="2"/>
  <c r="I301" i="2"/>
  <c r="G301" i="2"/>
  <c r="Q301" i="2" s="1"/>
  <c r="K300" i="2"/>
  <c r="J300" i="2"/>
  <c r="I300" i="2"/>
  <c r="L300" i="2" s="1"/>
  <c r="K299" i="2"/>
  <c r="J299" i="2"/>
  <c r="L299" i="2" s="1"/>
  <c r="I299" i="2"/>
  <c r="G299" i="2"/>
  <c r="Q299" i="2" s="1"/>
  <c r="K298" i="2"/>
  <c r="J298" i="2"/>
  <c r="I298" i="2"/>
  <c r="K297" i="2"/>
  <c r="J297" i="2"/>
  <c r="I297" i="2"/>
  <c r="G297" i="2"/>
  <c r="Q297" i="2" s="1"/>
  <c r="K296" i="2"/>
  <c r="J296" i="2"/>
  <c r="I296" i="2"/>
  <c r="L296" i="2" s="1"/>
  <c r="K295" i="2"/>
  <c r="J295" i="2"/>
  <c r="I295" i="2"/>
  <c r="G295" i="2"/>
  <c r="Q295" i="2" s="1"/>
  <c r="K294" i="2"/>
  <c r="J294" i="2"/>
  <c r="I294" i="2"/>
  <c r="K293" i="2"/>
  <c r="J293" i="2"/>
  <c r="I293" i="2"/>
  <c r="G293" i="2"/>
  <c r="Q293" i="2" s="1"/>
  <c r="K292" i="2"/>
  <c r="J292" i="2"/>
  <c r="I292" i="2"/>
  <c r="L292" i="2" s="1"/>
  <c r="K291" i="2"/>
  <c r="J291" i="2"/>
  <c r="I291" i="2"/>
  <c r="G291" i="2"/>
  <c r="Q291" i="2" s="1"/>
  <c r="K290" i="2"/>
  <c r="J290" i="2"/>
  <c r="I290" i="2"/>
  <c r="K289" i="2"/>
  <c r="J289" i="2"/>
  <c r="I289" i="2"/>
  <c r="L289" i="2" s="1"/>
  <c r="G289" i="2"/>
  <c r="Q289" i="2" s="1"/>
  <c r="K288" i="2"/>
  <c r="J288" i="2"/>
  <c r="I288" i="2"/>
  <c r="K287" i="2"/>
  <c r="L287" i="2" s="1"/>
  <c r="J287" i="2"/>
  <c r="I287" i="2"/>
  <c r="G287" i="2"/>
  <c r="Q287" i="2" s="1"/>
  <c r="K286" i="2"/>
  <c r="J286" i="2"/>
  <c r="I286" i="2"/>
  <c r="K285" i="2"/>
  <c r="J285" i="2"/>
  <c r="I285" i="2"/>
  <c r="L285" i="2" s="1"/>
  <c r="G285" i="2"/>
  <c r="Q285" i="2" s="1"/>
  <c r="K284" i="2"/>
  <c r="J284" i="2"/>
  <c r="I284" i="2"/>
  <c r="K283" i="2"/>
  <c r="J283" i="2"/>
  <c r="I283" i="2"/>
  <c r="G283" i="2"/>
  <c r="Q283" i="2" s="1"/>
  <c r="K282" i="2"/>
  <c r="J282" i="2"/>
  <c r="I282" i="2"/>
  <c r="K281" i="2"/>
  <c r="J281" i="2"/>
  <c r="I281" i="2"/>
  <c r="G281" i="2"/>
  <c r="Q281" i="2" s="1"/>
  <c r="K280" i="2"/>
  <c r="J280" i="2"/>
  <c r="I280" i="2"/>
  <c r="K279" i="2"/>
  <c r="J279" i="2"/>
  <c r="I279" i="2"/>
  <c r="G279" i="2"/>
  <c r="Q279" i="2" s="1"/>
  <c r="K278" i="2"/>
  <c r="J278" i="2"/>
  <c r="I278" i="2"/>
  <c r="K277" i="2"/>
  <c r="J277" i="2"/>
  <c r="I277" i="2"/>
  <c r="G277" i="2"/>
  <c r="Q277" i="2" s="1"/>
  <c r="K276" i="2"/>
  <c r="J276" i="2"/>
  <c r="I276" i="2"/>
  <c r="K275" i="2"/>
  <c r="J275" i="2"/>
  <c r="I275" i="2"/>
  <c r="G275" i="2"/>
  <c r="Q275" i="2" s="1"/>
  <c r="K274" i="2"/>
  <c r="J274" i="2"/>
  <c r="I274" i="2"/>
  <c r="K273" i="2"/>
  <c r="J273" i="2"/>
  <c r="I273" i="2"/>
  <c r="G273" i="2"/>
  <c r="Q273" i="2" s="1"/>
  <c r="K272" i="2"/>
  <c r="J272" i="2"/>
  <c r="I272" i="2"/>
  <c r="L272" i="2" s="1"/>
  <c r="K271" i="2"/>
  <c r="J271" i="2"/>
  <c r="L271" i="2" s="1"/>
  <c r="I271" i="2"/>
  <c r="G271" i="2"/>
  <c r="Q271" i="2" s="1"/>
  <c r="K270" i="2"/>
  <c r="J270" i="2"/>
  <c r="I270" i="2"/>
  <c r="K269" i="2"/>
  <c r="J269" i="2"/>
  <c r="I269" i="2"/>
  <c r="L269" i="2" s="1"/>
  <c r="G269" i="2"/>
  <c r="Q269" i="2" s="1"/>
  <c r="K268" i="2"/>
  <c r="J268" i="2"/>
  <c r="I268" i="2"/>
  <c r="L268" i="2" s="1"/>
  <c r="K267" i="2"/>
  <c r="J267" i="2"/>
  <c r="I267" i="2"/>
  <c r="G267" i="2"/>
  <c r="Q267" i="2" s="1"/>
  <c r="K266" i="2"/>
  <c r="J266" i="2"/>
  <c r="I266" i="2"/>
  <c r="Q265" i="2"/>
  <c r="K265" i="2"/>
  <c r="J265" i="2"/>
  <c r="L265" i="2" s="1"/>
  <c r="I265" i="2"/>
  <c r="G265" i="2"/>
  <c r="K264" i="2"/>
  <c r="J264" i="2"/>
  <c r="I264" i="2"/>
  <c r="Q263" i="2"/>
  <c r="K263" i="2"/>
  <c r="J263" i="2"/>
  <c r="I263" i="2"/>
  <c r="G263" i="2"/>
  <c r="K262" i="2"/>
  <c r="J262" i="2"/>
  <c r="I262" i="2"/>
  <c r="K261" i="2"/>
  <c r="J261" i="2"/>
  <c r="I261" i="2"/>
  <c r="G261" i="2"/>
  <c r="Q261" i="2" s="1"/>
  <c r="K260" i="2"/>
  <c r="J260" i="2"/>
  <c r="I260" i="2"/>
  <c r="K259" i="2"/>
  <c r="J259" i="2"/>
  <c r="L259" i="2" s="1"/>
  <c r="I259" i="2"/>
  <c r="G259" i="2"/>
  <c r="Q259" i="2" s="1"/>
  <c r="K258" i="2"/>
  <c r="J258" i="2"/>
  <c r="I258" i="2"/>
  <c r="K257" i="2"/>
  <c r="J257" i="2"/>
  <c r="I257" i="2"/>
  <c r="G257" i="2"/>
  <c r="Q257" i="2" s="1"/>
  <c r="K256" i="2"/>
  <c r="J256" i="2"/>
  <c r="I256" i="2"/>
  <c r="K255" i="2"/>
  <c r="J255" i="2"/>
  <c r="I255" i="2"/>
  <c r="G255" i="2"/>
  <c r="Q255" i="2" s="1"/>
  <c r="K254" i="2"/>
  <c r="J254" i="2"/>
  <c r="I254" i="2"/>
  <c r="Q253" i="2"/>
  <c r="K253" i="2"/>
  <c r="J253" i="2"/>
  <c r="L253" i="2" s="1"/>
  <c r="I253" i="2"/>
  <c r="G253" i="2"/>
  <c r="K252" i="2"/>
  <c r="J252" i="2"/>
  <c r="I252" i="2"/>
  <c r="Q251" i="2"/>
  <c r="K251" i="2"/>
  <c r="J251" i="2"/>
  <c r="I251" i="2"/>
  <c r="G251" i="2"/>
  <c r="K250" i="2"/>
  <c r="J250" i="2"/>
  <c r="I250" i="2"/>
  <c r="K249" i="2"/>
  <c r="J249" i="2"/>
  <c r="I249" i="2"/>
  <c r="G249" i="2"/>
  <c r="Q249" i="2" s="1"/>
  <c r="K248" i="2"/>
  <c r="J248" i="2"/>
  <c r="I248" i="2"/>
  <c r="K247" i="2"/>
  <c r="J247" i="2"/>
  <c r="L247" i="2" s="1"/>
  <c r="I247" i="2"/>
  <c r="G247" i="2"/>
  <c r="Q247" i="2" s="1"/>
  <c r="K246" i="2"/>
  <c r="J246" i="2"/>
  <c r="I246" i="2"/>
  <c r="K245" i="2"/>
  <c r="J245" i="2"/>
  <c r="I245" i="2"/>
  <c r="G245" i="2"/>
  <c r="Q245" i="2" s="1"/>
  <c r="K244" i="2"/>
  <c r="J244" i="2"/>
  <c r="I244" i="2"/>
  <c r="K243" i="2"/>
  <c r="J243" i="2"/>
  <c r="I243" i="2"/>
  <c r="G243" i="2"/>
  <c r="Q243" i="2" s="1"/>
  <c r="K242" i="2"/>
  <c r="J242" i="2"/>
  <c r="I242" i="2"/>
  <c r="Q241" i="2"/>
  <c r="K241" i="2"/>
  <c r="J241" i="2"/>
  <c r="I241" i="2"/>
  <c r="G241" i="2"/>
  <c r="K240" i="2"/>
  <c r="J240" i="2"/>
  <c r="I240" i="2"/>
  <c r="Q239" i="2"/>
  <c r="K239" i="2"/>
  <c r="J239" i="2"/>
  <c r="I239" i="2"/>
  <c r="G239" i="2"/>
  <c r="K238" i="2"/>
  <c r="J238" i="2"/>
  <c r="L238" i="2" s="1"/>
  <c r="I238" i="2"/>
  <c r="Q237" i="2"/>
  <c r="K237" i="2"/>
  <c r="J237" i="2"/>
  <c r="I237" i="2"/>
  <c r="G237" i="2"/>
  <c r="K236" i="2"/>
  <c r="J236" i="2"/>
  <c r="I236" i="2"/>
  <c r="Q235" i="2"/>
  <c r="K235" i="2"/>
  <c r="J235" i="2"/>
  <c r="I235" i="2"/>
  <c r="G235" i="2"/>
  <c r="K234" i="2"/>
  <c r="J234" i="2"/>
  <c r="I234" i="2"/>
  <c r="Q233" i="2"/>
  <c r="K233" i="2"/>
  <c r="J233" i="2"/>
  <c r="I233" i="2"/>
  <c r="G233" i="2"/>
  <c r="K232" i="2"/>
  <c r="J232" i="2"/>
  <c r="I232" i="2"/>
  <c r="K231" i="2"/>
  <c r="J231" i="2"/>
  <c r="I231" i="2"/>
  <c r="G231" i="2"/>
  <c r="Q231" i="2" s="1"/>
  <c r="K230" i="2"/>
  <c r="J230" i="2"/>
  <c r="I230" i="2"/>
  <c r="Q229" i="2"/>
  <c r="K229" i="2"/>
  <c r="J229" i="2"/>
  <c r="I229" i="2"/>
  <c r="G229" i="2"/>
  <c r="K228" i="2"/>
  <c r="J228" i="2"/>
  <c r="I228" i="2"/>
  <c r="K227" i="2"/>
  <c r="J227" i="2"/>
  <c r="L227" i="2" s="1"/>
  <c r="I227" i="2"/>
  <c r="G227" i="2"/>
  <c r="Q227" i="2" s="1"/>
  <c r="K226" i="2"/>
  <c r="J226" i="2"/>
  <c r="L226" i="2" s="1"/>
  <c r="I226" i="2"/>
  <c r="K225" i="2"/>
  <c r="J225" i="2"/>
  <c r="I225" i="2"/>
  <c r="G225" i="2"/>
  <c r="Q225" i="2" s="1"/>
  <c r="K224" i="2"/>
  <c r="J224" i="2"/>
  <c r="I224" i="2"/>
  <c r="K223" i="2"/>
  <c r="J223" i="2"/>
  <c r="I223" i="2"/>
  <c r="G223" i="2"/>
  <c r="Q223" i="2" s="1"/>
  <c r="K222" i="2"/>
  <c r="J222" i="2"/>
  <c r="I222" i="2"/>
  <c r="K221" i="2"/>
  <c r="J221" i="2"/>
  <c r="I221" i="2"/>
  <c r="G221" i="2"/>
  <c r="Q221" i="2" s="1"/>
  <c r="K220" i="2"/>
  <c r="J220" i="2"/>
  <c r="I220" i="2"/>
  <c r="K219" i="2"/>
  <c r="J219" i="2"/>
  <c r="I219" i="2"/>
  <c r="G219" i="2"/>
  <c r="Q219" i="2" s="1"/>
  <c r="K218" i="2"/>
  <c r="J218" i="2"/>
  <c r="I218" i="2"/>
  <c r="Q217" i="2"/>
  <c r="K217" i="2"/>
  <c r="J217" i="2"/>
  <c r="I217" i="2"/>
  <c r="G217" i="2"/>
  <c r="K216" i="2"/>
  <c r="J216" i="2"/>
  <c r="I216" i="2"/>
  <c r="Q215" i="2"/>
  <c r="K215" i="2"/>
  <c r="J215" i="2"/>
  <c r="I215" i="2"/>
  <c r="G215" i="2"/>
  <c r="K214" i="2"/>
  <c r="J214" i="2"/>
  <c r="L214" i="2" s="1"/>
  <c r="I214" i="2"/>
  <c r="Q213" i="2"/>
  <c r="K213" i="2"/>
  <c r="J213" i="2"/>
  <c r="I213" i="2"/>
  <c r="G213" i="2"/>
  <c r="K212" i="2"/>
  <c r="J212" i="2"/>
  <c r="I212" i="2"/>
  <c r="Q211" i="2"/>
  <c r="K211" i="2"/>
  <c r="J211" i="2"/>
  <c r="L211" i="2" s="1"/>
  <c r="I211" i="2"/>
  <c r="G211" i="2"/>
  <c r="K210" i="2"/>
  <c r="J210" i="2"/>
  <c r="I210" i="2"/>
  <c r="Q209" i="2"/>
  <c r="K209" i="2"/>
  <c r="J209" i="2"/>
  <c r="I209" i="2"/>
  <c r="G209" i="2"/>
  <c r="K208" i="2"/>
  <c r="J208" i="2"/>
  <c r="I208" i="2"/>
  <c r="K207" i="2"/>
  <c r="J207" i="2"/>
  <c r="I207" i="2"/>
  <c r="G207" i="2"/>
  <c r="Q207" i="2" s="1"/>
  <c r="K206" i="2"/>
  <c r="J206" i="2"/>
  <c r="I206" i="2"/>
  <c r="K205" i="2"/>
  <c r="J205" i="2"/>
  <c r="I205" i="2"/>
  <c r="G205" i="2"/>
  <c r="Q205" i="2" s="1"/>
  <c r="K204" i="2"/>
  <c r="J204" i="2"/>
  <c r="I204" i="2"/>
  <c r="K203" i="2"/>
  <c r="J203" i="2"/>
  <c r="I203" i="2"/>
  <c r="G203" i="2"/>
  <c r="Q203" i="2" s="1"/>
  <c r="K202" i="2"/>
  <c r="J202" i="2"/>
  <c r="L202" i="2" s="1"/>
  <c r="I202" i="2"/>
  <c r="K201" i="2"/>
  <c r="J201" i="2"/>
  <c r="I201" i="2"/>
  <c r="G201" i="2"/>
  <c r="Q201" i="2" s="1"/>
  <c r="K200" i="2"/>
  <c r="J200" i="2"/>
  <c r="I200" i="2"/>
  <c r="K199" i="2"/>
  <c r="J199" i="2"/>
  <c r="I199" i="2"/>
  <c r="G199" i="2"/>
  <c r="Q199" i="2" s="1"/>
  <c r="K198" i="2"/>
  <c r="J198" i="2"/>
  <c r="L198" i="2" s="1"/>
  <c r="I198" i="2"/>
  <c r="K197" i="2"/>
  <c r="J197" i="2"/>
  <c r="I197" i="2"/>
  <c r="G197" i="2"/>
  <c r="Q197" i="2" s="1"/>
  <c r="K196" i="2"/>
  <c r="J196" i="2"/>
  <c r="I196" i="2"/>
  <c r="K195" i="2"/>
  <c r="J195" i="2"/>
  <c r="I195" i="2"/>
  <c r="G195" i="2"/>
  <c r="Q195" i="2" s="1"/>
  <c r="K194" i="2"/>
  <c r="J194" i="2"/>
  <c r="I194" i="2"/>
  <c r="Q193" i="2"/>
  <c r="K193" i="2"/>
  <c r="J193" i="2"/>
  <c r="I193" i="2"/>
  <c r="G193" i="2"/>
  <c r="K192" i="2"/>
  <c r="J192" i="2"/>
  <c r="I192" i="2"/>
  <c r="P191" i="2"/>
  <c r="K191" i="2"/>
  <c r="J191" i="2"/>
  <c r="I191" i="2"/>
  <c r="G191" i="2"/>
  <c r="K190" i="2"/>
  <c r="J190" i="2"/>
  <c r="L190" i="2" s="1"/>
  <c r="I190" i="2"/>
  <c r="P189" i="2"/>
  <c r="K189" i="2"/>
  <c r="J189" i="2"/>
  <c r="I189" i="2"/>
  <c r="G189" i="2"/>
  <c r="K188" i="2"/>
  <c r="J188" i="2"/>
  <c r="I188" i="2"/>
  <c r="P187" i="2"/>
  <c r="K187" i="2"/>
  <c r="J187" i="2"/>
  <c r="L187" i="2" s="1"/>
  <c r="I187" i="2"/>
  <c r="G187" i="2"/>
  <c r="K186" i="2"/>
  <c r="J186" i="2"/>
  <c r="I186" i="2"/>
  <c r="P185" i="2"/>
  <c r="K185" i="2"/>
  <c r="J185" i="2"/>
  <c r="I185" i="2"/>
  <c r="G185" i="2"/>
  <c r="K184" i="2"/>
  <c r="J184" i="2"/>
  <c r="I184" i="2"/>
  <c r="K183" i="2"/>
  <c r="J183" i="2"/>
  <c r="I183" i="2"/>
  <c r="G183" i="2"/>
  <c r="P183" i="2" s="1"/>
  <c r="K182" i="2"/>
  <c r="J182" i="2"/>
  <c r="I182" i="2"/>
  <c r="P181" i="2"/>
  <c r="K181" i="2"/>
  <c r="J181" i="2"/>
  <c r="I181" i="2"/>
  <c r="G181" i="2"/>
  <c r="K180" i="2"/>
  <c r="J180" i="2"/>
  <c r="I180" i="2"/>
  <c r="K179" i="2"/>
  <c r="J179" i="2"/>
  <c r="I179" i="2"/>
  <c r="G179" i="2"/>
  <c r="P179" i="2" s="1"/>
  <c r="K178" i="2"/>
  <c r="J178" i="2"/>
  <c r="L178" i="2" s="1"/>
  <c r="I178" i="2"/>
  <c r="K177" i="2"/>
  <c r="J177" i="2"/>
  <c r="I177" i="2"/>
  <c r="G177" i="2"/>
  <c r="P177" i="2" s="1"/>
  <c r="K176" i="2"/>
  <c r="J176" i="2"/>
  <c r="I176" i="2"/>
  <c r="K175" i="2"/>
  <c r="J175" i="2"/>
  <c r="I175" i="2"/>
  <c r="G175" i="2"/>
  <c r="P175" i="2" s="1"/>
  <c r="K174" i="2"/>
  <c r="J174" i="2"/>
  <c r="L174" i="2" s="1"/>
  <c r="I174" i="2"/>
  <c r="K173" i="2"/>
  <c r="J173" i="2"/>
  <c r="I173" i="2"/>
  <c r="G173" i="2"/>
  <c r="P173" i="2" s="1"/>
  <c r="K172" i="2"/>
  <c r="J172" i="2"/>
  <c r="I172" i="2"/>
  <c r="K171" i="2"/>
  <c r="J171" i="2"/>
  <c r="I171" i="2"/>
  <c r="G171" i="2"/>
  <c r="P171" i="2" s="1"/>
  <c r="K170" i="2"/>
  <c r="J170" i="2"/>
  <c r="I170" i="2"/>
  <c r="G170" i="2"/>
  <c r="P170" i="2" s="1"/>
  <c r="K169" i="2"/>
  <c r="J169" i="2"/>
  <c r="I169" i="2"/>
  <c r="G169" i="2"/>
  <c r="P169" i="2" s="1"/>
  <c r="K168" i="2"/>
  <c r="J168" i="2"/>
  <c r="I168" i="2"/>
  <c r="G168" i="2"/>
  <c r="P168" i="2" s="1"/>
  <c r="K167" i="2"/>
  <c r="J167" i="2"/>
  <c r="I167" i="2"/>
  <c r="G167" i="2"/>
  <c r="P167" i="2" s="1"/>
  <c r="K166" i="2"/>
  <c r="J166" i="2"/>
  <c r="I166" i="2"/>
  <c r="G166" i="2"/>
  <c r="P166" i="2" s="1"/>
  <c r="K165" i="2"/>
  <c r="J165" i="2"/>
  <c r="I165" i="2"/>
  <c r="G165" i="2"/>
  <c r="P165" i="2" s="1"/>
  <c r="K164" i="2"/>
  <c r="J164" i="2"/>
  <c r="I164" i="2"/>
  <c r="G164" i="2"/>
  <c r="P164" i="2" s="1"/>
  <c r="K163" i="2"/>
  <c r="J163" i="2"/>
  <c r="I163" i="2"/>
  <c r="G163" i="2"/>
  <c r="P163" i="2" s="1"/>
  <c r="K162" i="2"/>
  <c r="J162" i="2"/>
  <c r="L162" i="2" s="1"/>
  <c r="I162" i="2"/>
  <c r="G162" i="2"/>
  <c r="P162" i="2" s="1"/>
  <c r="K161" i="2"/>
  <c r="J161" i="2"/>
  <c r="I161" i="2"/>
  <c r="G161" i="2"/>
  <c r="P161" i="2" s="1"/>
  <c r="K160" i="2"/>
  <c r="J160" i="2"/>
  <c r="I160" i="2"/>
  <c r="G160" i="2"/>
  <c r="P160" i="2" s="1"/>
  <c r="K159" i="2"/>
  <c r="J159" i="2"/>
  <c r="I159" i="2"/>
  <c r="G159" i="2"/>
  <c r="P159" i="2" s="1"/>
  <c r="K158" i="2"/>
  <c r="J158" i="2"/>
  <c r="I158" i="2"/>
  <c r="G158" i="2"/>
  <c r="P158" i="2" s="1"/>
  <c r="K157" i="2"/>
  <c r="J157" i="2"/>
  <c r="I157" i="2"/>
  <c r="G157" i="2"/>
  <c r="P157" i="2" s="1"/>
  <c r="K156" i="2"/>
  <c r="J156" i="2"/>
  <c r="I156" i="2"/>
  <c r="G156" i="2"/>
  <c r="P156" i="2" s="1"/>
  <c r="K155" i="2"/>
  <c r="J155" i="2"/>
  <c r="I155" i="2"/>
  <c r="G155" i="2"/>
  <c r="P155" i="2" s="1"/>
  <c r="K154" i="2"/>
  <c r="J154" i="2"/>
  <c r="L154" i="2" s="1"/>
  <c r="I154" i="2"/>
  <c r="G154" i="2"/>
  <c r="P154" i="2" s="1"/>
  <c r="K153" i="2"/>
  <c r="J153" i="2"/>
  <c r="I153" i="2"/>
  <c r="G153" i="2"/>
  <c r="P153" i="2" s="1"/>
  <c r="K152" i="2"/>
  <c r="J152" i="2"/>
  <c r="I152" i="2"/>
  <c r="G152" i="2"/>
  <c r="P152" i="2" s="1"/>
  <c r="K151" i="2"/>
  <c r="J151" i="2"/>
  <c r="I151" i="2"/>
  <c r="G151" i="2"/>
  <c r="P151" i="2" s="1"/>
  <c r="K150" i="2"/>
  <c r="J150" i="2"/>
  <c r="I150" i="2"/>
  <c r="G150" i="2"/>
  <c r="P150" i="2" s="1"/>
  <c r="K149" i="2"/>
  <c r="J149" i="2"/>
  <c r="I149" i="2"/>
  <c r="G149" i="2"/>
  <c r="P149" i="2" s="1"/>
  <c r="K148" i="2"/>
  <c r="J148" i="2"/>
  <c r="I148" i="2"/>
  <c r="G148" i="2"/>
  <c r="P148" i="2" s="1"/>
  <c r="K147" i="2"/>
  <c r="J147" i="2"/>
  <c r="I147" i="2"/>
  <c r="G147" i="2"/>
  <c r="P147" i="2" s="1"/>
  <c r="K146" i="2"/>
  <c r="J146" i="2"/>
  <c r="I146" i="2"/>
  <c r="G146" i="2"/>
  <c r="P146" i="2" s="1"/>
  <c r="K145" i="2"/>
  <c r="J145" i="2"/>
  <c r="I145" i="2"/>
  <c r="G145" i="2"/>
  <c r="P145" i="2" s="1"/>
  <c r="K144" i="2"/>
  <c r="J144" i="2"/>
  <c r="I144" i="2"/>
  <c r="G144" i="2"/>
  <c r="P144" i="2" s="1"/>
  <c r="K143" i="2"/>
  <c r="J143" i="2"/>
  <c r="I143" i="2"/>
  <c r="G143" i="2"/>
  <c r="P143" i="2" s="1"/>
  <c r="K142" i="2"/>
  <c r="J142" i="2"/>
  <c r="I142" i="2"/>
  <c r="G142" i="2"/>
  <c r="P142" i="2" s="1"/>
  <c r="K141" i="2"/>
  <c r="J141" i="2"/>
  <c r="I141" i="2"/>
  <c r="G141" i="2"/>
  <c r="P141" i="2" s="1"/>
  <c r="K140" i="2"/>
  <c r="J140" i="2"/>
  <c r="I140" i="2"/>
  <c r="G140" i="2"/>
  <c r="P140" i="2" s="1"/>
  <c r="K139" i="2"/>
  <c r="J139" i="2"/>
  <c r="I139" i="2"/>
  <c r="G139" i="2"/>
  <c r="P139" i="2" s="1"/>
  <c r="K138" i="2"/>
  <c r="J138" i="2"/>
  <c r="L138" i="2" s="1"/>
  <c r="I138" i="2"/>
  <c r="G138" i="2"/>
  <c r="P138" i="2" s="1"/>
  <c r="K137" i="2"/>
  <c r="J137" i="2"/>
  <c r="I137" i="2"/>
  <c r="G137" i="2"/>
  <c r="P137" i="2" s="1"/>
  <c r="K136" i="2"/>
  <c r="J136" i="2"/>
  <c r="I136" i="2"/>
  <c r="G136" i="2"/>
  <c r="P136" i="2" s="1"/>
  <c r="K135" i="2"/>
  <c r="J135" i="2"/>
  <c r="I135" i="2"/>
  <c r="G135" i="2"/>
  <c r="P135" i="2" s="1"/>
  <c r="K134" i="2"/>
  <c r="J134" i="2"/>
  <c r="I134" i="2"/>
  <c r="G134" i="2"/>
  <c r="O134" i="2" s="1"/>
  <c r="K133" i="2"/>
  <c r="J133" i="2"/>
  <c r="I133" i="2"/>
  <c r="G133" i="2"/>
  <c r="O133" i="2" s="1"/>
  <c r="K132" i="2"/>
  <c r="J132" i="2"/>
  <c r="I132" i="2"/>
  <c r="G132" i="2"/>
  <c r="O132" i="2" s="1"/>
  <c r="K131" i="2"/>
  <c r="J131" i="2"/>
  <c r="I131" i="2"/>
  <c r="G131" i="2"/>
  <c r="O131" i="2" s="1"/>
  <c r="K130" i="2"/>
  <c r="J130" i="2"/>
  <c r="L130" i="2" s="1"/>
  <c r="I130" i="2"/>
  <c r="G130" i="2"/>
  <c r="O130" i="2" s="1"/>
  <c r="K129" i="2"/>
  <c r="J129" i="2"/>
  <c r="I129" i="2"/>
  <c r="G129" i="2"/>
  <c r="O129" i="2" s="1"/>
  <c r="K128" i="2"/>
  <c r="J128" i="2"/>
  <c r="I128" i="2"/>
  <c r="G128" i="2"/>
  <c r="O128" i="2" s="1"/>
  <c r="K127" i="2"/>
  <c r="J127" i="2"/>
  <c r="I127" i="2"/>
  <c r="G127" i="2"/>
  <c r="O127" i="2" s="1"/>
  <c r="K126" i="2"/>
  <c r="J126" i="2"/>
  <c r="I126" i="2"/>
  <c r="G126" i="2"/>
  <c r="O126" i="2" s="1"/>
  <c r="K125" i="2"/>
  <c r="J125" i="2"/>
  <c r="I125" i="2"/>
  <c r="G125" i="2"/>
  <c r="O125" i="2" s="1"/>
  <c r="K124" i="2"/>
  <c r="J124" i="2"/>
  <c r="L124" i="2" s="1"/>
  <c r="I124" i="2"/>
  <c r="G124" i="2"/>
  <c r="O124" i="2" s="1"/>
  <c r="K123" i="2"/>
  <c r="J123" i="2"/>
  <c r="I123" i="2"/>
  <c r="G123" i="2"/>
  <c r="O123" i="2" s="1"/>
  <c r="K122" i="2"/>
  <c r="J122" i="2"/>
  <c r="I122" i="2"/>
  <c r="G122" i="2"/>
  <c r="O122" i="2" s="1"/>
  <c r="K121" i="2"/>
  <c r="J121" i="2"/>
  <c r="I121" i="2"/>
  <c r="G121" i="2"/>
  <c r="O121" i="2" s="1"/>
  <c r="K120" i="2"/>
  <c r="J120" i="2"/>
  <c r="I120" i="2"/>
  <c r="G120" i="2"/>
  <c r="O120" i="2" s="1"/>
  <c r="K119" i="2"/>
  <c r="J119" i="2"/>
  <c r="I119" i="2"/>
  <c r="G119" i="2"/>
  <c r="O119" i="2" s="1"/>
  <c r="K118" i="2"/>
  <c r="J118" i="2"/>
  <c r="I118" i="2"/>
  <c r="G118" i="2"/>
  <c r="O118" i="2" s="1"/>
  <c r="K117" i="2"/>
  <c r="J117" i="2"/>
  <c r="I117" i="2"/>
  <c r="G117" i="2"/>
  <c r="O117" i="2" s="1"/>
  <c r="K116" i="2"/>
  <c r="J116" i="2"/>
  <c r="I116" i="2"/>
  <c r="G116" i="2"/>
  <c r="O116" i="2" s="1"/>
  <c r="K115" i="2"/>
  <c r="J115" i="2"/>
  <c r="I115" i="2"/>
  <c r="G115" i="2"/>
  <c r="O115" i="2" s="1"/>
  <c r="K114" i="2"/>
  <c r="J114" i="2"/>
  <c r="L114" i="2" s="1"/>
  <c r="I114" i="2"/>
  <c r="G114" i="2"/>
  <c r="O114" i="2" s="1"/>
  <c r="K113" i="2"/>
  <c r="J113" i="2"/>
  <c r="I113" i="2"/>
  <c r="G113" i="2"/>
  <c r="O113" i="2" s="1"/>
  <c r="K112" i="2"/>
  <c r="J112" i="2"/>
  <c r="I112" i="2"/>
  <c r="G112" i="2"/>
  <c r="O112" i="2" s="1"/>
  <c r="K111" i="2"/>
  <c r="J111" i="2"/>
  <c r="I111" i="2"/>
  <c r="G111" i="2"/>
  <c r="O111" i="2" s="1"/>
  <c r="K110" i="2"/>
  <c r="J110" i="2"/>
  <c r="I110" i="2"/>
  <c r="G110" i="2"/>
  <c r="O110" i="2" s="1"/>
  <c r="K109" i="2"/>
  <c r="J109" i="2"/>
  <c r="I109" i="2"/>
  <c r="G109" i="2"/>
  <c r="O109" i="2" s="1"/>
  <c r="K108" i="2"/>
  <c r="J108" i="2"/>
  <c r="I108" i="2"/>
  <c r="G108" i="2"/>
  <c r="O108" i="2" s="1"/>
  <c r="K107" i="2"/>
  <c r="J107" i="2"/>
  <c r="I107" i="2"/>
  <c r="G107" i="2"/>
  <c r="O107" i="2" s="1"/>
  <c r="K106" i="2"/>
  <c r="J106" i="2"/>
  <c r="I106" i="2"/>
  <c r="G106" i="2"/>
  <c r="O106" i="2" s="1"/>
  <c r="K105" i="2"/>
  <c r="J105" i="2"/>
  <c r="I105" i="2"/>
  <c r="G105" i="2"/>
  <c r="O105" i="2" s="1"/>
  <c r="K104" i="2"/>
  <c r="J104" i="2"/>
  <c r="I104" i="2"/>
  <c r="G104" i="2"/>
  <c r="O104" i="2" s="1"/>
  <c r="K103" i="2"/>
  <c r="J103" i="2"/>
  <c r="I103" i="2"/>
  <c r="G103" i="2"/>
  <c r="O103" i="2" s="1"/>
  <c r="K102" i="2"/>
  <c r="J102" i="2"/>
  <c r="I102" i="2"/>
  <c r="G102" i="2"/>
  <c r="O102" i="2" s="1"/>
  <c r="K101" i="2"/>
  <c r="J101" i="2"/>
  <c r="I101" i="2"/>
  <c r="G101" i="2"/>
  <c r="O101" i="2" s="1"/>
  <c r="K100" i="2"/>
  <c r="J100" i="2"/>
  <c r="I100" i="2"/>
  <c r="G100" i="2"/>
  <c r="O100" i="2" s="1"/>
  <c r="K99" i="2"/>
  <c r="J99" i="2"/>
  <c r="I99" i="2"/>
  <c r="G99" i="2"/>
  <c r="O99" i="2" s="1"/>
  <c r="O98" i="2"/>
  <c r="K98" i="2"/>
  <c r="J98" i="2"/>
  <c r="I98" i="2"/>
  <c r="G98" i="2"/>
  <c r="K97" i="2"/>
  <c r="J97" i="2"/>
  <c r="I97" i="2"/>
  <c r="G97" i="2"/>
  <c r="O97" i="2" s="1"/>
  <c r="O96" i="2"/>
  <c r="K96" i="2"/>
  <c r="J96" i="2"/>
  <c r="L96" i="2" s="1"/>
  <c r="I96" i="2"/>
  <c r="G96" i="2"/>
  <c r="K95" i="2"/>
  <c r="J95" i="2"/>
  <c r="I95" i="2"/>
  <c r="G95" i="2"/>
  <c r="O95" i="2" s="1"/>
  <c r="O94" i="2"/>
  <c r="K94" i="2"/>
  <c r="J94" i="2"/>
  <c r="I94" i="2"/>
  <c r="G94" i="2"/>
  <c r="K93" i="2"/>
  <c r="J93" i="2"/>
  <c r="I93" i="2"/>
  <c r="G93" i="2"/>
  <c r="O93" i="2" s="1"/>
  <c r="K92" i="2"/>
  <c r="J92" i="2"/>
  <c r="I92" i="2"/>
  <c r="G92" i="2"/>
  <c r="O92" i="2" s="1"/>
  <c r="K91" i="2"/>
  <c r="J91" i="2"/>
  <c r="I91" i="2"/>
  <c r="G91" i="2"/>
  <c r="O91" i="2" s="1"/>
  <c r="O90" i="2"/>
  <c r="K90" i="2"/>
  <c r="J90" i="2"/>
  <c r="I90" i="2"/>
  <c r="G90" i="2"/>
  <c r="K89" i="2"/>
  <c r="J89" i="2"/>
  <c r="I89" i="2"/>
  <c r="G89" i="2"/>
  <c r="O89" i="2" s="1"/>
  <c r="K88" i="2"/>
  <c r="J88" i="2"/>
  <c r="I88" i="2"/>
  <c r="G88" i="2"/>
  <c r="O88" i="2" s="1"/>
  <c r="K87" i="2"/>
  <c r="J87" i="2"/>
  <c r="I87" i="2"/>
  <c r="G87" i="2"/>
  <c r="O87" i="2" s="1"/>
  <c r="O86" i="2"/>
  <c r="K86" i="2"/>
  <c r="J86" i="2"/>
  <c r="I86" i="2"/>
  <c r="G86" i="2"/>
  <c r="K85" i="2"/>
  <c r="J85" i="2"/>
  <c r="I85" i="2"/>
  <c r="G85" i="2"/>
  <c r="O85" i="2" s="1"/>
  <c r="O84" i="2"/>
  <c r="K84" i="2"/>
  <c r="J84" i="2"/>
  <c r="I84" i="2"/>
  <c r="G84" i="2"/>
  <c r="K83" i="2"/>
  <c r="J83" i="2"/>
  <c r="I83" i="2"/>
  <c r="G83" i="2"/>
  <c r="O83" i="2" s="1"/>
  <c r="N82" i="2"/>
  <c r="K82" i="2"/>
  <c r="J82" i="2"/>
  <c r="I82" i="2"/>
  <c r="G82" i="2"/>
  <c r="K81" i="2"/>
  <c r="J81" i="2"/>
  <c r="I81" i="2"/>
  <c r="G81" i="2"/>
  <c r="N81" i="2" s="1"/>
  <c r="K80" i="2"/>
  <c r="J80" i="2"/>
  <c r="I80" i="2"/>
  <c r="G80" i="2"/>
  <c r="N80" i="2" s="1"/>
  <c r="K79" i="2"/>
  <c r="J79" i="2"/>
  <c r="I79" i="2"/>
  <c r="G79" i="2"/>
  <c r="N79" i="2" s="1"/>
  <c r="N78" i="2"/>
  <c r="K78" i="2"/>
  <c r="J78" i="2"/>
  <c r="I78" i="2"/>
  <c r="G78" i="2"/>
  <c r="K77" i="2"/>
  <c r="J77" i="2"/>
  <c r="I77" i="2"/>
  <c r="G77" i="2"/>
  <c r="N77" i="2" s="1"/>
  <c r="K76" i="2"/>
  <c r="J76" i="2"/>
  <c r="I76" i="2"/>
  <c r="G76" i="2"/>
  <c r="N76" i="2" s="1"/>
  <c r="K75" i="2"/>
  <c r="J75" i="2"/>
  <c r="I75" i="2"/>
  <c r="G75" i="2"/>
  <c r="N75" i="2" s="1"/>
  <c r="N74" i="2"/>
  <c r="K74" i="2"/>
  <c r="J74" i="2"/>
  <c r="I74" i="2"/>
  <c r="G74" i="2"/>
  <c r="K73" i="2"/>
  <c r="J73" i="2"/>
  <c r="I73" i="2"/>
  <c r="G73" i="2"/>
  <c r="N73" i="2" s="1"/>
  <c r="N72" i="2"/>
  <c r="K72" i="2"/>
  <c r="J72" i="2"/>
  <c r="L72" i="2" s="1"/>
  <c r="I72" i="2"/>
  <c r="G72" i="2"/>
  <c r="K71" i="2"/>
  <c r="J71" i="2"/>
  <c r="I71" i="2"/>
  <c r="G71" i="2"/>
  <c r="N71" i="2" s="1"/>
  <c r="N70" i="2"/>
  <c r="K70" i="2"/>
  <c r="J70" i="2"/>
  <c r="I70" i="2"/>
  <c r="G70" i="2"/>
  <c r="K69" i="2"/>
  <c r="J69" i="2"/>
  <c r="I69" i="2"/>
  <c r="G69" i="2"/>
  <c r="N69" i="2" s="1"/>
  <c r="K68" i="2"/>
  <c r="J68" i="2"/>
  <c r="I68" i="2"/>
  <c r="G68" i="2"/>
  <c r="N68" i="2" s="1"/>
  <c r="K67" i="2"/>
  <c r="J67" i="2"/>
  <c r="I67" i="2"/>
  <c r="G67" i="2"/>
  <c r="N67" i="2" s="1"/>
  <c r="N66" i="2"/>
  <c r="K66" i="2"/>
  <c r="J66" i="2"/>
  <c r="I66" i="2"/>
  <c r="G66" i="2"/>
  <c r="K65" i="2"/>
  <c r="J65" i="2"/>
  <c r="I65" i="2"/>
  <c r="G65" i="2"/>
  <c r="N65" i="2" s="1"/>
  <c r="K64" i="2"/>
  <c r="J64" i="2"/>
  <c r="I64" i="2"/>
  <c r="G64" i="2"/>
  <c r="N64" i="2" s="1"/>
  <c r="K63" i="2"/>
  <c r="J63" i="2"/>
  <c r="I63" i="2"/>
  <c r="G63" i="2"/>
  <c r="N63" i="2" s="1"/>
  <c r="N62" i="2"/>
  <c r="K62" i="2"/>
  <c r="J62" i="2"/>
  <c r="I62" i="2"/>
  <c r="G62" i="2"/>
  <c r="K61" i="2"/>
  <c r="J61" i="2"/>
  <c r="I61" i="2"/>
  <c r="G61" i="2"/>
  <c r="N61" i="2" s="1"/>
  <c r="N60" i="2"/>
  <c r="K60" i="2"/>
  <c r="J60" i="2"/>
  <c r="L60" i="2" s="1"/>
  <c r="I60" i="2"/>
  <c r="G60" i="2"/>
  <c r="K59" i="2"/>
  <c r="J59" i="2"/>
  <c r="I59" i="2"/>
  <c r="G59" i="2"/>
  <c r="N59" i="2" s="1"/>
  <c r="N58" i="2"/>
  <c r="K58" i="2"/>
  <c r="J58" i="2"/>
  <c r="I58" i="2"/>
  <c r="G58" i="2"/>
  <c r="K57" i="2"/>
  <c r="J57" i="2"/>
  <c r="I57" i="2"/>
  <c r="G57" i="2"/>
  <c r="N57" i="2" s="1"/>
  <c r="K56" i="2"/>
  <c r="J56" i="2"/>
  <c r="I56" i="2"/>
  <c r="G56" i="2"/>
  <c r="N56" i="2" s="1"/>
  <c r="K55" i="2"/>
  <c r="J55" i="2"/>
  <c r="I55" i="2"/>
  <c r="G55" i="2"/>
  <c r="N55" i="2" s="1"/>
  <c r="N54" i="2"/>
  <c r="K54" i="2"/>
  <c r="J54" i="2"/>
  <c r="I54" i="2"/>
  <c r="G54" i="2"/>
  <c r="K53" i="2"/>
  <c r="J53" i="2"/>
  <c r="I53" i="2"/>
  <c r="G53" i="2"/>
  <c r="N53" i="2" s="1"/>
  <c r="K52" i="2"/>
  <c r="J52" i="2"/>
  <c r="L52" i="2" s="1"/>
  <c r="I52" i="2"/>
  <c r="G52" i="2"/>
  <c r="N52" i="2" s="1"/>
  <c r="N51" i="2"/>
  <c r="K51" i="2"/>
  <c r="J51" i="2"/>
  <c r="I51" i="2"/>
  <c r="G51" i="2"/>
  <c r="K50" i="2"/>
  <c r="J50" i="2"/>
  <c r="L50" i="2" s="1"/>
  <c r="I50" i="2"/>
  <c r="G50" i="2"/>
  <c r="N50" i="2" s="1"/>
  <c r="N49" i="2"/>
  <c r="K49" i="2"/>
  <c r="J49" i="2"/>
  <c r="I49" i="2"/>
  <c r="G49" i="2"/>
  <c r="K48" i="2"/>
  <c r="J48" i="2"/>
  <c r="L48" i="2" s="1"/>
  <c r="I48" i="2"/>
  <c r="G48" i="2"/>
  <c r="N48" i="2" s="1"/>
  <c r="N47" i="2"/>
  <c r="K47" i="2"/>
  <c r="J47" i="2"/>
  <c r="L47" i="2" s="1"/>
  <c r="I47" i="2"/>
  <c r="G47" i="2"/>
  <c r="K46" i="2"/>
  <c r="J46" i="2"/>
  <c r="L46" i="2" s="1"/>
  <c r="I46" i="2"/>
  <c r="G46" i="2"/>
  <c r="N46" i="2" s="1"/>
  <c r="N45" i="2"/>
  <c r="K45" i="2"/>
  <c r="J45" i="2"/>
  <c r="L45" i="2" s="1"/>
  <c r="I45" i="2"/>
  <c r="G45" i="2"/>
  <c r="K44" i="2"/>
  <c r="J44" i="2"/>
  <c r="I44" i="2"/>
  <c r="G44" i="2"/>
  <c r="N44" i="2" s="1"/>
  <c r="N43" i="2"/>
  <c r="K43" i="2"/>
  <c r="J43" i="2"/>
  <c r="I43" i="2"/>
  <c r="G43" i="2"/>
  <c r="K42" i="2"/>
  <c r="J42" i="2"/>
  <c r="L42" i="2" s="1"/>
  <c r="I42" i="2"/>
  <c r="G42" i="2"/>
  <c r="N42" i="2" s="1"/>
  <c r="N41" i="2"/>
  <c r="K41" i="2"/>
  <c r="J41" i="2"/>
  <c r="I41" i="2"/>
  <c r="G41" i="2"/>
  <c r="K40" i="2"/>
  <c r="J40" i="2"/>
  <c r="L40" i="2" s="1"/>
  <c r="I40" i="2"/>
  <c r="G40" i="2"/>
  <c r="N40" i="2" s="1"/>
  <c r="N39" i="2"/>
  <c r="K39" i="2"/>
  <c r="J39" i="2"/>
  <c r="I39" i="2"/>
  <c r="G39" i="2"/>
  <c r="K38" i="2"/>
  <c r="J38" i="2"/>
  <c r="L38" i="2" s="1"/>
  <c r="I38" i="2"/>
  <c r="G38" i="2"/>
  <c r="N38" i="2" s="1"/>
  <c r="N37" i="2"/>
  <c r="K37" i="2"/>
  <c r="J37" i="2"/>
  <c r="I37" i="2"/>
  <c r="G37" i="2"/>
  <c r="K36" i="2"/>
  <c r="J36" i="2"/>
  <c r="L36" i="2" s="1"/>
  <c r="I36" i="2"/>
  <c r="G36" i="2"/>
  <c r="N36" i="2" s="1"/>
  <c r="N35" i="2"/>
  <c r="K35" i="2"/>
  <c r="J35" i="2"/>
  <c r="L35" i="2" s="1"/>
  <c r="I35" i="2"/>
  <c r="G35" i="2"/>
  <c r="K34" i="2"/>
  <c r="J34" i="2"/>
  <c r="L34" i="2" s="1"/>
  <c r="I34" i="2"/>
  <c r="G34" i="2"/>
  <c r="N34" i="2" s="1"/>
  <c r="N33" i="2"/>
  <c r="K33" i="2"/>
  <c r="J33" i="2"/>
  <c r="L33" i="2" s="1"/>
  <c r="I33" i="2"/>
  <c r="G33" i="2"/>
  <c r="K32" i="2"/>
  <c r="J32" i="2"/>
  <c r="I32" i="2"/>
  <c r="L32" i="2" s="1"/>
  <c r="G32" i="2"/>
  <c r="N32" i="2" s="1"/>
  <c r="N31" i="2"/>
  <c r="K31" i="2"/>
  <c r="J31" i="2"/>
  <c r="I31" i="2"/>
  <c r="G31" i="2"/>
  <c r="K30" i="2"/>
  <c r="J30" i="2"/>
  <c r="L30" i="2" s="1"/>
  <c r="I30" i="2"/>
  <c r="G30" i="2"/>
  <c r="N30" i="2" s="1"/>
  <c r="N29" i="2"/>
  <c r="K29" i="2"/>
  <c r="J29" i="2"/>
  <c r="I29" i="2"/>
  <c r="G29" i="2"/>
  <c r="K28" i="2"/>
  <c r="J28" i="2"/>
  <c r="L28" i="2" s="1"/>
  <c r="I28" i="2"/>
  <c r="G28" i="2"/>
  <c r="N28" i="2" s="1"/>
  <c r="N27" i="2"/>
  <c r="K27" i="2"/>
  <c r="J27" i="2"/>
  <c r="I27" i="2"/>
  <c r="G27" i="2"/>
  <c r="K26" i="2"/>
  <c r="J26" i="2"/>
  <c r="L26" i="2" s="1"/>
  <c r="I26" i="2"/>
  <c r="G26" i="2"/>
  <c r="N26" i="2" s="1"/>
  <c r="N25" i="2"/>
  <c r="K25" i="2"/>
  <c r="J25" i="2"/>
  <c r="I25" i="2"/>
  <c r="G25" i="2"/>
  <c r="K24" i="2"/>
  <c r="J24" i="2"/>
  <c r="L24" i="2" s="1"/>
  <c r="I24" i="2"/>
  <c r="G24" i="2"/>
  <c r="N24" i="2" s="1"/>
  <c r="N23" i="2"/>
  <c r="K23" i="2"/>
  <c r="J23" i="2"/>
  <c r="L23" i="2" s="1"/>
  <c r="I23" i="2"/>
  <c r="G23" i="2"/>
  <c r="K22" i="2"/>
  <c r="J22" i="2"/>
  <c r="L22" i="2" s="1"/>
  <c r="I22" i="2"/>
  <c r="G22" i="2"/>
  <c r="N22" i="2" s="1"/>
  <c r="N21" i="2"/>
  <c r="K21" i="2"/>
  <c r="J21" i="2"/>
  <c r="L21" i="2" s="1"/>
  <c r="I21" i="2"/>
  <c r="G21" i="2"/>
  <c r="K20" i="2"/>
  <c r="J20" i="2"/>
  <c r="I20" i="2"/>
  <c r="G20" i="2"/>
  <c r="N20" i="2" s="1"/>
  <c r="N19" i="2"/>
  <c r="K19" i="2"/>
  <c r="J19" i="2"/>
  <c r="I19" i="2"/>
  <c r="G19" i="2"/>
  <c r="K18" i="2"/>
  <c r="J18" i="2"/>
  <c r="L18" i="2" s="1"/>
  <c r="I18" i="2"/>
  <c r="G18" i="2"/>
  <c r="N18" i="2" s="1"/>
  <c r="N17" i="2"/>
  <c r="K17" i="2"/>
  <c r="J17" i="2"/>
  <c r="I17" i="2"/>
  <c r="G17" i="2"/>
  <c r="K16" i="2"/>
  <c r="J16" i="2"/>
  <c r="L16" i="2" s="1"/>
  <c r="I16" i="2"/>
  <c r="G16" i="2"/>
  <c r="N16" i="2" s="1"/>
  <c r="N15" i="2"/>
  <c r="K15" i="2"/>
  <c r="J15" i="2"/>
  <c r="I15" i="2"/>
  <c r="G15" i="2"/>
  <c r="K14" i="2"/>
  <c r="J14" i="2"/>
  <c r="L14" i="2" s="1"/>
  <c r="I14" i="2"/>
  <c r="G14" i="2"/>
  <c r="N14" i="2" s="1"/>
  <c r="N13" i="2"/>
  <c r="K13" i="2"/>
  <c r="J13" i="2"/>
  <c r="I13" i="2"/>
  <c r="G13" i="2"/>
  <c r="K12" i="2"/>
  <c r="J12" i="2"/>
  <c r="L12" i="2" s="1"/>
  <c r="I12" i="2"/>
  <c r="G12" i="2"/>
  <c r="N12" i="2" s="1"/>
  <c r="N11" i="2"/>
  <c r="K11" i="2"/>
  <c r="J11" i="2"/>
  <c r="L11" i="2" s="1"/>
  <c r="I11" i="2"/>
  <c r="G11" i="2"/>
  <c r="K10" i="2"/>
  <c r="J10" i="2"/>
  <c r="L10" i="2" s="1"/>
  <c r="I10" i="2"/>
  <c r="G10" i="2"/>
  <c r="N10" i="2" s="1"/>
  <c r="N9" i="2"/>
  <c r="K9" i="2"/>
  <c r="J9" i="2"/>
  <c r="L9" i="2" s="1"/>
  <c r="I9" i="2"/>
  <c r="G9" i="2"/>
  <c r="K8" i="2"/>
  <c r="J8" i="2"/>
  <c r="I8" i="2"/>
  <c r="G8" i="2"/>
  <c r="N8" i="2" s="1"/>
  <c r="N7" i="2"/>
  <c r="K7" i="2"/>
  <c r="J7" i="2"/>
  <c r="I7" i="2"/>
  <c r="G7" i="2"/>
  <c r="K6" i="2"/>
  <c r="J6" i="2"/>
  <c r="L6" i="2" s="1"/>
  <c r="I6" i="2"/>
  <c r="G6" i="2"/>
  <c r="N6" i="2" s="1"/>
  <c r="N5" i="2"/>
  <c r="K5" i="2"/>
  <c r="J5" i="2"/>
  <c r="I5" i="2"/>
  <c r="G5" i="2"/>
  <c r="K4" i="2"/>
  <c r="J4" i="2"/>
  <c r="L4" i="2" s="1"/>
  <c r="I4" i="2"/>
  <c r="G4" i="2"/>
  <c r="N4" i="2" s="1"/>
  <c r="N3" i="2"/>
  <c r="K3" i="2"/>
  <c r="J3" i="2"/>
  <c r="I3" i="2"/>
  <c r="G3" i="2"/>
  <c r="K2" i="2"/>
  <c r="J2" i="2"/>
  <c r="L2" i="2" s="1"/>
  <c r="I2" i="2"/>
  <c r="G2" i="2"/>
  <c r="N2" i="2" s="1"/>
  <c r="G34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J2" i="1"/>
  <c r="I2" i="1"/>
  <c r="F343" i="1"/>
  <c r="G11" i="1" s="1"/>
  <c r="N11" i="1" s="1"/>
  <c r="L51" i="14" l="1"/>
  <c r="L75" i="14"/>
  <c r="L99" i="14"/>
  <c r="L123" i="14"/>
  <c r="L147" i="14"/>
  <c r="L171" i="14"/>
  <c r="L209" i="14"/>
  <c r="L49" i="14"/>
  <c r="L73" i="14"/>
  <c r="L97" i="14"/>
  <c r="L121" i="14"/>
  <c r="L145" i="14"/>
  <c r="L169" i="14"/>
  <c r="L47" i="14"/>
  <c r="L71" i="14"/>
  <c r="L95" i="14"/>
  <c r="L119" i="14"/>
  <c r="L301" i="14"/>
  <c r="L43" i="14"/>
  <c r="L67" i="14"/>
  <c r="L91" i="14"/>
  <c r="L115" i="14"/>
  <c r="L139" i="14"/>
  <c r="L163" i="14"/>
  <c r="L65" i="14"/>
  <c r="L89" i="14"/>
  <c r="L113" i="14"/>
  <c r="L137" i="14"/>
  <c r="L161" i="14"/>
  <c r="L226" i="14"/>
  <c r="L63" i="14"/>
  <c r="L87" i="14"/>
  <c r="L111" i="14"/>
  <c r="L135" i="14"/>
  <c r="L159" i="14"/>
  <c r="L196" i="14"/>
  <c r="L289" i="14"/>
  <c r="L61" i="14"/>
  <c r="L85" i="14"/>
  <c r="L109" i="14"/>
  <c r="L221" i="14"/>
  <c r="L57" i="14"/>
  <c r="L81" i="14"/>
  <c r="L105" i="14"/>
  <c r="L129" i="14"/>
  <c r="L153" i="14"/>
  <c r="L182" i="14"/>
  <c r="L199" i="14"/>
  <c r="L55" i="14"/>
  <c r="L79" i="14"/>
  <c r="L103" i="14"/>
  <c r="L277" i="14"/>
  <c r="L272" i="14"/>
  <c r="L210" i="14"/>
  <c r="L222" i="14"/>
  <c r="L325" i="14"/>
  <c r="L220" i="14"/>
  <c r="L270" i="14"/>
  <c r="L276" i="14"/>
  <c r="L282" i="14"/>
  <c r="L288" i="14"/>
  <c r="L218" i="14"/>
  <c r="L230" i="14"/>
  <c r="L238" i="14"/>
  <c r="L246" i="14"/>
  <c r="L254" i="14"/>
  <c r="L262" i="14"/>
  <c r="L333" i="14"/>
  <c r="L216" i="14"/>
  <c r="L228" i="14"/>
  <c r="L268" i="14"/>
  <c r="L274" i="14"/>
  <c r="L280" i="14"/>
  <c r="L286" i="14"/>
  <c r="L313" i="14"/>
  <c r="L337" i="14"/>
  <c r="G232" i="14"/>
  <c r="O232" i="14" s="1"/>
  <c r="G234" i="14"/>
  <c r="O234" i="14" s="1"/>
  <c r="G236" i="14"/>
  <c r="O236" i="14" s="1"/>
  <c r="G238" i="14"/>
  <c r="O238" i="14" s="1"/>
  <c r="G240" i="14"/>
  <c r="O240" i="14" s="1"/>
  <c r="G242" i="14"/>
  <c r="O242" i="14" s="1"/>
  <c r="G244" i="14"/>
  <c r="O244" i="14" s="1"/>
  <c r="G246" i="14"/>
  <c r="O246" i="14" s="1"/>
  <c r="G248" i="14"/>
  <c r="O248" i="14" s="1"/>
  <c r="G250" i="14"/>
  <c r="O250" i="14" s="1"/>
  <c r="G252" i="14"/>
  <c r="O252" i="14" s="1"/>
  <c r="G254" i="14"/>
  <c r="O254" i="14" s="1"/>
  <c r="G256" i="14"/>
  <c r="O256" i="14" s="1"/>
  <c r="G258" i="14"/>
  <c r="O258" i="14" s="1"/>
  <c r="G260" i="14"/>
  <c r="O260" i="14" s="1"/>
  <c r="G262" i="14"/>
  <c r="O262" i="14" s="1"/>
  <c r="G264" i="14"/>
  <c r="O264" i="14" s="1"/>
  <c r="G266" i="14"/>
  <c r="O266" i="14" s="1"/>
  <c r="G268" i="14"/>
  <c r="O268" i="14" s="1"/>
  <c r="G270" i="14"/>
  <c r="O270" i="14" s="1"/>
  <c r="G272" i="14"/>
  <c r="O272" i="14" s="1"/>
  <c r="G274" i="14"/>
  <c r="O274" i="14" s="1"/>
  <c r="G276" i="14"/>
  <c r="O276" i="14" s="1"/>
  <c r="G278" i="14"/>
  <c r="O278" i="14" s="1"/>
  <c r="G280" i="14"/>
  <c r="O280" i="14" s="1"/>
  <c r="G282" i="14"/>
  <c r="O282" i="14" s="1"/>
  <c r="G284" i="14"/>
  <c r="O284" i="14" s="1"/>
  <c r="G286" i="14"/>
  <c r="O286" i="14" s="1"/>
  <c r="G288" i="14"/>
  <c r="O288" i="14" s="1"/>
  <c r="G290" i="14"/>
  <c r="O290" i="14" s="1"/>
  <c r="G292" i="14"/>
  <c r="O292" i="14" s="1"/>
  <c r="G294" i="14"/>
  <c r="O294" i="14" s="1"/>
  <c r="G296" i="14"/>
  <c r="O296" i="14" s="1"/>
  <c r="G298" i="14"/>
  <c r="O298" i="14" s="1"/>
  <c r="G300" i="14"/>
  <c r="O300" i="14" s="1"/>
  <c r="G302" i="14"/>
  <c r="O302" i="14" s="1"/>
  <c r="G304" i="14"/>
  <c r="O304" i="14" s="1"/>
  <c r="G306" i="14"/>
  <c r="O306" i="14" s="1"/>
  <c r="G308" i="14"/>
  <c r="O308" i="14" s="1"/>
  <c r="G310" i="14"/>
  <c r="O310" i="14" s="1"/>
  <c r="G312" i="14"/>
  <c r="O312" i="14" s="1"/>
  <c r="G314" i="14"/>
  <c r="O314" i="14" s="1"/>
  <c r="G316" i="14"/>
  <c r="O316" i="14" s="1"/>
  <c r="G318" i="14"/>
  <c r="O318" i="14" s="1"/>
  <c r="G320" i="14"/>
  <c r="O320" i="14" s="1"/>
  <c r="G322" i="14"/>
  <c r="O322" i="14" s="1"/>
  <c r="G324" i="14"/>
  <c r="O324" i="14" s="1"/>
  <c r="G326" i="14"/>
  <c r="O326" i="14" s="1"/>
  <c r="G328" i="14"/>
  <c r="O328" i="14" s="1"/>
  <c r="G330" i="14"/>
  <c r="O330" i="14" s="1"/>
  <c r="G332" i="14"/>
  <c r="O332" i="14" s="1"/>
  <c r="G334" i="14"/>
  <c r="O334" i="14" s="1"/>
  <c r="G336" i="14"/>
  <c r="O336" i="14" s="1"/>
  <c r="G338" i="14"/>
  <c r="O338" i="14" s="1"/>
  <c r="G47" i="3"/>
  <c r="N47" i="3" s="1"/>
  <c r="G70" i="3"/>
  <c r="N70" i="3" s="1"/>
  <c r="G4" i="3"/>
  <c r="N4" i="3" s="1"/>
  <c r="G60" i="3"/>
  <c r="N60" i="3" s="1"/>
  <c r="G53" i="3"/>
  <c r="N53" i="3" s="1"/>
  <c r="L246" i="11"/>
  <c r="L210" i="11"/>
  <c r="L174" i="11"/>
  <c r="L138" i="11"/>
  <c r="L102" i="11"/>
  <c r="L66" i="11"/>
  <c r="L42" i="11"/>
  <c r="L24" i="11"/>
  <c r="L6" i="11"/>
  <c r="L249" i="11"/>
  <c r="L213" i="11"/>
  <c r="L177" i="11"/>
  <c r="L141" i="11"/>
  <c r="L105" i="11"/>
  <c r="L69" i="11"/>
  <c r="L252" i="11"/>
  <c r="L216" i="11"/>
  <c r="L180" i="11"/>
  <c r="L144" i="11"/>
  <c r="L108" i="11"/>
  <c r="L72" i="11"/>
  <c r="L45" i="11"/>
  <c r="L27" i="11"/>
  <c r="L9" i="11"/>
  <c r="L255" i="11"/>
  <c r="L219" i="11"/>
  <c r="L183" i="11"/>
  <c r="L147" i="11"/>
  <c r="L111" i="11"/>
  <c r="L75" i="11"/>
  <c r="L150" i="11"/>
  <c r="L114" i="11"/>
  <c r="L78" i="11"/>
  <c r="L48" i="11"/>
  <c r="L30" i="11"/>
  <c r="L12" i="11"/>
  <c r="L228" i="11"/>
  <c r="L192" i="11"/>
  <c r="L156" i="11"/>
  <c r="L120" i="11"/>
  <c r="L84" i="11"/>
  <c r="L51" i="11"/>
  <c r="L33" i="11"/>
  <c r="L15" i="11"/>
  <c r="L231" i="11"/>
  <c r="L195" i="11"/>
  <c r="L159" i="11"/>
  <c r="L123" i="11"/>
  <c r="L87" i="11"/>
  <c r="L234" i="11"/>
  <c r="L198" i="11"/>
  <c r="L162" i="11"/>
  <c r="L126" i="11"/>
  <c r="L90" i="11"/>
  <c r="L54" i="11"/>
  <c r="L36" i="11"/>
  <c r="L18" i="11"/>
  <c r="L237" i="11"/>
  <c r="L201" i="11"/>
  <c r="L165" i="11"/>
  <c r="L129" i="11"/>
  <c r="L93" i="11"/>
  <c r="L57" i="11"/>
  <c r="L240" i="11"/>
  <c r="L204" i="11"/>
  <c r="L168" i="11"/>
  <c r="L132" i="11"/>
  <c r="L96" i="11"/>
  <c r="L60" i="11"/>
  <c r="L39" i="11"/>
  <c r="L21" i="11"/>
  <c r="L2" i="11"/>
  <c r="P331" i="11"/>
  <c r="P293" i="11"/>
  <c r="M14" i="11"/>
  <c r="M38" i="11"/>
  <c r="M65" i="11"/>
  <c r="N92" i="11"/>
  <c r="N123" i="11"/>
  <c r="O152" i="11"/>
  <c r="P199" i="11"/>
  <c r="P247" i="11"/>
  <c r="P295" i="11"/>
  <c r="M8" i="11"/>
  <c r="M32" i="11"/>
  <c r="M63" i="11"/>
  <c r="N91" i="11"/>
  <c r="P245" i="11"/>
  <c r="M15" i="11"/>
  <c r="M39" i="11"/>
  <c r="M67" i="11"/>
  <c r="N98" i="11"/>
  <c r="N125" i="11"/>
  <c r="O158" i="11"/>
  <c r="P200" i="11"/>
  <c r="P248" i="11"/>
  <c r="P296" i="11"/>
  <c r="M16" i="11"/>
  <c r="M41" i="11"/>
  <c r="M68" i="11"/>
  <c r="N99" i="11"/>
  <c r="N127" i="11"/>
  <c r="O161" i="11"/>
  <c r="P209" i="11"/>
  <c r="P257" i="11"/>
  <c r="P305" i="11"/>
  <c r="M17" i="11"/>
  <c r="M43" i="11"/>
  <c r="M74" i="11"/>
  <c r="N101" i="11"/>
  <c r="N128" i="11"/>
  <c r="O163" i="11"/>
  <c r="P211" i="11"/>
  <c r="P259" i="11"/>
  <c r="P307" i="11"/>
  <c r="M19" i="11"/>
  <c r="M44" i="11"/>
  <c r="M75" i="11"/>
  <c r="N103" i="11"/>
  <c r="N134" i="11"/>
  <c r="O164" i="11"/>
  <c r="P212" i="11"/>
  <c r="P260" i="11"/>
  <c r="P308" i="11"/>
  <c r="M20" i="11"/>
  <c r="M50" i="11"/>
  <c r="M77" i="11"/>
  <c r="N104" i="11"/>
  <c r="O135" i="11"/>
  <c r="O173" i="11"/>
  <c r="P221" i="11"/>
  <c r="P269" i="11"/>
  <c r="P317" i="11"/>
  <c r="P197" i="11"/>
  <c r="M2" i="11"/>
  <c r="M26" i="11"/>
  <c r="M51" i="11"/>
  <c r="M79" i="11"/>
  <c r="N110" i="11"/>
  <c r="O137" i="11"/>
  <c r="O175" i="11"/>
  <c r="P223" i="11"/>
  <c r="P271" i="11"/>
  <c r="P319" i="11"/>
  <c r="O151" i="11"/>
  <c r="M3" i="11"/>
  <c r="M27" i="11"/>
  <c r="M53" i="11"/>
  <c r="M80" i="11"/>
  <c r="N111" i="11"/>
  <c r="O139" i="11"/>
  <c r="O176" i="11"/>
  <c r="P224" i="11"/>
  <c r="P272" i="11"/>
  <c r="P320" i="11"/>
  <c r="M4" i="11"/>
  <c r="M28" i="11"/>
  <c r="M55" i="11"/>
  <c r="N86" i="11"/>
  <c r="N113" i="11"/>
  <c r="O140" i="11"/>
  <c r="O185" i="11"/>
  <c r="P233" i="11"/>
  <c r="P281" i="11"/>
  <c r="P329" i="11"/>
  <c r="M5" i="11"/>
  <c r="M29" i="11"/>
  <c r="M56" i="11"/>
  <c r="N87" i="11"/>
  <c r="N115" i="11"/>
  <c r="O146" i="11"/>
  <c r="O187" i="11"/>
  <c r="P235" i="11"/>
  <c r="P283" i="11"/>
  <c r="M7" i="11"/>
  <c r="M31" i="11"/>
  <c r="M62" i="11"/>
  <c r="N89" i="11"/>
  <c r="N116" i="11"/>
  <c r="O149" i="11"/>
  <c r="O188" i="11"/>
  <c r="P236" i="11"/>
  <c r="P284" i="11"/>
  <c r="P332" i="11"/>
  <c r="M9" i="11"/>
  <c r="M21" i="11"/>
  <c r="M33" i="11"/>
  <c r="M45" i="11"/>
  <c r="M57" i="11"/>
  <c r="M69" i="11"/>
  <c r="M81" i="11"/>
  <c r="N93" i="11"/>
  <c r="N105" i="11"/>
  <c r="N117" i="11"/>
  <c r="N129" i="11"/>
  <c r="O141" i="11"/>
  <c r="O153" i="11"/>
  <c r="O165" i="11"/>
  <c r="O177" i="11"/>
  <c r="O189" i="11"/>
  <c r="P201" i="11"/>
  <c r="P213" i="11"/>
  <c r="P225" i="11"/>
  <c r="P237" i="11"/>
  <c r="P249" i="11"/>
  <c r="P261" i="11"/>
  <c r="P273" i="11"/>
  <c r="P285" i="11"/>
  <c r="P297" i="11"/>
  <c r="P309" i="11"/>
  <c r="P321" i="11"/>
  <c r="P333" i="11"/>
  <c r="M10" i="11"/>
  <c r="M22" i="11"/>
  <c r="M34" i="11"/>
  <c r="M46" i="11"/>
  <c r="M58" i="11"/>
  <c r="M70" i="11"/>
  <c r="M82" i="11"/>
  <c r="N94" i="11"/>
  <c r="N106" i="11"/>
  <c r="N118" i="11"/>
  <c r="N130" i="11"/>
  <c r="O142" i="11"/>
  <c r="O154" i="11"/>
  <c r="O166" i="11"/>
  <c r="O178" i="11"/>
  <c r="O190" i="11"/>
  <c r="P202" i="11"/>
  <c r="P214" i="11"/>
  <c r="P226" i="11"/>
  <c r="P238" i="11"/>
  <c r="P250" i="11"/>
  <c r="P262" i="11"/>
  <c r="P274" i="11"/>
  <c r="P286" i="11"/>
  <c r="P298" i="11"/>
  <c r="P310" i="11"/>
  <c r="P322" i="11"/>
  <c r="P334" i="11"/>
  <c r="M11" i="11"/>
  <c r="M23" i="11"/>
  <c r="M35" i="11"/>
  <c r="M47" i="11"/>
  <c r="M59" i="11"/>
  <c r="M71" i="11"/>
  <c r="N83" i="11"/>
  <c r="N95" i="11"/>
  <c r="N107" i="11"/>
  <c r="N119" i="11"/>
  <c r="N131" i="11"/>
  <c r="O143" i="11"/>
  <c r="O155" i="11"/>
  <c r="O167" i="11"/>
  <c r="O179" i="11"/>
  <c r="O191" i="11"/>
  <c r="P203" i="11"/>
  <c r="P215" i="11"/>
  <c r="P227" i="11"/>
  <c r="P239" i="11"/>
  <c r="P251" i="11"/>
  <c r="P263" i="11"/>
  <c r="P275" i="11"/>
  <c r="P287" i="11"/>
  <c r="P299" i="11"/>
  <c r="P311" i="11"/>
  <c r="P323" i="11"/>
  <c r="P335" i="11"/>
  <c r="M12" i="11"/>
  <c r="M24" i="11"/>
  <c r="M36" i="11"/>
  <c r="M48" i="11"/>
  <c r="M60" i="11"/>
  <c r="M72" i="11"/>
  <c r="N84" i="11"/>
  <c r="N96" i="11"/>
  <c r="N108" i="11"/>
  <c r="N120" i="11"/>
  <c r="N132" i="11"/>
  <c r="O144" i="11"/>
  <c r="O156" i="11"/>
  <c r="O168" i="11"/>
  <c r="O180" i="11"/>
  <c r="P192" i="11"/>
  <c r="P204" i="11"/>
  <c r="P216" i="11"/>
  <c r="P228" i="11"/>
  <c r="P240" i="11"/>
  <c r="P252" i="11"/>
  <c r="P264" i="11"/>
  <c r="P276" i="11"/>
  <c r="P288" i="11"/>
  <c r="P300" i="11"/>
  <c r="P312" i="11"/>
  <c r="P324" i="11"/>
  <c r="P336" i="11"/>
  <c r="M13" i="11"/>
  <c r="M25" i="11"/>
  <c r="M37" i="11"/>
  <c r="M49" i="11"/>
  <c r="M61" i="11"/>
  <c r="M73" i="11"/>
  <c r="N85" i="11"/>
  <c r="N97" i="11"/>
  <c r="N109" i="11"/>
  <c r="N121" i="11"/>
  <c r="N133" i="11"/>
  <c r="O145" i="11"/>
  <c r="O157" i="11"/>
  <c r="O169" i="11"/>
  <c r="O181" i="11"/>
  <c r="P193" i="11"/>
  <c r="P205" i="11"/>
  <c r="P217" i="11"/>
  <c r="P229" i="11"/>
  <c r="P241" i="11"/>
  <c r="P253" i="11"/>
  <c r="P265" i="11"/>
  <c r="P277" i="11"/>
  <c r="P289" i="11"/>
  <c r="P301" i="11"/>
  <c r="P313" i="11"/>
  <c r="P325" i="11"/>
  <c r="P337" i="11"/>
  <c r="O170" i="11"/>
  <c r="O182" i="11"/>
  <c r="P194" i="11"/>
  <c r="P206" i="11"/>
  <c r="P218" i="11"/>
  <c r="P230" i="11"/>
  <c r="P242" i="11"/>
  <c r="P254" i="11"/>
  <c r="P266" i="11"/>
  <c r="P278" i="11"/>
  <c r="P290" i="11"/>
  <c r="P302" i="11"/>
  <c r="P314" i="11"/>
  <c r="P326" i="11"/>
  <c r="P338" i="11"/>
  <c r="O147" i="11"/>
  <c r="O159" i="11"/>
  <c r="O171" i="11"/>
  <c r="O183" i="11"/>
  <c r="P195" i="11"/>
  <c r="P207" i="11"/>
  <c r="P219" i="11"/>
  <c r="P231" i="11"/>
  <c r="P243" i="11"/>
  <c r="P255" i="11"/>
  <c r="P267" i="11"/>
  <c r="P279" i="11"/>
  <c r="P291" i="11"/>
  <c r="P303" i="11"/>
  <c r="P315" i="11"/>
  <c r="P327" i="11"/>
  <c r="P339" i="11"/>
  <c r="M40" i="11"/>
  <c r="M52" i="11"/>
  <c r="M64" i="11"/>
  <c r="M76" i="11"/>
  <c r="N88" i="11"/>
  <c r="N100" i="11"/>
  <c r="N112" i="11"/>
  <c r="N124" i="11"/>
  <c r="O136" i="11"/>
  <c r="O148" i="11"/>
  <c r="O160" i="11"/>
  <c r="O172" i="11"/>
  <c r="O184" i="11"/>
  <c r="P196" i="11"/>
  <c r="P208" i="11"/>
  <c r="P220" i="11"/>
  <c r="P232" i="11"/>
  <c r="P244" i="11"/>
  <c r="P256" i="11"/>
  <c r="P268" i="11"/>
  <c r="P280" i="11"/>
  <c r="P292" i="11"/>
  <c r="P304" i="11"/>
  <c r="P316" i="11"/>
  <c r="P328" i="11"/>
  <c r="P340" i="11"/>
  <c r="M6" i="11"/>
  <c r="M18" i="11"/>
  <c r="M30" i="11"/>
  <c r="M42" i="11"/>
  <c r="M54" i="11"/>
  <c r="M66" i="11"/>
  <c r="M78" i="11"/>
  <c r="N90" i="11"/>
  <c r="N102" i="11"/>
  <c r="N114" i="11"/>
  <c r="N126" i="11"/>
  <c r="O138" i="11"/>
  <c r="O150" i="11"/>
  <c r="O162" i="11"/>
  <c r="O174" i="11"/>
  <c r="O186" i="11"/>
  <c r="P198" i="11"/>
  <c r="P210" i="11"/>
  <c r="P222" i="11"/>
  <c r="P234" i="11"/>
  <c r="P246" i="11"/>
  <c r="P258" i="11"/>
  <c r="P270" i="11"/>
  <c r="P282" i="11"/>
  <c r="P294" i="11"/>
  <c r="P306" i="11"/>
  <c r="P318" i="11"/>
  <c r="G253" i="10"/>
  <c r="G258" i="10"/>
  <c r="G265" i="10"/>
  <c r="G270" i="10"/>
  <c r="G277" i="10"/>
  <c r="G282" i="10"/>
  <c r="G289" i="10"/>
  <c r="G294" i="10"/>
  <c r="G301" i="10"/>
  <c r="G306" i="10"/>
  <c r="G313" i="10"/>
  <c r="G318" i="10"/>
  <c r="G325" i="10"/>
  <c r="G330" i="10"/>
  <c r="G337" i="10"/>
  <c r="G328" i="10"/>
  <c r="G335" i="10"/>
  <c r="G254" i="10"/>
  <c r="G261" i="10"/>
  <c r="G266" i="10"/>
  <c r="G273" i="10"/>
  <c r="G278" i="10"/>
  <c r="G285" i="10"/>
  <c r="G290" i="10"/>
  <c r="G297" i="10"/>
  <c r="G302" i="10"/>
  <c r="G309" i="10"/>
  <c r="G314" i="10"/>
  <c r="G321" i="10"/>
  <c r="G326" i="10"/>
  <c r="G333" i="10"/>
  <c r="G338" i="10"/>
  <c r="G312" i="10"/>
  <c r="G319" i="10"/>
  <c r="G324" i="10"/>
  <c r="G331" i="10"/>
  <c r="G336" i="10"/>
  <c r="G298" i="10"/>
  <c r="G305" i="10"/>
  <c r="G310" i="10"/>
  <c r="G317" i="10"/>
  <c r="G322" i="10"/>
  <c r="G329" i="10"/>
  <c r="G334" i="10"/>
  <c r="G92" i="3"/>
  <c r="N92" i="3" s="1"/>
  <c r="G155" i="3"/>
  <c r="N155" i="3" s="1"/>
  <c r="G50" i="3"/>
  <c r="N50" i="3" s="1"/>
  <c r="G73" i="3"/>
  <c r="N73" i="3" s="1"/>
  <c r="G116" i="3"/>
  <c r="N116" i="3" s="1"/>
  <c r="G219" i="3"/>
  <c r="O219" i="3" s="1"/>
  <c r="G169" i="3"/>
  <c r="N169" i="3" s="1"/>
  <c r="G17" i="3"/>
  <c r="N17" i="3" s="1"/>
  <c r="G14" i="3"/>
  <c r="N14" i="3" s="1"/>
  <c r="G95" i="3"/>
  <c r="N95" i="3" s="1"/>
  <c r="G223" i="3"/>
  <c r="O223" i="3" s="1"/>
  <c r="G11" i="3"/>
  <c r="N11" i="3" s="1"/>
  <c r="G34" i="3"/>
  <c r="N34" i="3" s="1"/>
  <c r="G44" i="3"/>
  <c r="N44" i="3" s="1"/>
  <c r="G67" i="3"/>
  <c r="N67" i="3" s="1"/>
  <c r="G131" i="3"/>
  <c r="N131" i="3" s="1"/>
  <c r="G145" i="3"/>
  <c r="N145" i="3" s="1"/>
  <c r="G152" i="3"/>
  <c r="N152" i="3" s="1"/>
  <c r="G166" i="3"/>
  <c r="N166" i="3" s="1"/>
  <c r="G177" i="3"/>
  <c r="N177" i="3" s="1"/>
  <c r="G8" i="3"/>
  <c r="N8" i="3" s="1"/>
  <c r="G31" i="3"/>
  <c r="N31" i="3" s="1"/>
  <c r="G41" i="3"/>
  <c r="N41" i="3" s="1"/>
  <c r="G64" i="3"/>
  <c r="N64" i="3" s="1"/>
  <c r="G77" i="3"/>
  <c r="N77" i="3" s="1"/>
  <c r="G80" i="3"/>
  <c r="N80" i="3" s="1"/>
  <c r="G83" i="3"/>
  <c r="N83" i="3" s="1"/>
  <c r="G86" i="3"/>
  <c r="N86" i="3" s="1"/>
  <c r="G142" i="3"/>
  <c r="N142" i="3" s="1"/>
  <c r="G181" i="3"/>
  <c r="N181" i="3" s="1"/>
  <c r="G255" i="3"/>
  <c r="O255" i="3" s="1"/>
  <c r="G5" i="3"/>
  <c r="N5" i="3" s="1"/>
  <c r="G28" i="3"/>
  <c r="N28" i="3" s="1"/>
  <c r="G38" i="3"/>
  <c r="N38" i="3" s="1"/>
  <c r="G51" i="3"/>
  <c r="N51" i="3" s="1"/>
  <c r="G61" i="3"/>
  <c r="N61" i="3" s="1"/>
  <c r="G117" i="3"/>
  <c r="N117" i="3" s="1"/>
  <c r="G149" i="3"/>
  <c r="N149" i="3" s="1"/>
  <c r="G163" i="3"/>
  <c r="N163" i="3" s="1"/>
  <c r="G170" i="3"/>
  <c r="N170" i="3" s="1"/>
  <c r="G259" i="3"/>
  <c r="O259" i="3" s="1"/>
  <c r="G2" i="3"/>
  <c r="N2" i="3" s="1"/>
  <c r="G25" i="3"/>
  <c r="N25" i="3" s="1"/>
  <c r="G48" i="3"/>
  <c r="N48" i="3" s="1"/>
  <c r="G58" i="3"/>
  <c r="N58" i="3" s="1"/>
  <c r="G93" i="3"/>
  <c r="N93" i="3" s="1"/>
  <c r="G107" i="3"/>
  <c r="N107" i="3" s="1"/>
  <c r="G114" i="3"/>
  <c r="N114" i="3" s="1"/>
  <c r="G271" i="3"/>
  <c r="O271" i="3" s="1"/>
  <c r="G22" i="3"/>
  <c r="N22" i="3" s="1"/>
  <c r="G45" i="3"/>
  <c r="N45" i="3" s="1"/>
  <c r="G90" i="3"/>
  <c r="N90" i="3" s="1"/>
  <c r="G104" i="3"/>
  <c r="N104" i="3" s="1"/>
  <c r="G132" i="3"/>
  <c r="N132" i="3" s="1"/>
  <c r="G146" i="3"/>
  <c r="N146" i="3" s="1"/>
  <c r="G160" i="3"/>
  <c r="N160" i="3" s="1"/>
  <c r="G295" i="3"/>
  <c r="O295" i="3" s="1"/>
  <c r="G19" i="3"/>
  <c r="N19" i="3" s="1"/>
  <c r="G42" i="3"/>
  <c r="N42" i="3" s="1"/>
  <c r="G55" i="3"/>
  <c r="N55" i="3" s="1"/>
  <c r="G75" i="3"/>
  <c r="N75" i="3" s="1"/>
  <c r="G78" i="3"/>
  <c r="N78" i="3" s="1"/>
  <c r="G81" i="3"/>
  <c r="N81" i="3" s="1"/>
  <c r="G84" i="3"/>
  <c r="N84" i="3" s="1"/>
  <c r="G87" i="3"/>
  <c r="N87" i="3" s="1"/>
  <c r="G111" i="3"/>
  <c r="N111" i="3" s="1"/>
  <c r="G129" i="3"/>
  <c r="N129" i="3" s="1"/>
  <c r="G143" i="3"/>
  <c r="N143" i="3" s="1"/>
  <c r="G157" i="3"/>
  <c r="N157" i="3" s="1"/>
  <c r="G16" i="3"/>
  <c r="N16" i="3" s="1"/>
  <c r="G39" i="3"/>
  <c r="N39" i="3" s="1"/>
  <c r="G52" i="3"/>
  <c r="N52" i="3" s="1"/>
  <c r="G72" i="3"/>
  <c r="N72" i="3" s="1"/>
  <c r="G101" i="3"/>
  <c r="N101" i="3" s="1"/>
  <c r="G140" i="3"/>
  <c r="N140" i="3" s="1"/>
  <c r="G249" i="3"/>
  <c r="O249" i="3" s="1"/>
  <c r="G13" i="3"/>
  <c r="N13" i="3" s="1"/>
  <c r="G26" i="3"/>
  <c r="N26" i="3" s="1"/>
  <c r="G36" i="3"/>
  <c r="N36" i="3" s="1"/>
  <c r="G69" i="3"/>
  <c r="N69" i="3" s="1"/>
  <c r="G108" i="3"/>
  <c r="N108" i="3" s="1"/>
  <c r="G126" i="3"/>
  <c r="N126" i="3" s="1"/>
  <c r="G10" i="3"/>
  <c r="N10" i="3" s="1"/>
  <c r="G23" i="3"/>
  <c r="N23" i="3" s="1"/>
  <c r="G33" i="3"/>
  <c r="N33" i="3" s="1"/>
  <c r="G66" i="3"/>
  <c r="N66" i="3" s="1"/>
  <c r="G98" i="3"/>
  <c r="N98" i="3" s="1"/>
  <c r="G105" i="3"/>
  <c r="N105" i="3" s="1"/>
  <c r="G137" i="3"/>
  <c r="N137" i="3" s="1"/>
  <c r="G183" i="3"/>
  <c r="N183" i="3" s="1"/>
  <c r="G7" i="3"/>
  <c r="N7" i="3" s="1"/>
  <c r="G20" i="3"/>
  <c r="N20" i="3" s="1"/>
  <c r="G30" i="3"/>
  <c r="N30" i="3" s="1"/>
  <c r="G63" i="3"/>
  <c r="N63" i="3" s="1"/>
  <c r="G76" i="3"/>
  <c r="N76" i="3" s="1"/>
  <c r="G79" i="3"/>
  <c r="N79" i="3" s="1"/>
  <c r="G82" i="3"/>
  <c r="N82" i="3" s="1"/>
  <c r="G85" i="3"/>
  <c r="N85" i="3" s="1"/>
  <c r="G88" i="3"/>
  <c r="N88" i="3" s="1"/>
  <c r="G123" i="3"/>
  <c r="N123" i="3" s="1"/>
  <c r="G158" i="3"/>
  <c r="N158" i="3" s="1"/>
  <c r="G207" i="3"/>
  <c r="O207" i="3" s="1"/>
  <c r="G113" i="3"/>
  <c r="N113" i="3" s="1"/>
  <c r="G154" i="3"/>
  <c r="N154" i="3" s="1"/>
  <c r="G167" i="3"/>
  <c r="N167" i="3" s="1"/>
  <c r="G193" i="3"/>
  <c r="O193" i="3" s="1"/>
  <c r="G273" i="3"/>
  <c r="O273" i="3" s="1"/>
  <c r="G110" i="3"/>
  <c r="N110" i="3" s="1"/>
  <c r="G120" i="3"/>
  <c r="N120" i="3" s="1"/>
  <c r="G134" i="3"/>
  <c r="N134" i="3" s="1"/>
  <c r="G151" i="3"/>
  <c r="N151" i="3" s="1"/>
  <c r="G164" i="3"/>
  <c r="N164" i="3" s="1"/>
  <c r="G197" i="3"/>
  <c r="O197" i="3" s="1"/>
  <c r="G277" i="3"/>
  <c r="O277" i="3" s="1"/>
  <c r="G148" i="3"/>
  <c r="N148" i="3" s="1"/>
  <c r="G161" i="3"/>
  <c r="N161" i="3" s="1"/>
  <c r="G251" i="3"/>
  <c r="O251" i="3" s="1"/>
  <c r="G285" i="3"/>
  <c r="O285" i="3" s="1"/>
  <c r="G241" i="3"/>
  <c r="O241" i="3" s="1"/>
  <c r="G211" i="3"/>
  <c r="O211" i="3" s="1"/>
  <c r="G291" i="3"/>
  <c r="O291" i="3" s="1"/>
  <c r="G15" i="3"/>
  <c r="N15" i="3" s="1"/>
  <c r="G18" i="3"/>
  <c r="N18" i="3" s="1"/>
  <c r="G21" i="3"/>
  <c r="N21" i="3" s="1"/>
  <c r="G24" i="3"/>
  <c r="N24" i="3" s="1"/>
  <c r="G27" i="3"/>
  <c r="N27" i="3" s="1"/>
  <c r="G89" i="3"/>
  <c r="N89" i="3" s="1"/>
  <c r="G102" i="3"/>
  <c r="N102" i="3" s="1"/>
  <c r="G128" i="3"/>
  <c r="N128" i="3" s="1"/>
  <c r="G231" i="3"/>
  <c r="O231" i="3" s="1"/>
  <c r="G99" i="3"/>
  <c r="N99" i="3" s="1"/>
  <c r="G122" i="3"/>
  <c r="N122" i="3" s="1"/>
  <c r="G125" i="3"/>
  <c r="N125" i="3" s="1"/>
  <c r="G138" i="3"/>
  <c r="N138" i="3" s="1"/>
  <c r="G141" i="3"/>
  <c r="N141" i="3" s="1"/>
  <c r="G144" i="3"/>
  <c r="N144" i="3" s="1"/>
  <c r="G147" i="3"/>
  <c r="N147" i="3" s="1"/>
  <c r="G150" i="3"/>
  <c r="N150" i="3" s="1"/>
  <c r="G153" i="3"/>
  <c r="N153" i="3" s="1"/>
  <c r="G156" i="3"/>
  <c r="N156" i="3" s="1"/>
  <c r="G159" i="3"/>
  <c r="N159" i="3" s="1"/>
  <c r="G162" i="3"/>
  <c r="N162" i="3" s="1"/>
  <c r="G165" i="3"/>
  <c r="N165" i="3" s="1"/>
  <c r="G168" i="3"/>
  <c r="N168" i="3" s="1"/>
  <c r="G171" i="3"/>
  <c r="N171" i="3" s="1"/>
  <c r="G199" i="3"/>
  <c r="O199" i="3" s="1"/>
  <c r="G213" i="3"/>
  <c r="O213" i="3" s="1"/>
  <c r="G235" i="3"/>
  <c r="O235" i="3" s="1"/>
  <c r="G297" i="3"/>
  <c r="O297" i="3" s="1"/>
  <c r="G37" i="3"/>
  <c r="N37" i="3" s="1"/>
  <c r="G40" i="3"/>
  <c r="N40" i="3" s="1"/>
  <c r="G56" i="3"/>
  <c r="N56" i="3" s="1"/>
  <c r="G59" i="3"/>
  <c r="N59" i="3" s="1"/>
  <c r="G62" i="3"/>
  <c r="N62" i="3" s="1"/>
  <c r="G65" i="3"/>
  <c r="N65" i="3" s="1"/>
  <c r="G96" i="3"/>
  <c r="N96" i="3" s="1"/>
  <c r="G119" i="3"/>
  <c r="N119" i="3" s="1"/>
  <c r="G135" i="3"/>
  <c r="N135" i="3" s="1"/>
  <c r="G217" i="3"/>
  <c r="O217" i="3" s="1"/>
  <c r="G239" i="3"/>
  <c r="O239" i="3" s="1"/>
  <c r="G257" i="3"/>
  <c r="O257" i="3" s="1"/>
  <c r="G283" i="3"/>
  <c r="O283" i="3" s="1"/>
  <c r="G313" i="3"/>
  <c r="O313" i="3" s="1"/>
  <c r="G189" i="3"/>
  <c r="N189" i="3" s="1"/>
  <c r="G203" i="3"/>
  <c r="O203" i="3" s="1"/>
  <c r="G179" i="3"/>
  <c r="N179" i="3" s="1"/>
  <c r="G221" i="3"/>
  <c r="O221" i="3" s="1"/>
  <c r="G287" i="3"/>
  <c r="O287" i="3" s="1"/>
  <c r="G173" i="3"/>
  <c r="N173" i="3" s="1"/>
  <c r="G187" i="3"/>
  <c r="N187" i="3" s="1"/>
  <c r="G201" i="3"/>
  <c r="O201" i="3" s="1"/>
  <c r="G315" i="3"/>
  <c r="O315" i="3" s="1"/>
  <c r="G191" i="3"/>
  <c r="N191" i="3" s="1"/>
  <c r="G245" i="3"/>
  <c r="O245" i="3" s="1"/>
  <c r="G267" i="3"/>
  <c r="O267" i="3" s="1"/>
  <c r="G323" i="3"/>
  <c r="O323" i="3" s="1"/>
  <c r="G3" i="3"/>
  <c r="N3" i="3" s="1"/>
  <c r="G29" i="3"/>
  <c r="N29" i="3" s="1"/>
  <c r="G32" i="3"/>
  <c r="N32" i="3" s="1"/>
  <c r="G43" i="3"/>
  <c r="N43" i="3" s="1"/>
  <c r="G46" i="3"/>
  <c r="N46" i="3" s="1"/>
  <c r="G54" i="3"/>
  <c r="N54" i="3" s="1"/>
  <c r="G68" i="3"/>
  <c r="N68" i="3" s="1"/>
  <c r="G71" i="3"/>
  <c r="N71" i="3" s="1"/>
  <c r="G74" i="3"/>
  <c r="N74" i="3" s="1"/>
  <c r="G91" i="3"/>
  <c r="N91" i="3" s="1"/>
  <c r="G94" i="3"/>
  <c r="N94" i="3" s="1"/>
  <c r="G97" i="3"/>
  <c r="N97" i="3" s="1"/>
  <c r="G100" i="3"/>
  <c r="N100" i="3" s="1"/>
  <c r="G103" i="3"/>
  <c r="N103" i="3" s="1"/>
  <c r="G225" i="3"/>
  <c r="O225" i="3" s="1"/>
  <c r="G275" i="3"/>
  <c r="O275" i="3" s="1"/>
  <c r="G303" i="3"/>
  <c r="O303" i="3" s="1"/>
  <c r="G6" i="3"/>
  <c r="N6" i="3" s="1"/>
  <c r="G9" i="3"/>
  <c r="N9" i="3" s="1"/>
  <c r="G12" i="3"/>
  <c r="N12" i="3" s="1"/>
  <c r="G35" i="3"/>
  <c r="N35" i="3" s="1"/>
  <c r="G49" i="3"/>
  <c r="N49" i="3" s="1"/>
  <c r="G57" i="3"/>
  <c r="N57" i="3" s="1"/>
  <c r="G106" i="3"/>
  <c r="N106" i="3" s="1"/>
  <c r="G109" i="3"/>
  <c r="N109" i="3" s="1"/>
  <c r="G112" i="3"/>
  <c r="N112" i="3" s="1"/>
  <c r="G115" i="3"/>
  <c r="N115" i="3" s="1"/>
  <c r="G118" i="3"/>
  <c r="N118" i="3" s="1"/>
  <c r="G121" i="3"/>
  <c r="N121" i="3" s="1"/>
  <c r="G124" i="3"/>
  <c r="N124" i="3" s="1"/>
  <c r="G175" i="3"/>
  <c r="N175" i="3" s="1"/>
  <c r="G185" i="3"/>
  <c r="N185" i="3" s="1"/>
  <c r="G229" i="3"/>
  <c r="O229" i="3" s="1"/>
  <c r="G247" i="3"/>
  <c r="O247" i="3" s="1"/>
  <c r="G261" i="3"/>
  <c r="O261" i="3" s="1"/>
  <c r="G293" i="3"/>
  <c r="O293" i="3" s="1"/>
  <c r="G325" i="3"/>
  <c r="O325" i="3" s="1"/>
  <c r="G127" i="3"/>
  <c r="N127" i="3" s="1"/>
  <c r="G130" i="3"/>
  <c r="N130" i="3" s="1"/>
  <c r="G133" i="3"/>
  <c r="N133" i="3" s="1"/>
  <c r="G136" i="3"/>
  <c r="N136" i="3" s="1"/>
  <c r="G139" i="3"/>
  <c r="N139" i="3" s="1"/>
  <c r="G195" i="3"/>
  <c r="O195" i="3" s="1"/>
  <c r="G205" i="3"/>
  <c r="O205" i="3" s="1"/>
  <c r="G265" i="3"/>
  <c r="O265" i="3" s="1"/>
  <c r="G307" i="3"/>
  <c r="O307" i="3" s="1"/>
  <c r="G305" i="3"/>
  <c r="O305" i="3" s="1"/>
  <c r="G281" i="3"/>
  <c r="O281" i="3" s="1"/>
  <c r="G331" i="3"/>
  <c r="O331" i="3" s="1"/>
  <c r="G335" i="3"/>
  <c r="O335" i="3" s="1"/>
  <c r="G227" i="3"/>
  <c r="O227" i="3" s="1"/>
  <c r="G233" i="3"/>
  <c r="O233" i="3" s="1"/>
  <c r="G243" i="3"/>
  <c r="O243" i="3" s="1"/>
  <c r="G253" i="3"/>
  <c r="O253" i="3" s="1"/>
  <c r="G269" i="3"/>
  <c r="O269" i="3" s="1"/>
  <c r="G263" i="3"/>
  <c r="O263" i="3" s="1"/>
  <c r="G279" i="3"/>
  <c r="O279" i="3" s="1"/>
  <c r="G289" i="3"/>
  <c r="O289" i="3" s="1"/>
  <c r="G299" i="3"/>
  <c r="O299" i="3" s="1"/>
  <c r="G309" i="3"/>
  <c r="O309" i="3" s="1"/>
  <c r="G319" i="3"/>
  <c r="O319" i="3" s="1"/>
  <c r="G329" i="3"/>
  <c r="O329" i="3" s="1"/>
  <c r="G209" i="3"/>
  <c r="O209" i="3" s="1"/>
  <c r="G215" i="3"/>
  <c r="O215" i="3" s="1"/>
  <c r="G237" i="3"/>
  <c r="O237" i="3" s="1"/>
  <c r="G339" i="3"/>
  <c r="O339" i="3" s="1"/>
  <c r="G333" i="3"/>
  <c r="O333" i="3" s="1"/>
  <c r="G317" i="3"/>
  <c r="O317" i="3" s="1"/>
  <c r="G327" i="3"/>
  <c r="O327" i="3" s="1"/>
  <c r="G337" i="3"/>
  <c r="O337" i="3" s="1"/>
  <c r="G301" i="3"/>
  <c r="O301" i="3" s="1"/>
  <c r="G311" i="3"/>
  <c r="O311" i="3" s="1"/>
  <c r="G321" i="3"/>
  <c r="O321" i="3" s="1"/>
  <c r="G172" i="3"/>
  <c r="N172" i="3" s="1"/>
  <c r="G174" i="3"/>
  <c r="N174" i="3" s="1"/>
  <c r="G176" i="3"/>
  <c r="N176" i="3" s="1"/>
  <c r="G178" i="3"/>
  <c r="N178" i="3" s="1"/>
  <c r="G180" i="3"/>
  <c r="N180" i="3" s="1"/>
  <c r="G182" i="3"/>
  <c r="N182" i="3" s="1"/>
  <c r="G184" i="3"/>
  <c r="N184" i="3" s="1"/>
  <c r="G186" i="3"/>
  <c r="N186" i="3" s="1"/>
  <c r="G188" i="3"/>
  <c r="N188" i="3" s="1"/>
  <c r="G190" i="3"/>
  <c r="N190" i="3" s="1"/>
  <c r="G192" i="3"/>
  <c r="O192" i="3" s="1"/>
  <c r="G194" i="3"/>
  <c r="O194" i="3" s="1"/>
  <c r="G196" i="3"/>
  <c r="O196" i="3" s="1"/>
  <c r="G198" i="3"/>
  <c r="O198" i="3" s="1"/>
  <c r="G200" i="3"/>
  <c r="O200" i="3" s="1"/>
  <c r="G202" i="3"/>
  <c r="O202" i="3" s="1"/>
  <c r="G204" i="3"/>
  <c r="O204" i="3" s="1"/>
  <c r="G206" i="3"/>
  <c r="O206" i="3" s="1"/>
  <c r="G208" i="3"/>
  <c r="O208" i="3" s="1"/>
  <c r="G210" i="3"/>
  <c r="O210" i="3" s="1"/>
  <c r="G212" i="3"/>
  <c r="O212" i="3" s="1"/>
  <c r="G214" i="3"/>
  <c r="O214" i="3" s="1"/>
  <c r="G216" i="3"/>
  <c r="O216" i="3" s="1"/>
  <c r="G218" i="3"/>
  <c r="O218" i="3" s="1"/>
  <c r="G220" i="3"/>
  <c r="O220" i="3" s="1"/>
  <c r="G222" i="3"/>
  <c r="O222" i="3" s="1"/>
  <c r="G224" i="3"/>
  <c r="O224" i="3" s="1"/>
  <c r="G226" i="3"/>
  <c r="O226" i="3" s="1"/>
  <c r="G228" i="3"/>
  <c r="O228" i="3" s="1"/>
  <c r="G230" i="3"/>
  <c r="O230" i="3" s="1"/>
  <c r="G232" i="3"/>
  <c r="O232" i="3" s="1"/>
  <c r="G234" i="3"/>
  <c r="O234" i="3" s="1"/>
  <c r="G236" i="3"/>
  <c r="O236" i="3" s="1"/>
  <c r="G238" i="3"/>
  <c r="O238" i="3" s="1"/>
  <c r="G240" i="3"/>
  <c r="O240" i="3" s="1"/>
  <c r="G242" i="3"/>
  <c r="O242" i="3" s="1"/>
  <c r="G244" i="3"/>
  <c r="O244" i="3" s="1"/>
  <c r="G246" i="3"/>
  <c r="O246" i="3" s="1"/>
  <c r="G248" i="3"/>
  <c r="O248" i="3" s="1"/>
  <c r="G250" i="3"/>
  <c r="O250" i="3" s="1"/>
  <c r="G252" i="3"/>
  <c r="O252" i="3" s="1"/>
  <c r="G254" i="3"/>
  <c r="O254" i="3" s="1"/>
  <c r="G256" i="3"/>
  <c r="O256" i="3" s="1"/>
  <c r="G258" i="3"/>
  <c r="O258" i="3" s="1"/>
  <c r="G260" i="3"/>
  <c r="O260" i="3" s="1"/>
  <c r="G262" i="3"/>
  <c r="O262" i="3" s="1"/>
  <c r="G264" i="3"/>
  <c r="O264" i="3" s="1"/>
  <c r="G266" i="3"/>
  <c r="O266" i="3" s="1"/>
  <c r="G268" i="3"/>
  <c r="O268" i="3" s="1"/>
  <c r="G270" i="3"/>
  <c r="O270" i="3" s="1"/>
  <c r="G272" i="3"/>
  <c r="O272" i="3" s="1"/>
  <c r="G274" i="3"/>
  <c r="O274" i="3" s="1"/>
  <c r="G276" i="3"/>
  <c r="O276" i="3" s="1"/>
  <c r="G278" i="3"/>
  <c r="O278" i="3" s="1"/>
  <c r="G280" i="3"/>
  <c r="O280" i="3" s="1"/>
  <c r="G282" i="3"/>
  <c r="O282" i="3" s="1"/>
  <c r="G284" i="3"/>
  <c r="O284" i="3" s="1"/>
  <c r="G286" i="3"/>
  <c r="O286" i="3" s="1"/>
  <c r="G288" i="3"/>
  <c r="O288" i="3" s="1"/>
  <c r="G290" i="3"/>
  <c r="O290" i="3" s="1"/>
  <c r="G292" i="3"/>
  <c r="O292" i="3" s="1"/>
  <c r="G294" i="3"/>
  <c r="O294" i="3" s="1"/>
  <c r="G296" i="3"/>
  <c r="O296" i="3" s="1"/>
  <c r="G298" i="3"/>
  <c r="O298" i="3" s="1"/>
  <c r="G300" i="3"/>
  <c r="O300" i="3" s="1"/>
  <c r="G302" i="3"/>
  <c r="O302" i="3" s="1"/>
  <c r="G304" i="3"/>
  <c r="O304" i="3" s="1"/>
  <c r="G306" i="3"/>
  <c r="O306" i="3" s="1"/>
  <c r="G308" i="3"/>
  <c r="O308" i="3" s="1"/>
  <c r="G310" i="3"/>
  <c r="O310" i="3" s="1"/>
  <c r="G312" i="3"/>
  <c r="O312" i="3" s="1"/>
  <c r="G314" i="3"/>
  <c r="O314" i="3" s="1"/>
  <c r="G316" i="3"/>
  <c r="O316" i="3" s="1"/>
  <c r="G318" i="3"/>
  <c r="O318" i="3" s="1"/>
  <c r="G320" i="3"/>
  <c r="O320" i="3" s="1"/>
  <c r="G322" i="3"/>
  <c r="O322" i="3" s="1"/>
  <c r="G324" i="3"/>
  <c r="O324" i="3" s="1"/>
  <c r="G326" i="3"/>
  <c r="O326" i="3" s="1"/>
  <c r="G328" i="3"/>
  <c r="O328" i="3" s="1"/>
  <c r="G330" i="3"/>
  <c r="O330" i="3" s="1"/>
  <c r="G332" i="3"/>
  <c r="O332" i="3" s="1"/>
  <c r="G334" i="3"/>
  <c r="O334" i="3" s="1"/>
  <c r="G336" i="3"/>
  <c r="O336" i="3" s="1"/>
  <c r="G338" i="3"/>
  <c r="O338" i="3" s="1"/>
  <c r="L183" i="2"/>
  <c r="L201" i="2"/>
  <c r="L217" i="2"/>
  <c r="L290" i="2"/>
  <c r="L314" i="2"/>
  <c r="L116" i="2"/>
  <c r="L335" i="2"/>
  <c r="L119" i="2"/>
  <c r="L122" i="2"/>
  <c r="L57" i="2"/>
  <c r="L68" i="2"/>
  <c r="L206" i="2"/>
  <c r="L244" i="2"/>
  <c r="L294" i="2"/>
  <c r="L196" i="2"/>
  <c r="L305" i="2"/>
  <c r="L193" i="2"/>
  <c r="L80" i="2"/>
  <c r="L94" i="2"/>
  <c r="L99" i="2"/>
  <c r="L102" i="2"/>
  <c r="L105" i="2"/>
  <c r="L108" i="2"/>
  <c r="L111" i="2"/>
  <c r="L126" i="2"/>
  <c r="L129" i="2"/>
  <c r="L210" i="2"/>
  <c r="L213" i="2"/>
  <c r="L64" i="2"/>
  <c r="L233" i="2"/>
  <c r="L239" i="2"/>
  <c r="L242" i="2"/>
  <c r="L302" i="2"/>
  <c r="L240" i="2"/>
  <c r="L243" i="2"/>
  <c r="L86" i="2"/>
  <c r="L181" i="2"/>
  <c r="L225" i="2"/>
  <c r="L257" i="2"/>
  <c r="L304" i="2"/>
  <c r="L321" i="2"/>
  <c r="L328" i="2"/>
  <c r="L20" i="2"/>
  <c r="L56" i="2"/>
  <c r="L70" i="2"/>
  <c r="L133" i="2"/>
  <c r="L136" i="2"/>
  <c r="L172" i="2"/>
  <c r="L197" i="2"/>
  <c r="L207" i="2"/>
  <c r="L264" i="2"/>
  <c r="L325" i="2"/>
  <c r="L157" i="2"/>
  <c r="L160" i="2"/>
  <c r="L163" i="2"/>
  <c r="L166" i="2"/>
  <c r="L169" i="2"/>
  <c r="L245" i="2"/>
  <c r="L261" i="2"/>
  <c r="L322" i="2"/>
  <c r="L339" i="2"/>
  <c r="L312" i="2"/>
  <c r="L76" i="2"/>
  <c r="L87" i="2"/>
  <c r="L90" i="2"/>
  <c r="L98" i="2"/>
  <c r="L176" i="2"/>
  <c r="L179" i="2"/>
  <c r="L230" i="2"/>
  <c r="L326" i="2"/>
  <c r="L140" i="2"/>
  <c r="L143" i="2"/>
  <c r="L146" i="2"/>
  <c r="L149" i="2"/>
  <c r="L152" i="2"/>
  <c r="L164" i="2"/>
  <c r="L167" i="2"/>
  <c r="L186" i="2"/>
  <c r="L306" i="2"/>
  <c r="L215" i="2"/>
  <c r="L218" i="2"/>
  <c r="L228" i="2"/>
  <c r="L231" i="2"/>
  <c r="L286" i="2"/>
  <c r="L310" i="2"/>
  <c r="L75" i="2"/>
  <c r="L78" i="2"/>
  <c r="L89" i="2"/>
  <c r="L97" i="2"/>
  <c r="L132" i="2"/>
  <c r="L135" i="2"/>
  <c r="L180" i="2"/>
  <c r="L192" i="2"/>
  <c r="L195" i="2"/>
  <c r="L205" i="2"/>
  <c r="L224" i="2"/>
  <c r="L267" i="2"/>
  <c r="L277" i="2"/>
  <c r="L284" i="2"/>
  <c r="L327" i="2"/>
  <c r="L331" i="2"/>
  <c r="L338" i="2"/>
  <c r="L81" i="2"/>
  <c r="L92" i="2"/>
  <c r="L100" i="2"/>
  <c r="L103" i="2"/>
  <c r="L106" i="2"/>
  <c r="L109" i="2"/>
  <c r="L112" i="2"/>
  <c r="L141" i="2"/>
  <c r="L144" i="2"/>
  <c r="L147" i="2"/>
  <c r="L150" i="2"/>
  <c r="L153" i="2"/>
  <c r="L189" i="2"/>
  <c r="L274" i="2"/>
  <c r="L298" i="2"/>
  <c r="L301" i="2"/>
  <c r="L44" i="2"/>
  <c r="L54" i="2"/>
  <c r="L62" i="2"/>
  <c r="L84" i="2"/>
  <c r="L115" i="2"/>
  <c r="L118" i="2"/>
  <c r="L121" i="2"/>
  <c r="L156" i="2"/>
  <c r="L159" i="2"/>
  <c r="L209" i="2"/>
  <c r="L212" i="2"/>
  <c r="L221" i="2"/>
  <c r="L249" i="2"/>
  <c r="L255" i="2"/>
  <c r="L281" i="2"/>
  <c r="L288" i="2"/>
  <c r="L308" i="2"/>
  <c r="L318" i="2"/>
  <c r="L65" i="2"/>
  <c r="L73" i="2"/>
  <c r="L127" i="2"/>
  <c r="L165" i="2"/>
  <c r="L171" i="2"/>
  <c r="L184" i="2"/>
  <c r="L234" i="2"/>
  <c r="L237" i="2"/>
  <c r="L262" i="2"/>
  <c r="L278" i="2"/>
  <c r="L332" i="2"/>
  <c r="L8" i="2"/>
  <c r="L82" i="2"/>
  <c r="L93" i="2"/>
  <c r="L104" i="2"/>
  <c r="L107" i="2"/>
  <c r="L110" i="2"/>
  <c r="L113" i="2"/>
  <c r="L139" i="2"/>
  <c r="L142" i="2"/>
  <c r="L145" i="2"/>
  <c r="L148" i="2"/>
  <c r="L151" i="2"/>
  <c r="L203" i="2"/>
  <c r="L250" i="2"/>
  <c r="L256" i="2"/>
  <c r="L282" i="2"/>
  <c r="L295" i="2"/>
  <c r="L329" i="2"/>
  <c r="L336" i="2"/>
  <c r="L58" i="2"/>
  <c r="L63" i="2"/>
  <c r="L66" i="2"/>
  <c r="L74" i="2"/>
  <c r="L85" i="2"/>
  <c r="L125" i="2"/>
  <c r="L128" i="2"/>
  <c r="L185" i="2"/>
  <c r="L188" i="2"/>
  <c r="L200" i="2"/>
  <c r="L216" i="2"/>
  <c r="L219" i="2"/>
  <c r="L222" i="2"/>
  <c r="L232" i="2"/>
  <c r="L275" i="2"/>
  <c r="L69" i="2"/>
  <c r="L77" i="2"/>
  <c r="L88" i="2"/>
  <c r="L131" i="2"/>
  <c r="L134" i="2"/>
  <c r="L137" i="2"/>
  <c r="L182" i="2"/>
  <c r="L191" i="2"/>
  <c r="L194" i="2"/>
  <c r="L204" i="2"/>
  <c r="L229" i="2"/>
  <c r="L241" i="2"/>
  <c r="L260" i="2"/>
  <c r="L266" i="2"/>
  <c r="L276" i="2"/>
  <c r="L293" i="2"/>
  <c r="L313" i="2"/>
  <c r="L319" i="2"/>
  <c r="L330" i="2"/>
  <c r="L61" i="2"/>
  <c r="L117" i="2"/>
  <c r="L120" i="2"/>
  <c r="L123" i="2"/>
  <c r="L155" i="2"/>
  <c r="L158" i="2"/>
  <c r="L161" i="2"/>
  <c r="L173" i="2"/>
  <c r="L208" i="2"/>
  <c r="L220" i="2"/>
  <c r="L248" i="2"/>
  <c r="L254" i="2"/>
  <c r="L270" i="2"/>
  <c r="L273" i="2"/>
  <c r="L280" i="2"/>
  <c r="L297" i="2"/>
  <c r="L334" i="2"/>
  <c r="L13" i="2"/>
  <c r="L25" i="2"/>
  <c r="L37" i="2"/>
  <c r="L49" i="2"/>
  <c r="L291" i="2"/>
  <c r="L311" i="2"/>
  <c r="L7" i="2"/>
  <c r="L19" i="2"/>
  <c r="L31" i="2"/>
  <c r="L43" i="2"/>
  <c r="L263" i="2"/>
  <c r="L279" i="2"/>
  <c r="L5" i="2"/>
  <c r="L17" i="2"/>
  <c r="L29" i="2"/>
  <c r="L41" i="2"/>
  <c r="L53" i="2"/>
  <c r="L251" i="2"/>
  <c r="L303" i="2"/>
  <c r="L323" i="2"/>
  <c r="L236" i="2"/>
  <c r="L283" i="2"/>
  <c r="L3" i="2"/>
  <c r="L15" i="2"/>
  <c r="L27" i="2"/>
  <c r="L39" i="2"/>
  <c r="L51" i="2"/>
  <c r="L55" i="2"/>
  <c r="L67" i="2"/>
  <c r="L79" i="2"/>
  <c r="L91" i="2"/>
  <c r="L223" i="2"/>
  <c r="L101" i="2"/>
  <c r="L168" i="2"/>
  <c r="L177" i="2"/>
  <c r="L235" i="2"/>
  <c r="L175" i="2"/>
  <c r="L59" i="2"/>
  <c r="L71" i="2"/>
  <c r="L83" i="2"/>
  <c r="L95" i="2"/>
  <c r="L170" i="2"/>
  <c r="L199" i="2"/>
  <c r="L246" i="2"/>
  <c r="L258" i="2"/>
  <c r="L252" i="2"/>
  <c r="G172" i="2"/>
  <c r="P172" i="2" s="1"/>
  <c r="G174" i="2"/>
  <c r="P174" i="2" s="1"/>
  <c r="G176" i="2"/>
  <c r="P176" i="2" s="1"/>
  <c r="G178" i="2"/>
  <c r="P178" i="2" s="1"/>
  <c r="G180" i="2"/>
  <c r="P180" i="2" s="1"/>
  <c r="G182" i="2"/>
  <c r="P182" i="2" s="1"/>
  <c r="G184" i="2"/>
  <c r="P184" i="2" s="1"/>
  <c r="G186" i="2"/>
  <c r="P186" i="2" s="1"/>
  <c r="G188" i="2"/>
  <c r="P188" i="2" s="1"/>
  <c r="G190" i="2"/>
  <c r="P190" i="2" s="1"/>
  <c r="G192" i="2"/>
  <c r="Q192" i="2" s="1"/>
  <c r="G194" i="2"/>
  <c r="Q194" i="2" s="1"/>
  <c r="G196" i="2"/>
  <c r="Q196" i="2" s="1"/>
  <c r="G198" i="2"/>
  <c r="Q198" i="2" s="1"/>
  <c r="G200" i="2"/>
  <c r="Q200" i="2" s="1"/>
  <c r="G202" i="2"/>
  <c r="Q202" i="2" s="1"/>
  <c r="G204" i="2"/>
  <c r="Q204" i="2" s="1"/>
  <c r="G206" i="2"/>
  <c r="Q206" i="2" s="1"/>
  <c r="G208" i="2"/>
  <c r="Q208" i="2" s="1"/>
  <c r="G210" i="2"/>
  <c r="Q210" i="2" s="1"/>
  <c r="G212" i="2"/>
  <c r="Q212" i="2" s="1"/>
  <c r="G214" i="2"/>
  <c r="Q214" i="2" s="1"/>
  <c r="G216" i="2"/>
  <c r="Q216" i="2" s="1"/>
  <c r="G218" i="2"/>
  <c r="Q218" i="2" s="1"/>
  <c r="G220" i="2"/>
  <c r="Q220" i="2" s="1"/>
  <c r="G222" i="2"/>
  <c r="Q222" i="2" s="1"/>
  <c r="G224" i="2"/>
  <c r="Q224" i="2" s="1"/>
  <c r="G226" i="2"/>
  <c r="Q226" i="2" s="1"/>
  <c r="G228" i="2"/>
  <c r="Q228" i="2" s="1"/>
  <c r="G230" i="2"/>
  <c r="Q230" i="2" s="1"/>
  <c r="G232" i="2"/>
  <c r="Q232" i="2" s="1"/>
  <c r="G234" i="2"/>
  <c r="Q234" i="2" s="1"/>
  <c r="G236" i="2"/>
  <c r="Q236" i="2" s="1"/>
  <c r="G238" i="2"/>
  <c r="Q238" i="2" s="1"/>
  <c r="G240" i="2"/>
  <c r="Q240" i="2" s="1"/>
  <c r="G242" i="2"/>
  <c r="Q242" i="2" s="1"/>
  <c r="G244" i="2"/>
  <c r="Q244" i="2" s="1"/>
  <c r="G246" i="2"/>
  <c r="Q246" i="2" s="1"/>
  <c r="G248" i="2"/>
  <c r="Q248" i="2" s="1"/>
  <c r="G250" i="2"/>
  <c r="Q250" i="2" s="1"/>
  <c r="G252" i="2"/>
  <c r="Q252" i="2" s="1"/>
  <c r="G254" i="2"/>
  <c r="Q254" i="2" s="1"/>
  <c r="G256" i="2"/>
  <c r="Q256" i="2" s="1"/>
  <c r="G258" i="2"/>
  <c r="Q258" i="2" s="1"/>
  <c r="G260" i="2"/>
  <c r="Q260" i="2" s="1"/>
  <c r="G262" i="2"/>
  <c r="Q262" i="2" s="1"/>
  <c r="G264" i="2"/>
  <c r="Q264" i="2" s="1"/>
  <c r="G266" i="2"/>
  <c r="Q266" i="2" s="1"/>
  <c r="G268" i="2"/>
  <c r="Q268" i="2" s="1"/>
  <c r="G270" i="2"/>
  <c r="Q270" i="2" s="1"/>
  <c r="G272" i="2"/>
  <c r="Q272" i="2" s="1"/>
  <c r="G274" i="2"/>
  <c r="Q274" i="2" s="1"/>
  <c r="G276" i="2"/>
  <c r="Q276" i="2" s="1"/>
  <c r="G278" i="2"/>
  <c r="Q278" i="2" s="1"/>
  <c r="G280" i="2"/>
  <c r="Q280" i="2" s="1"/>
  <c r="G282" i="2"/>
  <c r="Q282" i="2" s="1"/>
  <c r="G284" i="2"/>
  <c r="Q284" i="2" s="1"/>
  <c r="G286" i="2"/>
  <c r="Q286" i="2" s="1"/>
  <c r="G288" i="2"/>
  <c r="Q288" i="2" s="1"/>
  <c r="G290" i="2"/>
  <c r="Q290" i="2" s="1"/>
  <c r="G292" i="2"/>
  <c r="Q292" i="2" s="1"/>
  <c r="G294" i="2"/>
  <c r="Q294" i="2" s="1"/>
  <c r="G296" i="2"/>
  <c r="Q296" i="2" s="1"/>
  <c r="G298" i="2"/>
  <c r="Q298" i="2" s="1"/>
  <c r="G300" i="2"/>
  <c r="Q300" i="2" s="1"/>
  <c r="G302" i="2"/>
  <c r="Q302" i="2" s="1"/>
  <c r="G304" i="2"/>
  <c r="Q304" i="2" s="1"/>
  <c r="G306" i="2"/>
  <c r="Q306" i="2" s="1"/>
  <c r="G308" i="2"/>
  <c r="Q308" i="2" s="1"/>
  <c r="G310" i="2"/>
  <c r="Q310" i="2" s="1"/>
  <c r="G312" i="2"/>
  <c r="Q312" i="2" s="1"/>
  <c r="G314" i="2"/>
  <c r="Q314" i="2" s="1"/>
  <c r="G316" i="2"/>
  <c r="Q316" i="2" s="1"/>
  <c r="G318" i="2"/>
  <c r="Q318" i="2" s="1"/>
  <c r="G320" i="2"/>
  <c r="Q320" i="2" s="1"/>
  <c r="G322" i="2"/>
  <c r="Q322" i="2" s="1"/>
  <c r="G324" i="2"/>
  <c r="Q324" i="2" s="1"/>
  <c r="G326" i="2"/>
  <c r="Q326" i="2" s="1"/>
  <c r="G328" i="2"/>
  <c r="Q328" i="2" s="1"/>
  <c r="G330" i="2"/>
  <c r="Q330" i="2" s="1"/>
  <c r="G332" i="2"/>
  <c r="Q332" i="2" s="1"/>
  <c r="G334" i="2"/>
  <c r="Q334" i="2" s="1"/>
  <c r="G336" i="2"/>
  <c r="Q336" i="2" s="1"/>
  <c r="G338" i="2"/>
  <c r="Q338" i="2" s="1"/>
  <c r="L45" i="1"/>
  <c r="L39" i="1"/>
  <c r="L33" i="1"/>
  <c r="L21" i="1"/>
  <c r="L15" i="1"/>
  <c r="L333" i="1"/>
  <c r="L327" i="1"/>
  <c r="L321" i="1"/>
  <c r="L309" i="1"/>
  <c r="L303" i="1"/>
  <c r="L297" i="1"/>
  <c r="L285" i="1"/>
  <c r="L279" i="1"/>
  <c r="L273" i="1"/>
  <c r="L261" i="1"/>
  <c r="L249" i="1"/>
  <c r="L237" i="1"/>
  <c r="L231" i="1"/>
  <c r="L225" i="1"/>
  <c r="L219" i="1"/>
  <c r="L213" i="1"/>
  <c r="L201" i="1"/>
  <c r="L189" i="1"/>
  <c r="L183" i="1"/>
  <c r="L177" i="1"/>
  <c r="L159" i="1"/>
  <c r="L135" i="1"/>
  <c r="L105" i="1"/>
  <c r="L99" i="1"/>
  <c r="L93" i="1"/>
  <c r="L81" i="1"/>
  <c r="L3" i="1"/>
  <c r="L74" i="1"/>
  <c r="L331" i="1"/>
  <c r="L319" i="1"/>
  <c r="L307" i="1"/>
  <c r="L295" i="1"/>
  <c r="L283" i="1"/>
  <c r="L271" i="1"/>
  <c r="L259" i="1"/>
  <c r="L247" i="1"/>
  <c r="L235" i="1"/>
  <c r="L223" i="1"/>
  <c r="L211" i="1"/>
  <c r="L199" i="1"/>
  <c r="L187" i="1"/>
  <c r="L175" i="1"/>
  <c r="L163" i="1"/>
  <c r="L151" i="1"/>
  <c r="L139" i="1"/>
  <c r="L127" i="1"/>
  <c r="L115" i="1"/>
  <c r="L103" i="1"/>
  <c r="L91" i="1"/>
  <c r="L79" i="1"/>
  <c r="L67" i="1"/>
  <c r="L55" i="1"/>
  <c r="L43" i="1"/>
  <c r="L31" i="1"/>
  <c r="L19" i="1"/>
  <c r="L7" i="1"/>
  <c r="L337" i="1"/>
  <c r="L325" i="1"/>
  <c r="L313" i="1"/>
  <c r="L301" i="1"/>
  <c r="L289" i="1"/>
  <c r="L277" i="1"/>
  <c r="L265" i="1"/>
  <c r="L253" i="1"/>
  <c r="L241" i="1"/>
  <c r="L229" i="1"/>
  <c r="L217" i="1"/>
  <c r="L205" i="1"/>
  <c r="L193" i="1"/>
  <c r="L181" i="1"/>
  <c r="L169" i="1"/>
  <c r="L157" i="1"/>
  <c r="L145" i="1"/>
  <c r="L133" i="1"/>
  <c r="L121" i="1"/>
  <c r="L109" i="1"/>
  <c r="L97" i="1"/>
  <c r="L85" i="1"/>
  <c r="L73" i="1"/>
  <c r="L49" i="1"/>
  <c r="L37" i="1"/>
  <c r="L25" i="1"/>
  <c r="L13" i="1"/>
  <c r="L339" i="1"/>
  <c r="L315" i="1"/>
  <c r="L291" i="1"/>
  <c r="L267" i="1"/>
  <c r="L255" i="1"/>
  <c r="L243" i="1"/>
  <c r="L207" i="1"/>
  <c r="L195" i="1"/>
  <c r="L171" i="1"/>
  <c r="L147" i="1"/>
  <c r="L129" i="1"/>
  <c r="L123" i="1"/>
  <c r="L87" i="1"/>
  <c r="L75" i="1"/>
  <c r="L69" i="1"/>
  <c r="L63" i="1"/>
  <c r="L120" i="1"/>
  <c r="L2" i="1"/>
  <c r="L61" i="1"/>
  <c r="L122" i="1"/>
  <c r="L14" i="1"/>
  <c r="L98" i="1"/>
  <c r="L165" i="1"/>
  <c r="L153" i="1"/>
  <c r="L141" i="1"/>
  <c r="L117" i="1"/>
  <c r="L111" i="1"/>
  <c r="L57" i="1"/>
  <c r="L51" i="1"/>
  <c r="L27" i="1"/>
  <c r="L9" i="1"/>
  <c r="L338" i="1"/>
  <c r="L332" i="1"/>
  <c r="L326" i="1"/>
  <c r="L320" i="1"/>
  <c r="L314" i="1"/>
  <c r="L308" i="1"/>
  <c r="L302" i="1"/>
  <c r="L296" i="1"/>
  <c r="L290" i="1"/>
  <c r="L284" i="1"/>
  <c r="L278" i="1"/>
  <c r="L272" i="1"/>
  <c r="L266" i="1"/>
  <c r="L260" i="1"/>
  <c r="L254" i="1"/>
  <c r="L248" i="1"/>
  <c r="L242" i="1"/>
  <c r="L236" i="1"/>
  <c r="L230" i="1"/>
  <c r="L224" i="1"/>
  <c r="L218" i="1"/>
  <c r="L212" i="1"/>
  <c r="L206" i="1"/>
  <c r="L200" i="1"/>
  <c r="L194" i="1"/>
  <c r="L188" i="1"/>
  <c r="L182" i="1"/>
  <c r="L176" i="1"/>
  <c r="L170" i="1"/>
  <c r="L164" i="1"/>
  <c r="L158" i="1"/>
  <c r="L152" i="1"/>
  <c r="L146" i="1"/>
  <c r="L140" i="1"/>
  <c r="L134" i="1"/>
  <c r="L128" i="1"/>
  <c r="L116" i="1"/>
  <c r="L110" i="1"/>
  <c r="L104" i="1"/>
  <c r="L92" i="1"/>
  <c r="L86" i="1"/>
  <c r="L80" i="1"/>
  <c r="L68" i="1"/>
  <c r="L62" i="1"/>
  <c r="L56" i="1"/>
  <c r="L50" i="1"/>
  <c r="L44" i="1"/>
  <c r="L38" i="1"/>
  <c r="L32" i="1"/>
  <c r="L26" i="1"/>
  <c r="L20" i="1"/>
  <c r="L8" i="1"/>
  <c r="L336" i="1"/>
  <c r="L330" i="1"/>
  <c r="L324" i="1"/>
  <c r="L318" i="1"/>
  <c r="L312" i="1"/>
  <c r="L306" i="1"/>
  <c r="L300" i="1"/>
  <c r="L294" i="1"/>
  <c r="L288" i="1"/>
  <c r="L282" i="1"/>
  <c r="L276" i="1"/>
  <c r="L270" i="1"/>
  <c r="L264" i="1"/>
  <c r="L258" i="1"/>
  <c r="L252" i="1"/>
  <c r="L246" i="1"/>
  <c r="L240" i="1"/>
  <c r="L234" i="1"/>
  <c r="L228" i="1"/>
  <c r="L222" i="1"/>
  <c r="L216" i="1"/>
  <c r="L210" i="1"/>
  <c r="L204" i="1"/>
  <c r="L198" i="1"/>
  <c r="L192" i="1"/>
  <c r="L186" i="1"/>
  <c r="L180" i="1"/>
  <c r="L174" i="1"/>
  <c r="L168" i="1"/>
  <c r="L162" i="1"/>
  <c r="L156" i="1"/>
  <c r="L150" i="1"/>
  <c r="L144" i="1"/>
  <c r="L138" i="1"/>
  <c r="L132" i="1"/>
  <c r="L126" i="1"/>
  <c r="L114" i="1"/>
  <c r="L108" i="1"/>
  <c r="L102" i="1"/>
  <c r="L96" i="1"/>
  <c r="L90" i="1"/>
  <c r="L84" i="1"/>
  <c r="L78" i="1"/>
  <c r="L72" i="1"/>
  <c r="L66" i="1"/>
  <c r="L60" i="1"/>
  <c r="L54" i="1"/>
  <c r="L48" i="1"/>
  <c r="L42" i="1"/>
  <c r="L36" i="1"/>
  <c r="L30" i="1"/>
  <c r="L24" i="1"/>
  <c r="L18" i="1"/>
  <c r="L12" i="1"/>
  <c r="L6" i="1"/>
  <c r="L335" i="1"/>
  <c r="L329" i="1"/>
  <c r="L323" i="1"/>
  <c r="L317" i="1"/>
  <c r="L311" i="1"/>
  <c r="L305" i="1"/>
  <c r="L299" i="1"/>
  <c r="L293" i="1"/>
  <c r="L287" i="1"/>
  <c r="L281" i="1"/>
  <c r="L275" i="1"/>
  <c r="L269" i="1"/>
  <c r="L263" i="1"/>
  <c r="L257" i="1"/>
  <c r="L251" i="1"/>
  <c r="L245" i="1"/>
  <c r="L239" i="1"/>
  <c r="L233" i="1"/>
  <c r="L227" i="1"/>
  <c r="L221" i="1"/>
  <c r="L215" i="1"/>
  <c r="L209" i="1"/>
  <c r="L203" i="1"/>
  <c r="L197" i="1"/>
  <c r="L191" i="1"/>
  <c r="L185" i="1"/>
  <c r="L179" i="1"/>
  <c r="L173" i="1"/>
  <c r="L167" i="1"/>
  <c r="L161" i="1"/>
  <c r="L155" i="1"/>
  <c r="L149" i="1"/>
  <c r="L143" i="1"/>
  <c r="L137" i="1"/>
  <c r="L131" i="1"/>
  <c r="L125" i="1"/>
  <c r="L119" i="1"/>
  <c r="L113" i="1"/>
  <c r="L107" i="1"/>
  <c r="L101" i="1"/>
  <c r="L95" i="1"/>
  <c r="L89" i="1"/>
  <c r="L83" i="1"/>
  <c r="L77" i="1"/>
  <c r="L71" i="1"/>
  <c r="L65" i="1"/>
  <c r="L59" i="1"/>
  <c r="L53" i="1"/>
  <c r="L47" i="1"/>
  <c r="L41" i="1"/>
  <c r="L35" i="1"/>
  <c r="L29" i="1"/>
  <c r="L23" i="1"/>
  <c r="L17" i="1"/>
  <c r="L11" i="1"/>
  <c r="L5" i="1"/>
  <c r="L340" i="1"/>
  <c r="L334" i="1"/>
  <c r="L328" i="1"/>
  <c r="L322" i="1"/>
  <c r="L316" i="1"/>
  <c r="L310" i="1"/>
  <c r="L304" i="1"/>
  <c r="L298" i="1"/>
  <c r="L292" i="1"/>
  <c r="L286" i="1"/>
  <c r="L280" i="1"/>
  <c r="L274" i="1"/>
  <c r="L268" i="1"/>
  <c r="L262" i="1"/>
  <c r="L256" i="1"/>
  <c r="L250" i="1"/>
  <c r="L244" i="1"/>
  <c r="L238" i="1"/>
  <c r="L232" i="1"/>
  <c r="L226" i="1"/>
  <c r="L220" i="1"/>
  <c r="L214" i="1"/>
  <c r="L208" i="1"/>
  <c r="L202" i="1"/>
  <c r="L196" i="1"/>
  <c r="L190" i="1"/>
  <c r="L184" i="1"/>
  <c r="L178" i="1"/>
  <c r="L172" i="1"/>
  <c r="L166" i="1"/>
  <c r="L160" i="1"/>
  <c r="L154" i="1"/>
  <c r="L148" i="1"/>
  <c r="L142" i="1"/>
  <c r="L136" i="1"/>
  <c r="L130" i="1"/>
  <c r="L124" i="1"/>
  <c r="L118" i="1"/>
  <c r="L112" i="1"/>
  <c r="L106" i="1"/>
  <c r="L100" i="1"/>
  <c r="L94" i="1"/>
  <c r="L88" i="1"/>
  <c r="L82" i="1"/>
  <c r="L76" i="1"/>
  <c r="L70" i="1"/>
  <c r="L64" i="1"/>
  <c r="L58" i="1"/>
  <c r="L52" i="1"/>
  <c r="L46" i="1"/>
  <c r="L40" i="1"/>
  <c r="L34" i="1"/>
  <c r="L28" i="1"/>
  <c r="L22" i="1"/>
  <c r="L16" i="1"/>
  <c r="L10" i="1"/>
  <c r="L4" i="1"/>
  <c r="G189" i="1"/>
  <c r="P189" i="1" s="1"/>
  <c r="G322" i="1"/>
  <c r="Q322" i="1" s="1"/>
  <c r="G178" i="1"/>
  <c r="P178" i="1" s="1"/>
  <c r="G333" i="1"/>
  <c r="Q333" i="1" s="1"/>
  <c r="G321" i="1"/>
  <c r="Q321" i="1" s="1"/>
  <c r="G177" i="1"/>
  <c r="P177" i="1" s="1"/>
  <c r="G320" i="1"/>
  <c r="Q320" i="1" s="1"/>
  <c r="G176" i="1"/>
  <c r="P176" i="1" s="1"/>
  <c r="G285" i="1"/>
  <c r="Q285" i="1" s="1"/>
  <c r="G130" i="1"/>
  <c r="O130" i="1" s="1"/>
  <c r="G274" i="1"/>
  <c r="Q274" i="1" s="1"/>
  <c r="G118" i="1"/>
  <c r="O118" i="1" s="1"/>
  <c r="G273" i="1"/>
  <c r="Q273" i="1" s="1"/>
  <c r="G117" i="1"/>
  <c r="O117" i="1" s="1"/>
  <c r="G224" i="1"/>
  <c r="Q224" i="1" s="1"/>
  <c r="G272" i="1"/>
  <c r="Q272" i="1" s="1"/>
  <c r="G106" i="1"/>
  <c r="O106" i="1" s="1"/>
  <c r="G237" i="1"/>
  <c r="Q237" i="1" s="1"/>
  <c r="G58" i="1"/>
  <c r="N58" i="1" s="1"/>
  <c r="G226" i="1"/>
  <c r="Q226" i="1" s="1"/>
  <c r="G46" i="1"/>
  <c r="N46" i="1" s="1"/>
  <c r="G225" i="1"/>
  <c r="Q225" i="1" s="1"/>
  <c r="G45" i="1"/>
  <c r="N45" i="1" s="1"/>
  <c r="G34" i="1"/>
  <c r="N34" i="1" s="1"/>
  <c r="G310" i="1"/>
  <c r="Q310" i="1" s="1"/>
  <c r="G262" i="1"/>
  <c r="Q262" i="1" s="1"/>
  <c r="G214" i="1"/>
  <c r="Q214" i="1" s="1"/>
  <c r="G166" i="1"/>
  <c r="P166" i="1" s="1"/>
  <c r="G105" i="1"/>
  <c r="O105" i="1" s="1"/>
  <c r="G33" i="1"/>
  <c r="N33" i="1" s="1"/>
  <c r="G309" i="1"/>
  <c r="Q309" i="1" s="1"/>
  <c r="G261" i="1"/>
  <c r="Q261" i="1" s="1"/>
  <c r="G213" i="1"/>
  <c r="Q213" i="1" s="1"/>
  <c r="G165" i="1"/>
  <c r="P165" i="1" s="1"/>
  <c r="G94" i="1"/>
  <c r="O94" i="1" s="1"/>
  <c r="G22" i="1"/>
  <c r="N22" i="1" s="1"/>
  <c r="G308" i="1"/>
  <c r="Q308" i="1" s="1"/>
  <c r="G260" i="1"/>
  <c r="Q260" i="1" s="1"/>
  <c r="G212" i="1"/>
  <c r="Q212" i="1" s="1"/>
  <c r="G164" i="1"/>
  <c r="P164" i="1" s="1"/>
  <c r="G93" i="1"/>
  <c r="O93" i="1" s="1"/>
  <c r="G21" i="1"/>
  <c r="N21" i="1" s="1"/>
  <c r="G298" i="1"/>
  <c r="Q298" i="1" s="1"/>
  <c r="G250" i="1"/>
  <c r="Q250" i="1" s="1"/>
  <c r="G202" i="1"/>
  <c r="Q202" i="1" s="1"/>
  <c r="G154" i="1"/>
  <c r="P154" i="1" s="1"/>
  <c r="G82" i="1"/>
  <c r="N82" i="1" s="1"/>
  <c r="G10" i="1"/>
  <c r="N10" i="1" s="1"/>
  <c r="G297" i="1"/>
  <c r="Q297" i="1" s="1"/>
  <c r="G249" i="1"/>
  <c r="Q249" i="1" s="1"/>
  <c r="G201" i="1"/>
  <c r="Q201" i="1" s="1"/>
  <c r="G153" i="1"/>
  <c r="P153" i="1" s="1"/>
  <c r="G81" i="1"/>
  <c r="N81" i="1" s="1"/>
  <c r="G9" i="1"/>
  <c r="N9" i="1" s="1"/>
  <c r="G296" i="1"/>
  <c r="Q296" i="1" s="1"/>
  <c r="G248" i="1"/>
  <c r="Q248" i="1" s="1"/>
  <c r="G200" i="1"/>
  <c r="Q200" i="1" s="1"/>
  <c r="G142" i="1"/>
  <c r="P142" i="1" s="1"/>
  <c r="G70" i="1"/>
  <c r="N70" i="1" s="1"/>
  <c r="G334" i="1"/>
  <c r="Q334" i="1" s="1"/>
  <c r="G286" i="1"/>
  <c r="Q286" i="1" s="1"/>
  <c r="G238" i="1"/>
  <c r="Q238" i="1" s="1"/>
  <c r="G190" i="1"/>
  <c r="P190" i="1" s="1"/>
  <c r="G141" i="1"/>
  <c r="P141" i="1" s="1"/>
  <c r="G69" i="1"/>
  <c r="N69" i="1" s="1"/>
  <c r="G332" i="1"/>
  <c r="Q332" i="1" s="1"/>
  <c r="G284" i="1"/>
  <c r="Q284" i="1" s="1"/>
  <c r="G236" i="1"/>
  <c r="Q236" i="1" s="1"/>
  <c r="G188" i="1"/>
  <c r="P188" i="1" s="1"/>
  <c r="G129" i="1"/>
  <c r="O129" i="1" s="1"/>
  <c r="G57" i="1"/>
  <c r="N57" i="1" s="1"/>
  <c r="G152" i="1"/>
  <c r="P152" i="1" s="1"/>
  <c r="G140" i="1"/>
  <c r="P140" i="1" s="1"/>
  <c r="G128" i="1"/>
  <c r="O128" i="1" s="1"/>
  <c r="G116" i="1"/>
  <c r="O116" i="1" s="1"/>
  <c r="G104" i="1"/>
  <c r="O104" i="1" s="1"/>
  <c r="G92" i="1"/>
  <c r="O92" i="1" s="1"/>
  <c r="G80" i="1"/>
  <c r="N80" i="1" s="1"/>
  <c r="G68" i="1"/>
  <c r="N68" i="1" s="1"/>
  <c r="G56" i="1"/>
  <c r="N56" i="1" s="1"/>
  <c r="G44" i="1"/>
  <c r="N44" i="1" s="1"/>
  <c r="G32" i="1"/>
  <c r="N32" i="1" s="1"/>
  <c r="G20" i="1"/>
  <c r="N20" i="1" s="1"/>
  <c r="G8" i="1"/>
  <c r="N8" i="1" s="1"/>
  <c r="G331" i="1"/>
  <c r="Q331" i="1" s="1"/>
  <c r="G319" i="1"/>
  <c r="Q319" i="1" s="1"/>
  <c r="G307" i="1"/>
  <c r="Q307" i="1" s="1"/>
  <c r="G295" i="1"/>
  <c r="Q295" i="1" s="1"/>
  <c r="G283" i="1"/>
  <c r="Q283" i="1" s="1"/>
  <c r="G271" i="1"/>
  <c r="Q271" i="1" s="1"/>
  <c r="G259" i="1"/>
  <c r="Q259" i="1" s="1"/>
  <c r="G247" i="1"/>
  <c r="Q247" i="1" s="1"/>
  <c r="G235" i="1"/>
  <c r="Q235" i="1" s="1"/>
  <c r="G223" i="1"/>
  <c r="Q223" i="1" s="1"/>
  <c r="G211" i="1"/>
  <c r="Q211" i="1" s="1"/>
  <c r="G199" i="1"/>
  <c r="Q199" i="1" s="1"/>
  <c r="G187" i="1"/>
  <c r="P187" i="1" s="1"/>
  <c r="G175" i="1"/>
  <c r="P175" i="1" s="1"/>
  <c r="G163" i="1"/>
  <c r="P163" i="1" s="1"/>
  <c r="G151" i="1"/>
  <c r="P151" i="1" s="1"/>
  <c r="G139" i="1"/>
  <c r="P139" i="1" s="1"/>
  <c r="G127" i="1"/>
  <c r="O127" i="1" s="1"/>
  <c r="G115" i="1"/>
  <c r="O115" i="1" s="1"/>
  <c r="G103" i="1"/>
  <c r="O103" i="1" s="1"/>
  <c r="G91" i="1"/>
  <c r="O91" i="1" s="1"/>
  <c r="G79" i="1"/>
  <c r="N79" i="1" s="1"/>
  <c r="G67" i="1"/>
  <c r="N67" i="1" s="1"/>
  <c r="G55" i="1"/>
  <c r="N55" i="1" s="1"/>
  <c r="G43" i="1"/>
  <c r="N43" i="1" s="1"/>
  <c r="G31" i="1"/>
  <c r="N31" i="1" s="1"/>
  <c r="G19" i="1"/>
  <c r="N19" i="1" s="1"/>
  <c r="G7" i="1"/>
  <c r="N7" i="1" s="1"/>
  <c r="G330" i="1"/>
  <c r="Q330" i="1" s="1"/>
  <c r="G318" i="1"/>
  <c r="Q318" i="1" s="1"/>
  <c r="G306" i="1"/>
  <c r="Q306" i="1" s="1"/>
  <c r="G294" i="1"/>
  <c r="Q294" i="1" s="1"/>
  <c r="G282" i="1"/>
  <c r="Q282" i="1" s="1"/>
  <c r="G270" i="1"/>
  <c r="Q270" i="1" s="1"/>
  <c r="G258" i="1"/>
  <c r="Q258" i="1" s="1"/>
  <c r="G246" i="1"/>
  <c r="Q246" i="1" s="1"/>
  <c r="G234" i="1"/>
  <c r="Q234" i="1" s="1"/>
  <c r="G222" i="1"/>
  <c r="Q222" i="1" s="1"/>
  <c r="G210" i="1"/>
  <c r="Q210" i="1" s="1"/>
  <c r="G198" i="1"/>
  <c r="Q198" i="1" s="1"/>
  <c r="G186" i="1"/>
  <c r="P186" i="1" s="1"/>
  <c r="G174" i="1"/>
  <c r="P174" i="1" s="1"/>
  <c r="G162" i="1"/>
  <c r="P162" i="1" s="1"/>
  <c r="G150" i="1"/>
  <c r="P150" i="1" s="1"/>
  <c r="G138" i="1"/>
  <c r="P138" i="1" s="1"/>
  <c r="G126" i="1"/>
  <c r="O126" i="1" s="1"/>
  <c r="G114" i="1"/>
  <c r="O114" i="1" s="1"/>
  <c r="G102" i="1"/>
  <c r="O102" i="1" s="1"/>
  <c r="G90" i="1"/>
  <c r="O90" i="1" s="1"/>
  <c r="G78" i="1"/>
  <c r="N78" i="1" s="1"/>
  <c r="G66" i="1"/>
  <c r="N66" i="1" s="1"/>
  <c r="G54" i="1"/>
  <c r="N54" i="1" s="1"/>
  <c r="G42" i="1"/>
  <c r="N42" i="1" s="1"/>
  <c r="G30" i="1"/>
  <c r="N30" i="1" s="1"/>
  <c r="G18" i="1"/>
  <c r="N18" i="1" s="1"/>
  <c r="G6" i="1"/>
  <c r="N6" i="1" s="1"/>
  <c r="G329" i="1"/>
  <c r="Q329" i="1" s="1"/>
  <c r="G317" i="1"/>
  <c r="Q317" i="1" s="1"/>
  <c r="G305" i="1"/>
  <c r="Q305" i="1" s="1"/>
  <c r="G293" i="1"/>
  <c r="Q293" i="1" s="1"/>
  <c r="G281" i="1"/>
  <c r="Q281" i="1" s="1"/>
  <c r="G269" i="1"/>
  <c r="Q269" i="1" s="1"/>
  <c r="G257" i="1"/>
  <c r="Q257" i="1" s="1"/>
  <c r="G245" i="1"/>
  <c r="Q245" i="1" s="1"/>
  <c r="G233" i="1"/>
  <c r="Q233" i="1" s="1"/>
  <c r="G221" i="1"/>
  <c r="Q221" i="1" s="1"/>
  <c r="G209" i="1"/>
  <c r="Q209" i="1" s="1"/>
  <c r="G197" i="1"/>
  <c r="Q197" i="1" s="1"/>
  <c r="G185" i="1"/>
  <c r="P185" i="1" s="1"/>
  <c r="G173" i="1"/>
  <c r="P173" i="1" s="1"/>
  <c r="G161" i="1"/>
  <c r="P161" i="1" s="1"/>
  <c r="G149" i="1"/>
  <c r="P149" i="1" s="1"/>
  <c r="G137" i="1"/>
  <c r="P137" i="1" s="1"/>
  <c r="G125" i="1"/>
  <c r="O125" i="1" s="1"/>
  <c r="G113" i="1"/>
  <c r="O113" i="1" s="1"/>
  <c r="G101" i="1"/>
  <c r="O101" i="1" s="1"/>
  <c r="G89" i="1"/>
  <c r="O89" i="1" s="1"/>
  <c r="G77" i="1"/>
  <c r="N77" i="1" s="1"/>
  <c r="G65" i="1"/>
  <c r="N65" i="1" s="1"/>
  <c r="G53" i="1"/>
  <c r="N53" i="1" s="1"/>
  <c r="G41" i="1"/>
  <c r="N41" i="1" s="1"/>
  <c r="G29" i="1"/>
  <c r="N29" i="1" s="1"/>
  <c r="G17" i="1"/>
  <c r="N17" i="1" s="1"/>
  <c r="G5" i="1"/>
  <c r="N5" i="1" s="1"/>
  <c r="G340" i="1"/>
  <c r="Q340" i="1" s="1"/>
  <c r="G328" i="1"/>
  <c r="Q328" i="1" s="1"/>
  <c r="G316" i="1"/>
  <c r="Q316" i="1" s="1"/>
  <c r="G304" i="1"/>
  <c r="Q304" i="1" s="1"/>
  <c r="G292" i="1"/>
  <c r="Q292" i="1" s="1"/>
  <c r="G280" i="1"/>
  <c r="Q280" i="1" s="1"/>
  <c r="G268" i="1"/>
  <c r="Q268" i="1" s="1"/>
  <c r="G256" i="1"/>
  <c r="Q256" i="1" s="1"/>
  <c r="G244" i="1"/>
  <c r="Q244" i="1" s="1"/>
  <c r="G232" i="1"/>
  <c r="Q232" i="1" s="1"/>
  <c r="G220" i="1"/>
  <c r="Q220" i="1" s="1"/>
  <c r="G208" i="1"/>
  <c r="Q208" i="1" s="1"/>
  <c r="G196" i="1"/>
  <c r="Q196" i="1" s="1"/>
  <c r="G184" i="1"/>
  <c r="P184" i="1" s="1"/>
  <c r="G172" i="1"/>
  <c r="P172" i="1" s="1"/>
  <c r="G160" i="1"/>
  <c r="P160" i="1" s="1"/>
  <c r="G148" i="1"/>
  <c r="P148" i="1" s="1"/>
  <c r="G136" i="1"/>
  <c r="P136" i="1" s="1"/>
  <c r="G124" i="1"/>
  <c r="O124" i="1" s="1"/>
  <c r="G112" i="1"/>
  <c r="O112" i="1" s="1"/>
  <c r="G100" i="1"/>
  <c r="O100" i="1" s="1"/>
  <c r="G88" i="1"/>
  <c r="O88" i="1" s="1"/>
  <c r="G76" i="1"/>
  <c r="N76" i="1" s="1"/>
  <c r="G64" i="1"/>
  <c r="N64" i="1" s="1"/>
  <c r="G52" i="1"/>
  <c r="N52" i="1" s="1"/>
  <c r="G40" i="1"/>
  <c r="N40" i="1" s="1"/>
  <c r="G28" i="1"/>
  <c r="N28" i="1" s="1"/>
  <c r="G16" i="1"/>
  <c r="N16" i="1" s="1"/>
  <c r="G4" i="1"/>
  <c r="N4" i="1" s="1"/>
  <c r="G339" i="1"/>
  <c r="Q339" i="1" s="1"/>
  <c r="G327" i="1"/>
  <c r="Q327" i="1" s="1"/>
  <c r="G315" i="1"/>
  <c r="Q315" i="1" s="1"/>
  <c r="G303" i="1"/>
  <c r="Q303" i="1" s="1"/>
  <c r="G291" i="1"/>
  <c r="Q291" i="1" s="1"/>
  <c r="G279" i="1"/>
  <c r="Q279" i="1" s="1"/>
  <c r="G267" i="1"/>
  <c r="Q267" i="1" s="1"/>
  <c r="G255" i="1"/>
  <c r="Q255" i="1" s="1"/>
  <c r="G243" i="1"/>
  <c r="Q243" i="1" s="1"/>
  <c r="G231" i="1"/>
  <c r="Q231" i="1" s="1"/>
  <c r="G219" i="1"/>
  <c r="Q219" i="1" s="1"/>
  <c r="G207" i="1"/>
  <c r="Q207" i="1" s="1"/>
  <c r="G195" i="1"/>
  <c r="Q195" i="1" s="1"/>
  <c r="G183" i="1"/>
  <c r="P183" i="1" s="1"/>
  <c r="G171" i="1"/>
  <c r="P171" i="1" s="1"/>
  <c r="G159" i="1"/>
  <c r="P159" i="1" s="1"/>
  <c r="G147" i="1"/>
  <c r="P147" i="1" s="1"/>
  <c r="G135" i="1"/>
  <c r="P135" i="1" s="1"/>
  <c r="G123" i="1"/>
  <c r="O123" i="1" s="1"/>
  <c r="G111" i="1"/>
  <c r="O111" i="1" s="1"/>
  <c r="G99" i="1"/>
  <c r="O99" i="1" s="1"/>
  <c r="G87" i="1"/>
  <c r="O87" i="1" s="1"/>
  <c r="G75" i="1"/>
  <c r="N75" i="1" s="1"/>
  <c r="G63" i="1"/>
  <c r="N63" i="1" s="1"/>
  <c r="G51" i="1"/>
  <c r="N51" i="1" s="1"/>
  <c r="G39" i="1"/>
  <c r="N39" i="1" s="1"/>
  <c r="G27" i="1"/>
  <c r="N27" i="1" s="1"/>
  <c r="G15" i="1"/>
  <c r="N15" i="1" s="1"/>
  <c r="G3" i="1"/>
  <c r="N3" i="1" s="1"/>
  <c r="G338" i="1"/>
  <c r="Q338" i="1" s="1"/>
  <c r="G326" i="1"/>
  <c r="Q326" i="1" s="1"/>
  <c r="G314" i="1"/>
  <c r="Q314" i="1" s="1"/>
  <c r="G302" i="1"/>
  <c r="Q302" i="1" s="1"/>
  <c r="G290" i="1"/>
  <c r="Q290" i="1" s="1"/>
  <c r="G278" i="1"/>
  <c r="Q278" i="1" s="1"/>
  <c r="G266" i="1"/>
  <c r="Q266" i="1" s="1"/>
  <c r="G254" i="1"/>
  <c r="Q254" i="1" s="1"/>
  <c r="G242" i="1"/>
  <c r="Q242" i="1" s="1"/>
  <c r="G230" i="1"/>
  <c r="Q230" i="1" s="1"/>
  <c r="G218" i="1"/>
  <c r="Q218" i="1" s="1"/>
  <c r="G206" i="1"/>
  <c r="Q206" i="1" s="1"/>
  <c r="G194" i="1"/>
  <c r="Q194" i="1" s="1"/>
  <c r="G182" i="1"/>
  <c r="P182" i="1" s="1"/>
  <c r="G170" i="1"/>
  <c r="P170" i="1" s="1"/>
  <c r="G158" i="1"/>
  <c r="P158" i="1" s="1"/>
  <c r="G146" i="1"/>
  <c r="P146" i="1" s="1"/>
  <c r="G134" i="1"/>
  <c r="O134" i="1" s="1"/>
  <c r="G122" i="1"/>
  <c r="O122" i="1" s="1"/>
  <c r="G110" i="1"/>
  <c r="O110" i="1" s="1"/>
  <c r="G98" i="1"/>
  <c r="O98" i="1" s="1"/>
  <c r="G86" i="1"/>
  <c r="O86" i="1" s="1"/>
  <c r="G74" i="1"/>
  <c r="N74" i="1" s="1"/>
  <c r="G62" i="1"/>
  <c r="N62" i="1" s="1"/>
  <c r="G50" i="1"/>
  <c r="N50" i="1" s="1"/>
  <c r="G38" i="1"/>
  <c r="N38" i="1" s="1"/>
  <c r="G26" i="1"/>
  <c r="N26" i="1" s="1"/>
  <c r="G14" i="1"/>
  <c r="N14" i="1" s="1"/>
  <c r="G2" i="1"/>
  <c r="N2" i="1" s="1"/>
  <c r="G337" i="1"/>
  <c r="Q337" i="1" s="1"/>
  <c r="G325" i="1"/>
  <c r="Q325" i="1" s="1"/>
  <c r="G313" i="1"/>
  <c r="Q313" i="1" s="1"/>
  <c r="G301" i="1"/>
  <c r="Q301" i="1" s="1"/>
  <c r="G289" i="1"/>
  <c r="Q289" i="1" s="1"/>
  <c r="G277" i="1"/>
  <c r="Q277" i="1" s="1"/>
  <c r="G265" i="1"/>
  <c r="Q265" i="1" s="1"/>
  <c r="G253" i="1"/>
  <c r="Q253" i="1" s="1"/>
  <c r="G241" i="1"/>
  <c r="Q241" i="1" s="1"/>
  <c r="G229" i="1"/>
  <c r="Q229" i="1" s="1"/>
  <c r="G217" i="1"/>
  <c r="Q217" i="1" s="1"/>
  <c r="G205" i="1"/>
  <c r="Q205" i="1" s="1"/>
  <c r="G193" i="1"/>
  <c r="Q193" i="1" s="1"/>
  <c r="G181" i="1"/>
  <c r="P181" i="1" s="1"/>
  <c r="G169" i="1"/>
  <c r="P169" i="1" s="1"/>
  <c r="G157" i="1"/>
  <c r="P157" i="1" s="1"/>
  <c r="G145" i="1"/>
  <c r="P145" i="1" s="1"/>
  <c r="G133" i="1"/>
  <c r="O133" i="1" s="1"/>
  <c r="G121" i="1"/>
  <c r="O121" i="1" s="1"/>
  <c r="G109" i="1"/>
  <c r="O109" i="1" s="1"/>
  <c r="G97" i="1"/>
  <c r="O97" i="1" s="1"/>
  <c r="G85" i="1"/>
  <c r="O85" i="1" s="1"/>
  <c r="G73" i="1"/>
  <c r="N73" i="1" s="1"/>
  <c r="G61" i="1"/>
  <c r="N61" i="1" s="1"/>
  <c r="G49" i="1"/>
  <c r="N49" i="1" s="1"/>
  <c r="G37" i="1"/>
  <c r="N37" i="1" s="1"/>
  <c r="G25" i="1"/>
  <c r="N25" i="1" s="1"/>
  <c r="G13" i="1"/>
  <c r="N13" i="1" s="1"/>
  <c r="G336" i="1"/>
  <c r="Q336" i="1" s="1"/>
  <c r="G324" i="1"/>
  <c r="Q324" i="1" s="1"/>
  <c r="G312" i="1"/>
  <c r="Q312" i="1" s="1"/>
  <c r="G300" i="1"/>
  <c r="Q300" i="1" s="1"/>
  <c r="G288" i="1"/>
  <c r="Q288" i="1" s="1"/>
  <c r="G276" i="1"/>
  <c r="Q276" i="1" s="1"/>
  <c r="G264" i="1"/>
  <c r="Q264" i="1" s="1"/>
  <c r="G252" i="1"/>
  <c r="Q252" i="1" s="1"/>
  <c r="G240" i="1"/>
  <c r="Q240" i="1" s="1"/>
  <c r="G228" i="1"/>
  <c r="Q228" i="1" s="1"/>
  <c r="G216" i="1"/>
  <c r="Q216" i="1" s="1"/>
  <c r="G204" i="1"/>
  <c r="Q204" i="1" s="1"/>
  <c r="G192" i="1"/>
  <c r="Q192" i="1" s="1"/>
  <c r="G180" i="1"/>
  <c r="P180" i="1" s="1"/>
  <c r="G168" i="1"/>
  <c r="P168" i="1" s="1"/>
  <c r="G156" i="1"/>
  <c r="P156" i="1" s="1"/>
  <c r="G144" i="1"/>
  <c r="P144" i="1" s="1"/>
  <c r="G132" i="1"/>
  <c r="O132" i="1" s="1"/>
  <c r="G120" i="1"/>
  <c r="O120" i="1" s="1"/>
  <c r="G108" i="1"/>
  <c r="O108" i="1" s="1"/>
  <c r="G96" i="1"/>
  <c r="O96" i="1" s="1"/>
  <c r="G84" i="1"/>
  <c r="O84" i="1" s="1"/>
  <c r="G72" i="1"/>
  <c r="N72" i="1" s="1"/>
  <c r="G60" i="1"/>
  <c r="N60" i="1" s="1"/>
  <c r="G48" i="1"/>
  <c r="N48" i="1" s="1"/>
  <c r="G36" i="1"/>
  <c r="N36" i="1" s="1"/>
  <c r="G24" i="1"/>
  <c r="N24" i="1" s="1"/>
  <c r="G12" i="1"/>
  <c r="N12" i="1" s="1"/>
  <c r="G335" i="1"/>
  <c r="Q335" i="1" s="1"/>
  <c r="G323" i="1"/>
  <c r="Q323" i="1" s="1"/>
  <c r="G311" i="1"/>
  <c r="Q311" i="1" s="1"/>
  <c r="G299" i="1"/>
  <c r="Q299" i="1" s="1"/>
  <c r="G287" i="1"/>
  <c r="Q287" i="1" s="1"/>
  <c r="G275" i="1"/>
  <c r="Q275" i="1" s="1"/>
  <c r="G263" i="1"/>
  <c r="Q263" i="1" s="1"/>
  <c r="G251" i="1"/>
  <c r="Q251" i="1" s="1"/>
  <c r="G239" i="1"/>
  <c r="Q239" i="1" s="1"/>
  <c r="G227" i="1"/>
  <c r="Q227" i="1" s="1"/>
  <c r="G215" i="1"/>
  <c r="Q215" i="1" s="1"/>
  <c r="G203" i="1"/>
  <c r="Q203" i="1" s="1"/>
  <c r="G191" i="1"/>
  <c r="P191" i="1" s="1"/>
  <c r="G179" i="1"/>
  <c r="P179" i="1" s="1"/>
  <c r="G167" i="1"/>
  <c r="P167" i="1" s="1"/>
  <c r="G155" i="1"/>
  <c r="P155" i="1" s="1"/>
  <c r="G143" i="1"/>
  <c r="P143" i="1" s="1"/>
  <c r="G131" i="1"/>
  <c r="O131" i="1" s="1"/>
  <c r="G119" i="1"/>
  <c r="O119" i="1" s="1"/>
  <c r="G107" i="1"/>
  <c r="O107" i="1" s="1"/>
  <c r="G95" i="1"/>
  <c r="O95" i="1" s="1"/>
  <c r="G83" i="1"/>
  <c r="O83" i="1" s="1"/>
  <c r="G71" i="1"/>
  <c r="N71" i="1" s="1"/>
  <c r="G59" i="1"/>
  <c r="N59" i="1" s="1"/>
  <c r="G47" i="1"/>
  <c r="N47" i="1" s="1"/>
  <c r="G35" i="1"/>
  <c r="N35" i="1" s="1"/>
  <c r="G23" i="1"/>
  <c r="N23" i="1" s="1"/>
  <c r="G343" i="14" l="1"/>
  <c r="M343" i="11"/>
  <c r="G343" i="10"/>
  <c r="G343" i="3"/>
  <c r="G343" i="2"/>
</calcChain>
</file>

<file path=xl/sharedStrings.xml><?xml version="1.0" encoding="utf-8"?>
<sst xmlns="http://schemas.openxmlformats.org/spreadsheetml/2006/main" count="4175" uniqueCount="35">
  <si>
    <t>experiment</t>
  </si>
  <si>
    <t>Treatment</t>
  </si>
  <si>
    <t>temp_measured</t>
  </si>
  <si>
    <t>mean_pHts</t>
  </si>
  <si>
    <t>Li_measured</t>
  </si>
  <si>
    <t>gr</t>
  </si>
  <si>
    <t>single</t>
  </si>
  <si>
    <t>lithium</t>
  </si>
  <si>
    <t>pH</t>
  </si>
  <si>
    <t>temperature</t>
  </si>
  <si>
    <t>multi</t>
  </si>
  <si>
    <t>multi-driver</t>
  </si>
  <si>
    <t>Effect size</t>
  </si>
  <si>
    <t>MAX</t>
  </si>
  <si>
    <t>ESpH</t>
  </si>
  <si>
    <t>ESLi</t>
  </si>
  <si>
    <t>Estemp</t>
  </si>
  <si>
    <t>EStemp</t>
  </si>
  <si>
    <t>ESMS</t>
  </si>
  <si>
    <t>SILi</t>
  </si>
  <si>
    <t>SIpH</t>
  </si>
  <si>
    <t>Sitemp</t>
  </si>
  <si>
    <t>Alpha</t>
  </si>
  <si>
    <t>Li</t>
  </si>
  <si>
    <t>Temp</t>
  </si>
  <si>
    <t>Sica</t>
  </si>
  <si>
    <t>.</t>
  </si>
  <si>
    <t>Essingle</t>
  </si>
  <si>
    <t>Esmodel</t>
  </si>
  <si>
    <t>Beta</t>
  </si>
  <si>
    <t>Esobs_Li</t>
  </si>
  <si>
    <t>Esobs_pH</t>
  </si>
  <si>
    <t>Esobs_temp</t>
  </si>
  <si>
    <t>Esobs_MS</t>
  </si>
  <si>
    <t>pHxtemp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</si>
</sst>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/>
    </xf>
    <xf numFmtId="4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8C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850892528309631E-2"/>
          <c:y val="2.1720291962075196E-2"/>
          <c:w val="0.90108930877423621"/>
          <c:h val="0.62996132975329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SICA_preadjustement!$N$1</c:f>
              <c:strCache>
                <c:ptCount val="1"/>
                <c:pt idx="0">
                  <c:v>ESLi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3.4525204775690786E-2"/>
                  <c:y val="-0.152908302099353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SICA_preadjustement!$L$2:$L$343</c:f>
              <c:numCache>
                <c:formatCode>General</c:formatCode>
                <c:ptCount val="342"/>
                <c:pt idx="0">
                  <c:v>-0.26209078702289057</c:v>
                </c:pt>
                <c:pt idx="1">
                  <c:v>-0.26209078702289057</c:v>
                </c:pt>
                <c:pt idx="2">
                  <c:v>-0.26209078702289057</c:v>
                </c:pt>
                <c:pt idx="3">
                  <c:v>-0.26209078702289057</c:v>
                </c:pt>
                <c:pt idx="4">
                  <c:v>-0.26209078702289057</c:v>
                </c:pt>
                <c:pt idx="5">
                  <c:v>-0.26209078702289057</c:v>
                </c:pt>
                <c:pt idx="6">
                  <c:v>-0.26209078702289057</c:v>
                </c:pt>
                <c:pt idx="7">
                  <c:v>-0.26209078702289057</c:v>
                </c:pt>
                <c:pt idx="8">
                  <c:v>-0.26209078702289057</c:v>
                </c:pt>
                <c:pt idx="9">
                  <c:v>-0.26209078702289057</c:v>
                </c:pt>
                <c:pt idx="10">
                  <c:v>-0.26209078702289057</c:v>
                </c:pt>
                <c:pt idx="11">
                  <c:v>-0.26209078702289057</c:v>
                </c:pt>
                <c:pt idx="12">
                  <c:v>-0.26209078702289057</c:v>
                </c:pt>
                <c:pt idx="13">
                  <c:v>-0.26209078702289057</c:v>
                </c:pt>
                <c:pt idx="14">
                  <c:v>-0.26209078702289057</c:v>
                </c:pt>
                <c:pt idx="15">
                  <c:v>-0.26209078702289057</c:v>
                </c:pt>
                <c:pt idx="16">
                  <c:v>-0.26209078702289057</c:v>
                </c:pt>
                <c:pt idx="17">
                  <c:v>-0.26209078702289057</c:v>
                </c:pt>
                <c:pt idx="18">
                  <c:v>-0.26209078702289057</c:v>
                </c:pt>
                <c:pt idx="19">
                  <c:v>-0.26209078702289057</c:v>
                </c:pt>
                <c:pt idx="20">
                  <c:v>2.5401089790055291</c:v>
                </c:pt>
                <c:pt idx="21">
                  <c:v>2.5401089790055291</c:v>
                </c:pt>
                <c:pt idx="22">
                  <c:v>2.5401089790055291</c:v>
                </c:pt>
                <c:pt idx="23">
                  <c:v>2.5401089790055291</c:v>
                </c:pt>
                <c:pt idx="24">
                  <c:v>2.5401089790055291</c:v>
                </c:pt>
                <c:pt idx="25">
                  <c:v>2.5401089790055291</c:v>
                </c:pt>
                <c:pt idx="26">
                  <c:v>2.5401089790055291</c:v>
                </c:pt>
                <c:pt idx="27">
                  <c:v>2.5401089790055291</c:v>
                </c:pt>
                <c:pt idx="28">
                  <c:v>2.5401089790055291</c:v>
                </c:pt>
                <c:pt idx="29">
                  <c:v>2.5401089790055291</c:v>
                </c:pt>
                <c:pt idx="30">
                  <c:v>2.5401089790055291</c:v>
                </c:pt>
                <c:pt idx="31">
                  <c:v>2.5401089790055291</c:v>
                </c:pt>
                <c:pt idx="32">
                  <c:v>2.5401089790055291</c:v>
                </c:pt>
                <c:pt idx="33">
                  <c:v>2.5401089790055291</c:v>
                </c:pt>
                <c:pt idx="34">
                  <c:v>7.5508093557431897</c:v>
                </c:pt>
                <c:pt idx="35">
                  <c:v>7.5508093557431897</c:v>
                </c:pt>
                <c:pt idx="36">
                  <c:v>7.5508093557431897</c:v>
                </c:pt>
                <c:pt idx="37">
                  <c:v>7.5508093557431897</c:v>
                </c:pt>
                <c:pt idx="38">
                  <c:v>7.5508093557431897</c:v>
                </c:pt>
                <c:pt idx="39">
                  <c:v>7.5508093557431897</c:v>
                </c:pt>
                <c:pt idx="40">
                  <c:v>7.5508093557431897</c:v>
                </c:pt>
                <c:pt idx="41">
                  <c:v>7.5508093557431897</c:v>
                </c:pt>
                <c:pt idx="42">
                  <c:v>7.5508093557431897</c:v>
                </c:pt>
                <c:pt idx="43">
                  <c:v>7.5508093557431897</c:v>
                </c:pt>
                <c:pt idx="44">
                  <c:v>7.5508093557431897</c:v>
                </c:pt>
                <c:pt idx="45">
                  <c:v>7.5508093557431897</c:v>
                </c:pt>
                <c:pt idx="46">
                  <c:v>11.545709190087079</c:v>
                </c:pt>
                <c:pt idx="47">
                  <c:v>11.545709190087079</c:v>
                </c:pt>
                <c:pt idx="48">
                  <c:v>11.545709190087079</c:v>
                </c:pt>
                <c:pt idx="49">
                  <c:v>11.545709190087079</c:v>
                </c:pt>
                <c:pt idx="50">
                  <c:v>11.545709190087079</c:v>
                </c:pt>
                <c:pt idx="51">
                  <c:v>11.545709190087079</c:v>
                </c:pt>
                <c:pt idx="52">
                  <c:v>11.545709190087079</c:v>
                </c:pt>
                <c:pt idx="53">
                  <c:v>11.545709190087079</c:v>
                </c:pt>
                <c:pt idx="54">
                  <c:v>11.545709190087079</c:v>
                </c:pt>
                <c:pt idx="55">
                  <c:v>11.545709190087079</c:v>
                </c:pt>
                <c:pt idx="56">
                  <c:v>11.545709190087079</c:v>
                </c:pt>
                <c:pt idx="57">
                  <c:v>11.545709190087079</c:v>
                </c:pt>
                <c:pt idx="58">
                  <c:v>11.545709190087079</c:v>
                </c:pt>
                <c:pt idx="59">
                  <c:v>11.545709190087079</c:v>
                </c:pt>
                <c:pt idx="60">
                  <c:v>20.52670868208779</c:v>
                </c:pt>
                <c:pt idx="61">
                  <c:v>20.52670868208779</c:v>
                </c:pt>
                <c:pt idx="62">
                  <c:v>20.52670868208779</c:v>
                </c:pt>
                <c:pt idx="63">
                  <c:v>20.52670868208779</c:v>
                </c:pt>
                <c:pt idx="64">
                  <c:v>20.52670868208779</c:v>
                </c:pt>
                <c:pt idx="65">
                  <c:v>20.52670868208779</c:v>
                </c:pt>
                <c:pt idx="66">
                  <c:v>20.52670868208779</c:v>
                </c:pt>
                <c:pt idx="67">
                  <c:v>20.52670868208779</c:v>
                </c:pt>
                <c:pt idx="68">
                  <c:v>20.52670868208779</c:v>
                </c:pt>
                <c:pt idx="69">
                  <c:v>20.52670868208779</c:v>
                </c:pt>
                <c:pt idx="70">
                  <c:v>20.52670868208779</c:v>
                </c:pt>
                <c:pt idx="71">
                  <c:v>20.52670868208779</c:v>
                </c:pt>
                <c:pt idx="72">
                  <c:v>20.52670868208779</c:v>
                </c:pt>
                <c:pt idx="73">
                  <c:v>20.52670868208779</c:v>
                </c:pt>
                <c:pt idx="74">
                  <c:v>20.52670868208779</c:v>
                </c:pt>
                <c:pt idx="75">
                  <c:v>20.52670868208779</c:v>
                </c:pt>
                <c:pt idx="76">
                  <c:v>20.52670868208779</c:v>
                </c:pt>
                <c:pt idx="77">
                  <c:v>20.52670868208779</c:v>
                </c:pt>
                <c:pt idx="78">
                  <c:v>20.52670868208779</c:v>
                </c:pt>
                <c:pt idx="79">
                  <c:v>20.52670868208779</c:v>
                </c:pt>
                <c:pt idx="80">
                  <c:v>20.52670868208779</c:v>
                </c:pt>
                <c:pt idx="81">
                  <c:v>-0.26729089138221029</c:v>
                </c:pt>
                <c:pt idx="82">
                  <c:v>-0.26729089138221029</c:v>
                </c:pt>
                <c:pt idx="83">
                  <c:v>-0.26729089138221029</c:v>
                </c:pt>
                <c:pt idx="84">
                  <c:v>-0.26729089138221029</c:v>
                </c:pt>
                <c:pt idx="85">
                  <c:v>-0.26729089138221029</c:v>
                </c:pt>
                <c:pt idx="86">
                  <c:v>-0.26729089138221029</c:v>
                </c:pt>
                <c:pt idx="87">
                  <c:v>-0.26729089138221029</c:v>
                </c:pt>
                <c:pt idx="88">
                  <c:v>-0.26729089138221029</c:v>
                </c:pt>
                <c:pt idx="89">
                  <c:v>-0.26729089138221029</c:v>
                </c:pt>
                <c:pt idx="90">
                  <c:v>-0.26729089138221029</c:v>
                </c:pt>
                <c:pt idx="91">
                  <c:v>-0.26729089138221029</c:v>
                </c:pt>
                <c:pt idx="92">
                  <c:v>-0.18248721508698099</c:v>
                </c:pt>
                <c:pt idx="93">
                  <c:v>-0.18248721508698099</c:v>
                </c:pt>
                <c:pt idx="94">
                  <c:v>-0.18248721508698099</c:v>
                </c:pt>
                <c:pt idx="95">
                  <c:v>-0.18248721508698099</c:v>
                </c:pt>
                <c:pt idx="96">
                  <c:v>-0.18248721508698099</c:v>
                </c:pt>
                <c:pt idx="97">
                  <c:v>-0.18248721508698099</c:v>
                </c:pt>
                <c:pt idx="98">
                  <c:v>-0.18248721508698099</c:v>
                </c:pt>
                <c:pt idx="99">
                  <c:v>-0.18248721508698099</c:v>
                </c:pt>
                <c:pt idx="100">
                  <c:v>-5.297965907691074E-2</c:v>
                </c:pt>
                <c:pt idx="101">
                  <c:v>-5.297965907691074E-2</c:v>
                </c:pt>
                <c:pt idx="102">
                  <c:v>-5.297965907691074E-2</c:v>
                </c:pt>
                <c:pt idx="103">
                  <c:v>-5.297965907691074E-2</c:v>
                </c:pt>
                <c:pt idx="104">
                  <c:v>-5.297965907691074E-2</c:v>
                </c:pt>
                <c:pt idx="105">
                  <c:v>-5.297965907691074E-2</c:v>
                </c:pt>
                <c:pt idx="106">
                  <c:v>-5.297965907691074E-2</c:v>
                </c:pt>
                <c:pt idx="107">
                  <c:v>-5.297965907691074E-2</c:v>
                </c:pt>
                <c:pt idx="108">
                  <c:v>-5.297965907691074E-2</c:v>
                </c:pt>
                <c:pt idx="109">
                  <c:v>8.9252168417994771E-3</c:v>
                </c:pt>
                <c:pt idx="110">
                  <c:v>8.9252168417994771E-3</c:v>
                </c:pt>
                <c:pt idx="111">
                  <c:v>8.9252168417994771E-3</c:v>
                </c:pt>
                <c:pt idx="112">
                  <c:v>8.9252168417994771E-3</c:v>
                </c:pt>
                <c:pt idx="113">
                  <c:v>8.9252168417994771E-3</c:v>
                </c:pt>
                <c:pt idx="114">
                  <c:v>8.9252168417994771E-3</c:v>
                </c:pt>
                <c:pt idx="115">
                  <c:v>8.9252168417994771E-3</c:v>
                </c:pt>
                <c:pt idx="116">
                  <c:v>8.9252168417994771E-3</c:v>
                </c:pt>
                <c:pt idx="117">
                  <c:v>8.9252168417994771E-3</c:v>
                </c:pt>
                <c:pt idx="118">
                  <c:v>8.9252168417994771E-3</c:v>
                </c:pt>
                <c:pt idx="119">
                  <c:v>5.4830259856209373E-2</c:v>
                </c:pt>
                <c:pt idx="120">
                  <c:v>5.4830259856209373E-2</c:v>
                </c:pt>
                <c:pt idx="121">
                  <c:v>5.4830259856209373E-2</c:v>
                </c:pt>
                <c:pt idx="122">
                  <c:v>5.4830259856209373E-2</c:v>
                </c:pt>
                <c:pt idx="123">
                  <c:v>5.4830259856209373E-2</c:v>
                </c:pt>
                <c:pt idx="124">
                  <c:v>5.4830259856209373E-2</c:v>
                </c:pt>
                <c:pt idx="125">
                  <c:v>5.4830259856209373E-2</c:v>
                </c:pt>
                <c:pt idx="126">
                  <c:v>5.4830259856209373E-2</c:v>
                </c:pt>
                <c:pt idx="127">
                  <c:v>5.4830259856209373E-2</c:v>
                </c:pt>
                <c:pt idx="128">
                  <c:v>5.4830259856209373E-2</c:v>
                </c:pt>
                <c:pt idx="129">
                  <c:v>5.4830259856209373E-2</c:v>
                </c:pt>
                <c:pt idx="130">
                  <c:v>5.4830259856209373E-2</c:v>
                </c:pt>
                <c:pt idx="131">
                  <c:v>5.4830259856209373E-2</c:v>
                </c:pt>
                <c:pt idx="132">
                  <c:v>5.4830259856209373E-2</c:v>
                </c:pt>
                <c:pt idx="133">
                  <c:v>-7.7161933256098596</c:v>
                </c:pt>
                <c:pt idx="134">
                  <c:v>-7.7161933256098596</c:v>
                </c:pt>
                <c:pt idx="135">
                  <c:v>-7.7161933256098596</c:v>
                </c:pt>
                <c:pt idx="136">
                  <c:v>-7.7161933256098596</c:v>
                </c:pt>
                <c:pt idx="137">
                  <c:v>-7.7161933256098596</c:v>
                </c:pt>
                <c:pt idx="138">
                  <c:v>-7.7161933256098596</c:v>
                </c:pt>
                <c:pt idx="139">
                  <c:v>-7.7161933256098596</c:v>
                </c:pt>
                <c:pt idx="140">
                  <c:v>-7.7161933256098596</c:v>
                </c:pt>
                <c:pt idx="141">
                  <c:v>-7.7161933256098596</c:v>
                </c:pt>
                <c:pt idx="142">
                  <c:v>-7.7161933256098596</c:v>
                </c:pt>
                <c:pt idx="143">
                  <c:v>-7.7161933256098596</c:v>
                </c:pt>
                <c:pt idx="144">
                  <c:v>-7.7161933256098596</c:v>
                </c:pt>
                <c:pt idx="145">
                  <c:v>-4.1055920811269289</c:v>
                </c:pt>
                <c:pt idx="146">
                  <c:v>-4.1055920811269289</c:v>
                </c:pt>
                <c:pt idx="147">
                  <c:v>-4.1055920811269289</c:v>
                </c:pt>
                <c:pt idx="148">
                  <c:v>-4.1055920811269289</c:v>
                </c:pt>
                <c:pt idx="149">
                  <c:v>-4.1055920811269289</c:v>
                </c:pt>
                <c:pt idx="150">
                  <c:v>-4.1055920811269289</c:v>
                </c:pt>
                <c:pt idx="151">
                  <c:v>-4.1055920811269289</c:v>
                </c:pt>
                <c:pt idx="152">
                  <c:v>-4.1055920811269289</c:v>
                </c:pt>
                <c:pt idx="153">
                  <c:v>-4.1055920811269289</c:v>
                </c:pt>
                <c:pt idx="154">
                  <c:v>-4.1055920811269289</c:v>
                </c:pt>
                <c:pt idx="155">
                  <c:v>-4.1055920811269289</c:v>
                </c:pt>
                <c:pt idx="156">
                  <c:v>-4.1055920811269289</c:v>
                </c:pt>
                <c:pt idx="157">
                  <c:v>-0.2830919045532998</c:v>
                </c:pt>
                <c:pt idx="158">
                  <c:v>-0.2830919045532998</c:v>
                </c:pt>
                <c:pt idx="159">
                  <c:v>-0.2830919045532998</c:v>
                </c:pt>
                <c:pt idx="160">
                  <c:v>-0.2830919045532998</c:v>
                </c:pt>
                <c:pt idx="161">
                  <c:v>-0.2830919045532998</c:v>
                </c:pt>
                <c:pt idx="162">
                  <c:v>-0.2830919045532998</c:v>
                </c:pt>
                <c:pt idx="163">
                  <c:v>-0.2830919045532998</c:v>
                </c:pt>
                <c:pt idx="164">
                  <c:v>-0.2830919045532998</c:v>
                </c:pt>
                <c:pt idx="165">
                  <c:v>-0.2830919045532998</c:v>
                </c:pt>
                <c:pt idx="166">
                  <c:v>-0.2830919045532998</c:v>
                </c:pt>
                <c:pt idx="167">
                  <c:v>-0.2830919045532998</c:v>
                </c:pt>
                <c:pt idx="168">
                  <c:v>-0.2830919045532998</c:v>
                </c:pt>
                <c:pt idx="169">
                  <c:v>-0.2830919045532998</c:v>
                </c:pt>
                <c:pt idx="170">
                  <c:v>-0.2830919045532998</c:v>
                </c:pt>
                <c:pt idx="171">
                  <c:v>-0.2830919045532998</c:v>
                </c:pt>
                <c:pt idx="172">
                  <c:v>-0.2830919045532998</c:v>
                </c:pt>
                <c:pt idx="173">
                  <c:v>5.115909336324151</c:v>
                </c:pt>
                <c:pt idx="174">
                  <c:v>5.115909336324151</c:v>
                </c:pt>
                <c:pt idx="175">
                  <c:v>5.115909336324151</c:v>
                </c:pt>
                <c:pt idx="176">
                  <c:v>5.115909336324151</c:v>
                </c:pt>
                <c:pt idx="177">
                  <c:v>5.115909336324151</c:v>
                </c:pt>
                <c:pt idx="178">
                  <c:v>5.115909336324151</c:v>
                </c:pt>
                <c:pt idx="179">
                  <c:v>5.115909336324151</c:v>
                </c:pt>
                <c:pt idx="180">
                  <c:v>5.115909336324151</c:v>
                </c:pt>
                <c:pt idx="181">
                  <c:v>5.115909336324151</c:v>
                </c:pt>
                <c:pt idx="182">
                  <c:v>5.115909336324151</c:v>
                </c:pt>
                <c:pt idx="183">
                  <c:v>10.17650839987555</c:v>
                </c:pt>
                <c:pt idx="184">
                  <c:v>10.17650839987555</c:v>
                </c:pt>
                <c:pt idx="185">
                  <c:v>10.17650839987555</c:v>
                </c:pt>
                <c:pt idx="186">
                  <c:v>10.17650839987555</c:v>
                </c:pt>
                <c:pt idx="187">
                  <c:v>10.17650839987555</c:v>
                </c:pt>
                <c:pt idx="188">
                  <c:v>10.17650839987555</c:v>
                </c:pt>
                <c:pt idx="189">
                  <c:v>10.17650839987555</c:v>
                </c:pt>
                <c:pt idx="190">
                  <c:v>0.84368517400000043</c:v>
                </c:pt>
                <c:pt idx="191">
                  <c:v>0.84368517400000043</c:v>
                </c:pt>
                <c:pt idx="192">
                  <c:v>0.84368517400000043</c:v>
                </c:pt>
                <c:pt idx="193">
                  <c:v>0.84368517400000043</c:v>
                </c:pt>
                <c:pt idx="194">
                  <c:v>0.84368517400000043</c:v>
                </c:pt>
                <c:pt idx="195">
                  <c:v>0.84368517400000043</c:v>
                </c:pt>
                <c:pt idx="196">
                  <c:v>0.84368517400000043</c:v>
                </c:pt>
                <c:pt idx="197">
                  <c:v>0.84368517400000043</c:v>
                </c:pt>
                <c:pt idx="198">
                  <c:v>0.84368517400000043</c:v>
                </c:pt>
                <c:pt idx="199">
                  <c:v>0.84368517400000043</c:v>
                </c:pt>
                <c:pt idx="200">
                  <c:v>0.84368517400000043</c:v>
                </c:pt>
                <c:pt idx="201">
                  <c:v>1.0336851739999997</c:v>
                </c:pt>
                <c:pt idx="202">
                  <c:v>1.0336851739999997</c:v>
                </c:pt>
                <c:pt idx="203">
                  <c:v>1.0336851739999997</c:v>
                </c:pt>
                <c:pt idx="204">
                  <c:v>1.0336851739999997</c:v>
                </c:pt>
                <c:pt idx="205">
                  <c:v>7.4614911910000012</c:v>
                </c:pt>
                <c:pt idx="206">
                  <c:v>7.4614911910000012</c:v>
                </c:pt>
                <c:pt idx="207">
                  <c:v>7.4614911910000012</c:v>
                </c:pt>
                <c:pt idx="208">
                  <c:v>7.4614911910000012</c:v>
                </c:pt>
                <c:pt idx="209">
                  <c:v>7.4614911910000012</c:v>
                </c:pt>
                <c:pt idx="210">
                  <c:v>7.4614911910000012</c:v>
                </c:pt>
                <c:pt idx="211">
                  <c:v>7.4614911910000012</c:v>
                </c:pt>
                <c:pt idx="212">
                  <c:v>7.4614911910000012</c:v>
                </c:pt>
                <c:pt idx="213">
                  <c:v>7.4614911910000012</c:v>
                </c:pt>
                <c:pt idx="214">
                  <c:v>7.4614911910000012</c:v>
                </c:pt>
                <c:pt idx="215">
                  <c:v>8.3614911909999989</c:v>
                </c:pt>
                <c:pt idx="216">
                  <c:v>8.3614911909999989</c:v>
                </c:pt>
                <c:pt idx="217">
                  <c:v>8.3614911909999989</c:v>
                </c:pt>
                <c:pt idx="218">
                  <c:v>8.3614911909999989</c:v>
                </c:pt>
                <c:pt idx="219">
                  <c:v>8.3614911909999989</c:v>
                </c:pt>
                <c:pt idx="220">
                  <c:v>8.3614911909999989</c:v>
                </c:pt>
                <c:pt idx="221">
                  <c:v>8.3614911909999989</c:v>
                </c:pt>
                <c:pt idx="222">
                  <c:v>8.3614911909999989</c:v>
                </c:pt>
                <c:pt idx="223">
                  <c:v>5.7475061350000001</c:v>
                </c:pt>
                <c:pt idx="224">
                  <c:v>5.7475061350000001</c:v>
                </c:pt>
                <c:pt idx="225">
                  <c:v>5.7475061350000001</c:v>
                </c:pt>
                <c:pt idx="226">
                  <c:v>5.7475061350000001</c:v>
                </c:pt>
                <c:pt idx="227">
                  <c:v>5.7475061350000001</c:v>
                </c:pt>
                <c:pt idx="228">
                  <c:v>5.7475061350000001</c:v>
                </c:pt>
                <c:pt idx="229">
                  <c:v>5.7475061350000001</c:v>
                </c:pt>
                <c:pt idx="230">
                  <c:v>5.7475061350000001</c:v>
                </c:pt>
                <c:pt idx="231">
                  <c:v>5.7475061350000001</c:v>
                </c:pt>
                <c:pt idx="232">
                  <c:v>5.7475061350000001</c:v>
                </c:pt>
                <c:pt idx="233">
                  <c:v>5.7475061350000001</c:v>
                </c:pt>
                <c:pt idx="234">
                  <c:v>5.7475061350000001</c:v>
                </c:pt>
                <c:pt idx="235">
                  <c:v>5.6508375609999986</c:v>
                </c:pt>
                <c:pt idx="236">
                  <c:v>5.6508375609999986</c:v>
                </c:pt>
                <c:pt idx="237">
                  <c:v>5.6508375609999986</c:v>
                </c:pt>
                <c:pt idx="238">
                  <c:v>5.6508375609999986</c:v>
                </c:pt>
                <c:pt idx="239">
                  <c:v>5.6508375609999986</c:v>
                </c:pt>
                <c:pt idx="240">
                  <c:v>5.6508375609999986</c:v>
                </c:pt>
                <c:pt idx="241">
                  <c:v>5.6508375609999986</c:v>
                </c:pt>
                <c:pt idx="242">
                  <c:v>5.6508375609999986</c:v>
                </c:pt>
                <c:pt idx="243">
                  <c:v>5.6508375609999986</c:v>
                </c:pt>
                <c:pt idx="244">
                  <c:v>5.6508375609999986</c:v>
                </c:pt>
                <c:pt idx="245">
                  <c:v>5.6508375609999986</c:v>
                </c:pt>
                <c:pt idx="246">
                  <c:v>5.6508375609999986</c:v>
                </c:pt>
                <c:pt idx="247">
                  <c:v>5.6508375609999986</c:v>
                </c:pt>
                <c:pt idx="248">
                  <c:v>5.6508375609999986</c:v>
                </c:pt>
                <c:pt idx="249">
                  <c:v>5.6508375609999986</c:v>
                </c:pt>
                <c:pt idx="250">
                  <c:v>12.256772075999999</c:v>
                </c:pt>
                <c:pt idx="251">
                  <c:v>12.256772075999999</c:v>
                </c:pt>
                <c:pt idx="252">
                  <c:v>12.256772075999999</c:v>
                </c:pt>
                <c:pt idx="253">
                  <c:v>12.256772075999999</c:v>
                </c:pt>
                <c:pt idx="254">
                  <c:v>12.256772075999999</c:v>
                </c:pt>
                <c:pt idx="255">
                  <c:v>12.256772075999999</c:v>
                </c:pt>
                <c:pt idx="256">
                  <c:v>12.256772075999999</c:v>
                </c:pt>
                <c:pt idx="257">
                  <c:v>12.256772075999999</c:v>
                </c:pt>
                <c:pt idx="258">
                  <c:v>12.256772075999999</c:v>
                </c:pt>
                <c:pt idx="259">
                  <c:v>12.256772075999999</c:v>
                </c:pt>
                <c:pt idx="260">
                  <c:v>12.256772075999999</c:v>
                </c:pt>
                <c:pt idx="261">
                  <c:v>12.154834440000002</c:v>
                </c:pt>
                <c:pt idx="262">
                  <c:v>12.154834440000002</c:v>
                </c:pt>
                <c:pt idx="263">
                  <c:v>12.154834440000002</c:v>
                </c:pt>
                <c:pt idx="264">
                  <c:v>12.154834440000002</c:v>
                </c:pt>
                <c:pt idx="265">
                  <c:v>12.154834440000002</c:v>
                </c:pt>
                <c:pt idx="266">
                  <c:v>12.154834440000002</c:v>
                </c:pt>
                <c:pt idx="267">
                  <c:v>12.154834440000002</c:v>
                </c:pt>
                <c:pt idx="268">
                  <c:v>12.154834440000002</c:v>
                </c:pt>
                <c:pt idx="269">
                  <c:v>0.94711678699999902</c:v>
                </c:pt>
                <c:pt idx="270">
                  <c:v>0.94711678699999902</c:v>
                </c:pt>
                <c:pt idx="271">
                  <c:v>0.94711678699999902</c:v>
                </c:pt>
                <c:pt idx="272">
                  <c:v>0.94711678699999902</c:v>
                </c:pt>
                <c:pt idx="273">
                  <c:v>0.94711678699999902</c:v>
                </c:pt>
                <c:pt idx="274">
                  <c:v>0.94711678699999902</c:v>
                </c:pt>
                <c:pt idx="275">
                  <c:v>0.94711678699999902</c:v>
                </c:pt>
                <c:pt idx="276">
                  <c:v>0.94711678699999902</c:v>
                </c:pt>
                <c:pt idx="277">
                  <c:v>0.94711678699999902</c:v>
                </c:pt>
                <c:pt idx="278">
                  <c:v>0.73843546899999901</c:v>
                </c:pt>
                <c:pt idx="279">
                  <c:v>0.73843546899999901</c:v>
                </c:pt>
                <c:pt idx="280">
                  <c:v>0.73843546899999901</c:v>
                </c:pt>
                <c:pt idx="281">
                  <c:v>0.73843546899999901</c:v>
                </c:pt>
                <c:pt idx="282">
                  <c:v>0.73843546899999901</c:v>
                </c:pt>
                <c:pt idx="283">
                  <c:v>0.73843546899999901</c:v>
                </c:pt>
                <c:pt idx="284">
                  <c:v>0.73843546899999901</c:v>
                </c:pt>
                <c:pt idx="285">
                  <c:v>0.73843546899999901</c:v>
                </c:pt>
                <c:pt idx="286">
                  <c:v>0.73843546899999901</c:v>
                </c:pt>
                <c:pt idx="287">
                  <c:v>0.73843546899999901</c:v>
                </c:pt>
                <c:pt idx="288">
                  <c:v>7.950058309000001</c:v>
                </c:pt>
                <c:pt idx="289">
                  <c:v>7.950058309000001</c:v>
                </c:pt>
                <c:pt idx="290">
                  <c:v>7.950058309000001</c:v>
                </c:pt>
                <c:pt idx="291">
                  <c:v>7.950058309000001</c:v>
                </c:pt>
                <c:pt idx="292">
                  <c:v>7.950058309000001</c:v>
                </c:pt>
                <c:pt idx="293">
                  <c:v>7.950058309000001</c:v>
                </c:pt>
                <c:pt idx="294">
                  <c:v>8.6500583090000003</c:v>
                </c:pt>
                <c:pt idx="295">
                  <c:v>8.6500583090000003</c:v>
                </c:pt>
                <c:pt idx="296">
                  <c:v>8.6500583090000003</c:v>
                </c:pt>
                <c:pt idx="297">
                  <c:v>8.6500583090000003</c:v>
                </c:pt>
                <c:pt idx="298">
                  <c:v>8.6500583090000003</c:v>
                </c:pt>
                <c:pt idx="299">
                  <c:v>8.6500583090000003</c:v>
                </c:pt>
                <c:pt idx="300">
                  <c:v>8.6500583090000003</c:v>
                </c:pt>
                <c:pt idx="301">
                  <c:v>5.5411632839999996</c:v>
                </c:pt>
                <c:pt idx="302">
                  <c:v>5.5411632839999996</c:v>
                </c:pt>
                <c:pt idx="303">
                  <c:v>5.5411632839999996</c:v>
                </c:pt>
                <c:pt idx="304">
                  <c:v>5.5411632839999996</c:v>
                </c:pt>
                <c:pt idx="305">
                  <c:v>5.5411632839999996</c:v>
                </c:pt>
                <c:pt idx="306">
                  <c:v>5.5411632839999996</c:v>
                </c:pt>
                <c:pt idx="307">
                  <c:v>5.5411632839999996</c:v>
                </c:pt>
                <c:pt idx="308">
                  <c:v>5.5411632839999996</c:v>
                </c:pt>
                <c:pt idx="309">
                  <c:v>5.5411632839999996</c:v>
                </c:pt>
                <c:pt idx="310">
                  <c:v>5.5411632839999996</c:v>
                </c:pt>
                <c:pt idx="311">
                  <c:v>5.6462122170000013</c:v>
                </c:pt>
                <c:pt idx="312">
                  <c:v>5.6462122170000013</c:v>
                </c:pt>
                <c:pt idx="313">
                  <c:v>5.6462122170000013</c:v>
                </c:pt>
                <c:pt idx="314">
                  <c:v>5.6462122170000013</c:v>
                </c:pt>
                <c:pt idx="315">
                  <c:v>5.6462122170000013</c:v>
                </c:pt>
                <c:pt idx="316">
                  <c:v>5.6462122170000013</c:v>
                </c:pt>
                <c:pt idx="317">
                  <c:v>5.6462122170000013</c:v>
                </c:pt>
                <c:pt idx="318">
                  <c:v>5.6462122170000013</c:v>
                </c:pt>
                <c:pt idx="319">
                  <c:v>5.6462122170000013</c:v>
                </c:pt>
                <c:pt idx="320">
                  <c:v>5.6462122170000013</c:v>
                </c:pt>
                <c:pt idx="321">
                  <c:v>12.569001397000001</c:v>
                </c:pt>
                <c:pt idx="322">
                  <c:v>12.569001397000001</c:v>
                </c:pt>
                <c:pt idx="323">
                  <c:v>12.569001397000001</c:v>
                </c:pt>
                <c:pt idx="324">
                  <c:v>12.569001397000001</c:v>
                </c:pt>
                <c:pt idx="325">
                  <c:v>12.569001397000001</c:v>
                </c:pt>
                <c:pt idx="326">
                  <c:v>12.569001397000001</c:v>
                </c:pt>
                <c:pt idx="327">
                  <c:v>12.569001397000001</c:v>
                </c:pt>
                <c:pt idx="328">
                  <c:v>12.569001397000001</c:v>
                </c:pt>
                <c:pt idx="329">
                  <c:v>12.569001397000001</c:v>
                </c:pt>
                <c:pt idx="330">
                  <c:v>12.569001397000001</c:v>
                </c:pt>
                <c:pt idx="331">
                  <c:v>13.679570120000001</c:v>
                </c:pt>
                <c:pt idx="332">
                  <c:v>13.679570120000001</c:v>
                </c:pt>
                <c:pt idx="333">
                  <c:v>13.679570120000001</c:v>
                </c:pt>
                <c:pt idx="334">
                  <c:v>13.679570120000001</c:v>
                </c:pt>
                <c:pt idx="335">
                  <c:v>13.679570120000001</c:v>
                </c:pt>
                <c:pt idx="336">
                  <c:v>13.679570120000001</c:v>
                </c:pt>
                <c:pt idx="337">
                  <c:v>13.679570120000001</c:v>
                </c:pt>
                <c:pt idx="338">
                  <c:v>13.679570120000001</c:v>
                </c:pt>
              </c:numCache>
            </c:numRef>
          </c:xVal>
          <c:yVal>
            <c:numRef>
              <c:f>SICA_preadjustement!$N$2:$N$343</c:f>
              <c:numCache>
                <c:formatCode>General</c:formatCode>
                <c:ptCount val="342"/>
                <c:pt idx="0">
                  <c:v>0.12800712800712813</c:v>
                </c:pt>
                <c:pt idx="1">
                  <c:v>7.9749079749079826E-2</c:v>
                </c:pt>
                <c:pt idx="2">
                  <c:v>0.16524016524016535</c:v>
                </c:pt>
                <c:pt idx="3">
                  <c:v>0.19913719913719918</c:v>
                </c:pt>
                <c:pt idx="4">
                  <c:v>2.1819021819021889E-2</c:v>
                </c:pt>
                <c:pt idx="5">
                  <c:v>0.17031617031617044</c:v>
                </c:pt>
                <c:pt idx="6">
                  <c:v>0.11291711291711294</c:v>
                </c:pt>
                <c:pt idx="7">
                  <c:v>3.7926037926038082E-2</c:v>
                </c:pt>
                <c:pt idx="8">
                  <c:v>0.15680415680415688</c:v>
                </c:pt>
                <c:pt idx="9">
                  <c:v>4.959004959005019E-3</c:v>
                </c:pt>
                <c:pt idx="10">
                  <c:v>0.16649416649416662</c:v>
                </c:pt>
                <c:pt idx="11">
                  <c:v>0.11266211266211275</c:v>
                </c:pt>
                <c:pt idx="12">
                  <c:v>5.2920052920053043E-2</c:v>
                </c:pt>
                <c:pt idx="13">
                  <c:v>2.2119022119022259E-2</c:v>
                </c:pt>
                <c:pt idx="14">
                  <c:v>7.5867075867075986E-2</c:v>
                </c:pt>
                <c:pt idx="15">
                  <c:v>0.11539511539511547</c:v>
                </c:pt>
                <c:pt idx="16">
                  <c:v>0.18041718041718044</c:v>
                </c:pt>
                <c:pt idx="17">
                  <c:v>2.3640023640023794E-2</c:v>
                </c:pt>
                <c:pt idx="18">
                  <c:v>0.18426918426918426</c:v>
                </c:pt>
                <c:pt idx="19">
                  <c:v>0.20885720885720893</c:v>
                </c:pt>
                <c:pt idx="20">
                  <c:v>0.1371691371691372</c:v>
                </c:pt>
                <c:pt idx="21">
                  <c:v>0.18929418929418931</c:v>
                </c:pt>
                <c:pt idx="22">
                  <c:v>0.13476613476613483</c:v>
                </c:pt>
                <c:pt idx="23">
                  <c:v>0.18343218343218343</c:v>
                </c:pt>
                <c:pt idx="24">
                  <c:v>0.17034317034317034</c:v>
                </c:pt>
                <c:pt idx="25">
                  <c:v>9.0012090012090068E-2</c:v>
                </c:pt>
                <c:pt idx="26">
                  <c:v>0.18559218559218568</c:v>
                </c:pt>
                <c:pt idx="27">
                  <c:v>0.12043512043512054</c:v>
                </c:pt>
                <c:pt idx="28">
                  <c:v>0.16009216009216018</c:v>
                </c:pt>
                <c:pt idx="29">
                  <c:v>6.7992067992068125E-2</c:v>
                </c:pt>
                <c:pt idx="30">
                  <c:v>0.11629211629211632</c:v>
                </c:pt>
                <c:pt idx="31">
                  <c:v>6.3222063222063252E-2</c:v>
                </c:pt>
                <c:pt idx="32">
                  <c:v>6.464406464406465E-2</c:v>
                </c:pt>
                <c:pt idx="33">
                  <c:v>0.12816612816612827</c:v>
                </c:pt>
                <c:pt idx="34">
                  <c:v>0.11077811077811091</c:v>
                </c:pt>
                <c:pt idx="35">
                  <c:v>6.9117069117069246E-2</c:v>
                </c:pt>
                <c:pt idx="36">
                  <c:v>8.5020085020085109E-2</c:v>
                </c:pt>
                <c:pt idx="37">
                  <c:v>0.11979311979311991</c:v>
                </c:pt>
                <c:pt idx="38">
                  <c:v>9.4314094314094446E-2</c:v>
                </c:pt>
                <c:pt idx="39">
                  <c:v>0.15705315705315703</c:v>
                </c:pt>
                <c:pt idx="40">
                  <c:v>7.9083079083079211E-2</c:v>
                </c:pt>
                <c:pt idx="41">
                  <c:v>9.0978090978091036E-2</c:v>
                </c:pt>
                <c:pt idx="42">
                  <c:v>0.13791013791013798</c:v>
                </c:pt>
                <c:pt idx="43">
                  <c:v>8.4546084546084588E-2</c:v>
                </c:pt>
                <c:pt idx="44">
                  <c:v>7.3362073362073385E-2</c:v>
                </c:pt>
                <c:pt idx="45">
                  <c:v>0.17003417003417018</c:v>
                </c:pt>
                <c:pt idx="46">
                  <c:v>9.7260097260097295E-2</c:v>
                </c:pt>
                <c:pt idx="47">
                  <c:v>0.14444114444114459</c:v>
                </c:pt>
                <c:pt idx="48">
                  <c:v>0.14603114603114609</c:v>
                </c:pt>
                <c:pt idx="49">
                  <c:v>0.12197412197412201</c:v>
                </c:pt>
                <c:pt idx="50">
                  <c:v>7.5276075276075397E-2</c:v>
                </c:pt>
                <c:pt idx="51">
                  <c:v>0.19237819237819245</c:v>
                </c:pt>
                <c:pt idx="52">
                  <c:v>0.22926922926922927</c:v>
                </c:pt>
                <c:pt idx="53">
                  <c:v>0.25654825654825658</c:v>
                </c:pt>
                <c:pt idx="54">
                  <c:v>0.21369021369021374</c:v>
                </c:pt>
                <c:pt idx="55">
                  <c:v>0.10111810111810116</c:v>
                </c:pt>
                <c:pt idx="56">
                  <c:v>3.3228033228033291E-2</c:v>
                </c:pt>
                <c:pt idx="57">
                  <c:v>0.1889131889131889</c:v>
                </c:pt>
                <c:pt idx="58">
                  <c:v>0.1218361218361219</c:v>
                </c:pt>
                <c:pt idx="59">
                  <c:v>9.9591099591099588E-2</c:v>
                </c:pt>
                <c:pt idx="60">
                  <c:v>0.17869517869517884</c:v>
                </c:pt>
                <c:pt idx="61">
                  <c:v>0.22195822195822207</c:v>
                </c:pt>
                <c:pt idx="62">
                  <c:v>0.20695520695520697</c:v>
                </c:pt>
                <c:pt idx="63">
                  <c:v>0.12630312630312629</c:v>
                </c:pt>
                <c:pt idx="64">
                  <c:v>0.1312471312471313</c:v>
                </c:pt>
                <c:pt idx="65">
                  <c:v>0.16843216843216843</c:v>
                </c:pt>
                <c:pt idx="66">
                  <c:v>0.19862119862119876</c:v>
                </c:pt>
                <c:pt idx="67">
                  <c:v>0.20203820203820202</c:v>
                </c:pt>
                <c:pt idx="68">
                  <c:v>0.21662721662721662</c:v>
                </c:pt>
                <c:pt idx="69">
                  <c:v>0.22974622974622988</c:v>
                </c:pt>
                <c:pt idx="70">
                  <c:v>0.21427221427221435</c:v>
                </c:pt>
                <c:pt idx="71">
                  <c:v>0.20742920742920751</c:v>
                </c:pt>
                <c:pt idx="72">
                  <c:v>0.24478524478524485</c:v>
                </c:pt>
                <c:pt idx="73">
                  <c:v>0.25155925155925157</c:v>
                </c:pt>
                <c:pt idx="74">
                  <c:v>0.16445416445416455</c:v>
                </c:pt>
                <c:pt idx="75">
                  <c:v>0.18346518346518353</c:v>
                </c:pt>
                <c:pt idx="76">
                  <c:v>0.17519717519717518</c:v>
                </c:pt>
                <c:pt idx="77">
                  <c:v>0.18216318216318217</c:v>
                </c:pt>
                <c:pt idx="78">
                  <c:v>0.17678417678417693</c:v>
                </c:pt>
                <c:pt idx="79">
                  <c:v>0.248886248886249</c:v>
                </c:pt>
                <c:pt idx="80">
                  <c:v>0.23805023805023809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C-444C-876A-0DD653543E57}"/>
            </c:ext>
          </c:extLst>
        </c:ser>
        <c:ser>
          <c:idx val="1"/>
          <c:order val="1"/>
          <c:tx>
            <c:strRef>
              <c:f>SICA_preadjustement!$O$1</c:f>
              <c:strCache>
                <c:ptCount val="1"/>
                <c:pt idx="0">
                  <c:v>ESpH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8125061187955413E-2"/>
                  <c:y val="0.176005826537211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D8C1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SICA_preadjustement!$L$2:$L$343</c:f>
              <c:numCache>
                <c:formatCode>General</c:formatCode>
                <c:ptCount val="342"/>
                <c:pt idx="0">
                  <c:v>-0.26209078702289057</c:v>
                </c:pt>
                <c:pt idx="1">
                  <c:v>-0.26209078702289057</c:v>
                </c:pt>
                <c:pt idx="2">
                  <c:v>-0.26209078702289057</c:v>
                </c:pt>
                <c:pt idx="3">
                  <c:v>-0.26209078702289057</c:v>
                </c:pt>
                <c:pt idx="4">
                  <c:v>-0.26209078702289057</c:v>
                </c:pt>
                <c:pt idx="5">
                  <c:v>-0.26209078702289057</c:v>
                </c:pt>
                <c:pt idx="6">
                  <c:v>-0.26209078702289057</c:v>
                </c:pt>
                <c:pt idx="7">
                  <c:v>-0.26209078702289057</c:v>
                </c:pt>
                <c:pt idx="8">
                  <c:v>-0.26209078702289057</c:v>
                </c:pt>
                <c:pt idx="9">
                  <c:v>-0.26209078702289057</c:v>
                </c:pt>
                <c:pt idx="10">
                  <c:v>-0.26209078702289057</c:v>
                </c:pt>
                <c:pt idx="11">
                  <c:v>-0.26209078702289057</c:v>
                </c:pt>
                <c:pt idx="12">
                  <c:v>-0.26209078702289057</c:v>
                </c:pt>
                <c:pt idx="13">
                  <c:v>-0.26209078702289057</c:v>
                </c:pt>
                <c:pt idx="14">
                  <c:v>-0.26209078702289057</c:v>
                </c:pt>
                <c:pt idx="15">
                  <c:v>-0.26209078702289057</c:v>
                </c:pt>
                <c:pt idx="16">
                  <c:v>-0.26209078702289057</c:v>
                </c:pt>
                <c:pt idx="17">
                  <c:v>-0.26209078702289057</c:v>
                </c:pt>
                <c:pt idx="18">
                  <c:v>-0.26209078702289057</c:v>
                </c:pt>
                <c:pt idx="19">
                  <c:v>-0.26209078702289057</c:v>
                </c:pt>
                <c:pt idx="20">
                  <c:v>2.5401089790055291</c:v>
                </c:pt>
                <c:pt idx="21">
                  <c:v>2.5401089790055291</c:v>
                </c:pt>
                <c:pt idx="22">
                  <c:v>2.5401089790055291</c:v>
                </c:pt>
                <c:pt idx="23">
                  <c:v>2.5401089790055291</c:v>
                </c:pt>
                <c:pt idx="24">
                  <c:v>2.5401089790055291</c:v>
                </c:pt>
                <c:pt idx="25">
                  <c:v>2.5401089790055291</c:v>
                </c:pt>
                <c:pt idx="26">
                  <c:v>2.5401089790055291</c:v>
                </c:pt>
                <c:pt idx="27">
                  <c:v>2.5401089790055291</c:v>
                </c:pt>
                <c:pt idx="28">
                  <c:v>2.5401089790055291</c:v>
                </c:pt>
                <c:pt idx="29">
                  <c:v>2.5401089790055291</c:v>
                </c:pt>
                <c:pt idx="30">
                  <c:v>2.5401089790055291</c:v>
                </c:pt>
                <c:pt idx="31">
                  <c:v>2.5401089790055291</c:v>
                </c:pt>
                <c:pt idx="32">
                  <c:v>2.5401089790055291</c:v>
                </c:pt>
                <c:pt idx="33">
                  <c:v>2.5401089790055291</c:v>
                </c:pt>
                <c:pt idx="34">
                  <c:v>7.5508093557431897</c:v>
                </c:pt>
                <c:pt idx="35">
                  <c:v>7.5508093557431897</c:v>
                </c:pt>
                <c:pt idx="36">
                  <c:v>7.5508093557431897</c:v>
                </c:pt>
                <c:pt idx="37">
                  <c:v>7.5508093557431897</c:v>
                </c:pt>
                <c:pt idx="38">
                  <c:v>7.5508093557431897</c:v>
                </c:pt>
                <c:pt idx="39">
                  <c:v>7.5508093557431897</c:v>
                </c:pt>
                <c:pt idx="40">
                  <c:v>7.5508093557431897</c:v>
                </c:pt>
                <c:pt idx="41">
                  <c:v>7.5508093557431897</c:v>
                </c:pt>
                <c:pt idx="42">
                  <c:v>7.5508093557431897</c:v>
                </c:pt>
                <c:pt idx="43">
                  <c:v>7.5508093557431897</c:v>
                </c:pt>
                <c:pt idx="44">
                  <c:v>7.5508093557431897</c:v>
                </c:pt>
                <c:pt idx="45">
                  <c:v>7.5508093557431897</c:v>
                </c:pt>
                <c:pt idx="46">
                  <c:v>11.545709190087079</c:v>
                </c:pt>
                <c:pt idx="47">
                  <c:v>11.545709190087079</c:v>
                </c:pt>
                <c:pt idx="48">
                  <c:v>11.545709190087079</c:v>
                </c:pt>
                <c:pt idx="49">
                  <c:v>11.545709190087079</c:v>
                </c:pt>
                <c:pt idx="50">
                  <c:v>11.545709190087079</c:v>
                </c:pt>
                <c:pt idx="51">
                  <c:v>11.545709190087079</c:v>
                </c:pt>
                <c:pt idx="52">
                  <c:v>11.545709190087079</c:v>
                </c:pt>
                <c:pt idx="53">
                  <c:v>11.545709190087079</c:v>
                </c:pt>
                <c:pt idx="54">
                  <c:v>11.545709190087079</c:v>
                </c:pt>
                <c:pt idx="55">
                  <c:v>11.545709190087079</c:v>
                </c:pt>
                <c:pt idx="56">
                  <c:v>11.545709190087079</c:v>
                </c:pt>
                <c:pt idx="57">
                  <c:v>11.545709190087079</c:v>
                </c:pt>
                <c:pt idx="58">
                  <c:v>11.545709190087079</c:v>
                </c:pt>
                <c:pt idx="59">
                  <c:v>11.545709190087079</c:v>
                </c:pt>
                <c:pt idx="60">
                  <c:v>20.52670868208779</c:v>
                </c:pt>
                <c:pt idx="61">
                  <c:v>20.52670868208779</c:v>
                </c:pt>
                <c:pt idx="62">
                  <c:v>20.52670868208779</c:v>
                </c:pt>
                <c:pt idx="63">
                  <c:v>20.52670868208779</c:v>
                </c:pt>
                <c:pt idx="64">
                  <c:v>20.52670868208779</c:v>
                </c:pt>
                <c:pt idx="65">
                  <c:v>20.52670868208779</c:v>
                </c:pt>
                <c:pt idx="66">
                  <c:v>20.52670868208779</c:v>
                </c:pt>
                <c:pt idx="67">
                  <c:v>20.52670868208779</c:v>
                </c:pt>
                <c:pt idx="68">
                  <c:v>20.52670868208779</c:v>
                </c:pt>
                <c:pt idx="69">
                  <c:v>20.52670868208779</c:v>
                </c:pt>
                <c:pt idx="70">
                  <c:v>20.52670868208779</c:v>
                </c:pt>
                <c:pt idx="71">
                  <c:v>20.52670868208779</c:v>
                </c:pt>
                <c:pt idx="72">
                  <c:v>20.52670868208779</c:v>
                </c:pt>
                <c:pt idx="73">
                  <c:v>20.52670868208779</c:v>
                </c:pt>
                <c:pt idx="74">
                  <c:v>20.52670868208779</c:v>
                </c:pt>
                <c:pt idx="75">
                  <c:v>20.52670868208779</c:v>
                </c:pt>
                <c:pt idx="76">
                  <c:v>20.52670868208779</c:v>
                </c:pt>
                <c:pt idx="77">
                  <c:v>20.52670868208779</c:v>
                </c:pt>
                <c:pt idx="78">
                  <c:v>20.52670868208779</c:v>
                </c:pt>
                <c:pt idx="79">
                  <c:v>20.52670868208779</c:v>
                </c:pt>
                <c:pt idx="80">
                  <c:v>20.52670868208779</c:v>
                </c:pt>
                <c:pt idx="81">
                  <c:v>-0.26729089138221029</c:v>
                </c:pt>
                <c:pt idx="82">
                  <c:v>-0.26729089138221029</c:v>
                </c:pt>
                <c:pt idx="83">
                  <c:v>-0.26729089138221029</c:v>
                </c:pt>
                <c:pt idx="84">
                  <c:v>-0.26729089138221029</c:v>
                </c:pt>
                <c:pt idx="85">
                  <c:v>-0.26729089138221029</c:v>
                </c:pt>
                <c:pt idx="86">
                  <c:v>-0.26729089138221029</c:v>
                </c:pt>
                <c:pt idx="87">
                  <c:v>-0.26729089138221029</c:v>
                </c:pt>
                <c:pt idx="88">
                  <c:v>-0.26729089138221029</c:v>
                </c:pt>
                <c:pt idx="89">
                  <c:v>-0.26729089138221029</c:v>
                </c:pt>
                <c:pt idx="90">
                  <c:v>-0.26729089138221029</c:v>
                </c:pt>
                <c:pt idx="91">
                  <c:v>-0.26729089138221029</c:v>
                </c:pt>
                <c:pt idx="92">
                  <c:v>-0.18248721508698099</c:v>
                </c:pt>
                <c:pt idx="93">
                  <c:v>-0.18248721508698099</c:v>
                </c:pt>
                <c:pt idx="94">
                  <c:v>-0.18248721508698099</c:v>
                </c:pt>
                <c:pt idx="95">
                  <c:v>-0.18248721508698099</c:v>
                </c:pt>
                <c:pt idx="96">
                  <c:v>-0.18248721508698099</c:v>
                </c:pt>
                <c:pt idx="97">
                  <c:v>-0.18248721508698099</c:v>
                </c:pt>
                <c:pt idx="98">
                  <c:v>-0.18248721508698099</c:v>
                </c:pt>
                <c:pt idx="99">
                  <c:v>-0.18248721508698099</c:v>
                </c:pt>
                <c:pt idx="100">
                  <c:v>-5.297965907691074E-2</c:v>
                </c:pt>
                <c:pt idx="101">
                  <c:v>-5.297965907691074E-2</c:v>
                </c:pt>
                <c:pt idx="102">
                  <c:v>-5.297965907691074E-2</c:v>
                </c:pt>
                <c:pt idx="103">
                  <c:v>-5.297965907691074E-2</c:v>
                </c:pt>
                <c:pt idx="104">
                  <c:v>-5.297965907691074E-2</c:v>
                </c:pt>
                <c:pt idx="105">
                  <c:v>-5.297965907691074E-2</c:v>
                </c:pt>
                <c:pt idx="106">
                  <c:v>-5.297965907691074E-2</c:v>
                </c:pt>
                <c:pt idx="107">
                  <c:v>-5.297965907691074E-2</c:v>
                </c:pt>
                <c:pt idx="108">
                  <c:v>-5.297965907691074E-2</c:v>
                </c:pt>
                <c:pt idx="109">
                  <c:v>8.9252168417994771E-3</c:v>
                </c:pt>
                <c:pt idx="110">
                  <c:v>8.9252168417994771E-3</c:v>
                </c:pt>
                <c:pt idx="111">
                  <c:v>8.9252168417994771E-3</c:v>
                </c:pt>
                <c:pt idx="112">
                  <c:v>8.9252168417994771E-3</c:v>
                </c:pt>
                <c:pt idx="113">
                  <c:v>8.9252168417994771E-3</c:v>
                </c:pt>
                <c:pt idx="114">
                  <c:v>8.9252168417994771E-3</c:v>
                </c:pt>
                <c:pt idx="115">
                  <c:v>8.9252168417994771E-3</c:v>
                </c:pt>
                <c:pt idx="116">
                  <c:v>8.9252168417994771E-3</c:v>
                </c:pt>
                <c:pt idx="117">
                  <c:v>8.9252168417994771E-3</c:v>
                </c:pt>
                <c:pt idx="118">
                  <c:v>8.9252168417994771E-3</c:v>
                </c:pt>
                <c:pt idx="119">
                  <c:v>5.4830259856209373E-2</c:v>
                </c:pt>
                <c:pt idx="120">
                  <c:v>5.4830259856209373E-2</c:v>
                </c:pt>
                <c:pt idx="121">
                  <c:v>5.4830259856209373E-2</c:v>
                </c:pt>
                <c:pt idx="122">
                  <c:v>5.4830259856209373E-2</c:v>
                </c:pt>
                <c:pt idx="123">
                  <c:v>5.4830259856209373E-2</c:v>
                </c:pt>
                <c:pt idx="124">
                  <c:v>5.4830259856209373E-2</c:v>
                </c:pt>
                <c:pt idx="125">
                  <c:v>5.4830259856209373E-2</c:v>
                </c:pt>
                <c:pt idx="126">
                  <c:v>5.4830259856209373E-2</c:v>
                </c:pt>
                <c:pt idx="127">
                  <c:v>5.4830259856209373E-2</c:v>
                </c:pt>
                <c:pt idx="128">
                  <c:v>5.4830259856209373E-2</c:v>
                </c:pt>
                <c:pt idx="129">
                  <c:v>5.4830259856209373E-2</c:v>
                </c:pt>
                <c:pt idx="130">
                  <c:v>5.4830259856209373E-2</c:v>
                </c:pt>
                <c:pt idx="131">
                  <c:v>5.4830259856209373E-2</c:v>
                </c:pt>
                <c:pt idx="132">
                  <c:v>5.4830259856209373E-2</c:v>
                </c:pt>
                <c:pt idx="133">
                  <c:v>-7.7161933256098596</c:v>
                </c:pt>
                <c:pt idx="134">
                  <c:v>-7.7161933256098596</c:v>
                </c:pt>
                <c:pt idx="135">
                  <c:v>-7.7161933256098596</c:v>
                </c:pt>
                <c:pt idx="136">
                  <c:v>-7.7161933256098596</c:v>
                </c:pt>
                <c:pt idx="137">
                  <c:v>-7.7161933256098596</c:v>
                </c:pt>
                <c:pt idx="138">
                  <c:v>-7.7161933256098596</c:v>
                </c:pt>
                <c:pt idx="139">
                  <c:v>-7.7161933256098596</c:v>
                </c:pt>
                <c:pt idx="140">
                  <c:v>-7.7161933256098596</c:v>
                </c:pt>
                <c:pt idx="141">
                  <c:v>-7.7161933256098596</c:v>
                </c:pt>
                <c:pt idx="142">
                  <c:v>-7.7161933256098596</c:v>
                </c:pt>
                <c:pt idx="143">
                  <c:v>-7.7161933256098596</c:v>
                </c:pt>
                <c:pt idx="144">
                  <c:v>-7.7161933256098596</c:v>
                </c:pt>
                <c:pt idx="145">
                  <c:v>-4.1055920811269289</c:v>
                </c:pt>
                <c:pt idx="146">
                  <c:v>-4.1055920811269289</c:v>
                </c:pt>
                <c:pt idx="147">
                  <c:v>-4.1055920811269289</c:v>
                </c:pt>
                <c:pt idx="148">
                  <c:v>-4.1055920811269289</c:v>
                </c:pt>
                <c:pt idx="149">
                  <c:v>-4.1055920811269289</c:v>
                </c:pt>
                <c:pt idx="150">
                  <c:v>-4.1055920811269289</c:v>
                </c:pt>
                <c:pt idx="151">
                  <c:v>-4.1055920811269289</c:v>
                </c:pt>
                <c:pt idx="152">
                  <c:v>-4.1055920811269289</c:v>
                </c:pt>
                <c:pt idx="153">
                  <c:v>-4.1055920811269289</c:v>
                </c:pt>
                <c:pt idx="154">
                  <c:v>-4.1055920811269289</c:v>
                </c:pt>
                <c:pt idx="155">
                  <c:v>-4.1055920811269289</c:v>
                </c:pt>
                <c:pt idx="156">
                  <c:v>-4.1055920811269289</c:v>
                </c:pt>
                <c:pt idx="157">
                  <c:v>-0.2830919045532998</c:v>
                </c:pt>
                <c:pt idx="158">
                  <c:v>-0.2830919045532998</c:v>
                </c:pt>
                <c:pt idx="159">
                  <c:v>-0.2830919045532998</c:v>
                </c:pt>
                <c:pt idx="160">
                  <c:v>-0.2830919045532998</c:v>
                </c:pt>
                <c:pt idx="161">
                  <c:v>-0.2830919045532998</c:v>
                </c:pt>
                <c:pt idx="162">
                  <c:v>-0.2830919045532998</c:v>
                </c:pt>
                <c:pt idx="163">
                  <c:v>-0.2830919045532998</c:v>
                </c:pt>
                <c:pt idx="164">
                  <c:v>-0.2830919045532998</c:v>
                </c:pt>
                <c:pt idx="165">
                  <c:v>-0.2830919045532998</c:v>
                </c:pt>
                <c:pt idx="166">
                  <c:v>-0.2830919045532998</c:v>
                </c:pt>
                <c:pt idx="167">
                  <c:v>-0.2830919045532998</c:v>
                </c:pt>
                <c:pt idx="168">
                  <c:v>-0.2830919045532998</c:v>
                </c:pt>
                <c:pt idx="169">
                  <c:v>-0.2830919045532998</c:v>
                </c:pt>
                <c:pt idx="170">
                  <c:v>-0.2830919045532998</c:v>
                </c:pt>
                <c:pt idx="171">
                  <c:v>-0.2830919045532998</c:v>
                </c:pt>
                <c:pt idx="172">
                  <c:v>-0.2830919045532998</c:v>
                </c:pt>
                <c:pt idx="173">
                  <c:v>5.115909336324151</c:v>
                </c:pt>
                <c:pt idx="174">
                  <c:v>5.115909336324151</c:v>
                </c:pt>
                <c:pt idx="175">
                  <c:v>5.115909336324151</c:v>
                </c:pt>
                <c:pt idx="176">
                  <c:v>5.115909336324151</c:v>
                </c:pt>
                <c:pt idx="177">
                  <c:v>5.115909336324151</c:v>
                </c:pt>
                <c:pt idx="178">
                  <c:v>5.115909336324151</c:v>
                </c:pt>
                <c:pt idx="179">
                  <c:v>5.115909336324151</c:v>
                </c:pt>
                <c:pt idx="180">
                  <c:v>5.115909336324151</c:v>
                </c:pt>
                <c:pt idx="181">
                  <c:v>5.115909336324151</c:v>
                </c:pt>
                <c:pt idx="182">
                  <c:v>5.115909336324151</c:v>
                </c:pt>
                <c:pt idx="183">
                  <c:v>10.17650839987555</c:v>
                </c:pt>
                <c:pt idx="184">
                  <c:v>10.17650839987555</c:v>
                </c:pt>
                <c:pt idx="185">
                  <c:v>10.17650839987555</c:v>
                </c:pt>
                <c:pt idx="186">
                  <c:v>10.17650839987555</c:v>
                </c:pt>
                <c:pt idx="187">
                  <c:v>10.17650839987555</c:v>
                </c:pt>
                <c:pt idx="188">
                  <c:v>10.17650839987555</c:v>
                </c:pt>
                <c:pt idx="189">
                  <c:v>10.17650839987555</c:v>
                </c:pt>
                <c:pt idx="190">
                  <c:v>0.84368517400000043</c:v>
                </c:pt>
                <c:pt idx="191">
                  <c:v>0.84368517400000043</c:v>
                </c:pt>
                <c:pt idx="192">
                  <c:v>0.84368517400000043</c:v>
                </c:pt>
                <c:pt idx="193">
                  <c:v>0.84368517400000043</c:v>
                </c:pt>
                <c:pt idx="194">
                  <c:v>0.84368517400000043</c:v>
                </c:pt>
                <c:pt idx="195">
                  <c:v>0.84368517400000043</c:v>
                </c:pt>
                <c:pt idx="196">
                  <c:v>0.84368517400000043</c:v>
                </c:pt>
                <c:pt idx="197">
                  <c:v>0.84368517400000043</c:v>
                </c:pt>
                <c:pt idx="198">
                  <c:v>0.84368517400000043</c:v>
                </c:pt>
                <c:pt idx="199">
                  <c:v>0.84368517400000043</c:v>
                </c:pt>
                <c:pt idx="200">
                  <c:v>0.84368517400000043</c:v>
                </c:pt>
                <c:pt idx="201">
                  <c:v>1.0336851739999997</c:v>
                </c:pt>
                <c:pt idx="202">
                  <c:v>1.0336851739999997</c:v>
                </c:pt>
                <c:pt idx="203">
                  <c:v>1.0336851739999997</c:v>
                </c:pt>
                <c:pt idx="204">
                  <c:v>1.0336851739999997</c:v>
                </c:pt>
                <c:pt idx="205">
                  <c:v>7.4614911910000012</c:v>
                </c:pt>
                <c:pt idx="206">
                  <c:v>7.4614911910000012</c:v>
                </c:pt>
                <c:pt idx="207">
                  <c:v>7.4614911910000012</c:v>
                </c:pt>
                <c:pt idx="208">
                  <c:v>7.4614911910000012</c:v>
                </c:pt>
                <c:pt idx="209">
                  <c:v>7.4614911910000012</c:v>
                </c:pt>
                <c:pt idx="210">
                  <c:v>7.4614911910000012</c:v>
                </c:pt>
                <c:pt idx="211">
                  <c:v>7.4614911910000012</c:v>
                </c:pt>
                <c:pt idx="212">
                  <c:v>7.4614911910000012</c:v>
                </c:pt>
                <c:pt idx="213">
                  <c:v>7.4614911910000012</c:v>
                </c:pt>
                <c:pt idx="214">
                  <c:v>7.4614911910000012</c:v>
                </c:pt>
                <c:pt idx="215">
                  <c:v>8.3614911909999989</c:v>
                </c:pt>
                <c:pt idx="216">
                  <c:v>8.3614911909999989</c:v>
                </c:pt>
                <c:pt idx="217">
                  <c:v>8.3614911909999989</c:v>
                </c:pt>
                <c:pt idx="218">
                  <c:v>8.3614911909999989</c:v>
                </c:pt>
                <c:pt idx="219">
                  <c:v>8.3614911909999989</c:v>
                </c:pt>
                <c:pt idx="220">
                  <c:v>8.3614911909999989</c:v>
                </c:pt>
                <c:pt idx="221">
                  <c:v>8.3614911909999989</c:v>
                </c:pt>
                <c:pt idx="222">
                  <c:v>8.3614911909999989</c:v>
                </c:pt>
                <c:pt idx="223">
                  <c:v>5.7475061350000001</c:v>
                </c:pt>
                <c:pt idx="224">
                  <c:v>5.7475061350000001</c:v>
                </c:pt>
                <c:pt idx="225">
                  <c:v>5.7475061350000001</c:v>
                </c:pt>
                <c:pt idx="226">
                  <c:v>5.7475061350000001</c:v>
                </c:pt>
                <c:pt idx="227">
                  <c:v>5.7475061350000001</c:v>
                </c:pt>
                <c:pt idx="228">
                  <c:v>5.7475061350000001</c:v>
                </c:pt>
                <c:pt idx="229">
                  <c:v>5.7475061350000001</c:v>
                </c:pt>
                <c:pt idx="230">
                  <c:v>5.7475061350000001</c:v>
                </c:pt>
                <c:pt idx="231">
                  <c:v>5.7475061350000001</c:v>
                </c:pt>
                <c:pt idx="232">
                  <c:v>5.7475061350000001</c:v>
                </c:pt>
                <c:pt idx="233">
                  <c:v>5.7475061350000001</c:v>
                </c:pt>
                <c:pt idx="234">
                  <c:v>5.7475061350000001</c:v>
                </c:pt>
                <c:pt idx="235">
                  <c:v>5.6508375609999986</c:v>
                </c:pt>
                <c:pt idx="236">
                  <c:v>5.6508375609999986</c:v>
                </c:pt>
                <c:pt idx="237">
                  <c:v>5.6508375609999986</c:v>
                </c:pt>
                <c:pt idx="238">
                  <c:v>5.6508375609999986</c:v>
                </c:pt>
                <c:pt idx="239">
                  <c:v>5.6508375609999986</c:v>
                </c:pt>
                <c:pt idx="240">
                  <c:v>5.6508375609999986</c:v>
                </c:pt>
                <c:pt idx="241">
                  <c:v>5.6508375609999986</c:v>
                </c:pt>
                <c:pt idx="242">
                  <c:v>5.6508375609999986</c:v>
                </c:pt>
                <c:pt idx="243">
                  <c:v>5.6508375609999986</c:v>
                </c:pt>
                <c:pt idx="244">
                  <c:v>5.6508375609999986</c:v>
                </c:pt>
                <c:pt idx="245">
                  <c:v>5.6508375609999986</c:v>
                </c:pt>
                <c:pt idx="246">
                  <c:v>5.6508375609999986</c:v>
                </c:pt>
                <c:pt idx="247">
                  <c:v>5.6508375609999986</c:v>
                </c:pt>
                <c:pt idx="248">
                  <c:v>5.6508375609999986</c:v>
                </c:pt>
                <c:pt idx="249">
                  <c:v>5.6508375609999986</c:v>
                </c:pt>
                <c:pt idx="250">
                  <c:v>12.256772075999999</c:v>
                </c:pt>
                <c:pt idx="251">
                  <c:v>12.256772075999999</c:v>
                </c:pt>
                <c:pt idx="252">
                  <c:v>12.256772075999999</c:v>
                </c:pt>
                <c:pt idx="253">
                  <c:v>12.256772075999999</c:v>
                </c:pt>
                <c:pt idx="254">
                  <c:v>12.256772075999999</c:v>
                </c:pt>
                <c:pt idx="255">
                  <c:v>12.256772075999999</c:v>
                </c:pt>
                <c:pt idx="256">
                  <c:v>12.256772075999999</c:v>
                </c:pt>
                <c:pt idx="257">
                  <c:v>12.256772075999999</c:v>
                </c:pt>
                <c:pt idx="258">
                  <c:v>12.256772075999999</c:v>
                </c:pt>
                <c:pt idx="259">
                  <c:v>12.256772075999999</c:v>
                </c:pt>
                <c:pt idx="260">
                  <c:v>12.256772075999999</c:v>
                </c:pt>
                <c:pt idx="261">
                  <c:v>12.154834440000002</c:v>
                </c:pt>
                <c:pt idx="262">
                  <c:v>12.154834440000002</c:v>
                </c:pt>
                <c:pt idx="263">
                  <c:v>12.154834440000002</c:v>
                </c:pt>
                <c:pt idx="264">
                  <c:v>12.154834440000002</c:v>
                </c:pt>
                <c:pt idx="265">
                  <c:v>12.154834440000002</c:v>
                </c:pt>
                <c:pt idx="266">
                  <c:v>12.154834440000002</c:v>
                </c:pt>
                <c:pt idx="267">
                  <c:v>12.154834440000002</c:v>
                </c:pt>
                <c:pt idx="268">
                  <c:v>12.154834440000002</c:v>
                </c:pt>
                <c:pt idx="269">
                  <c:v>0.94711678699999902</c:v>
                </c:pt>
                <c:pt idx="270">
                  <c:v>0.94711678699999902</c:v>
                </c:pt>
                <c:pt idx="271">
                  <c:v>0.94711678699999902</c:v>
                </c:pt>
                <c:pt idx="272">
                  <c:v>0.94711678699999902</c:v>
                </c:pt>
                <c:pt idx="273">
                  <c:v>0.94711678699999902</c:v>
                </c:pt>
                <c:pt idx="274">
                  <c:v>0.94711678699999902</c:v>
                </c:pt>
                <c:pt idx="275">
                  <c:v>0.94711678699999902</c:v>
                </c:pt>
                <c:pt idx="276">
                  <c:v>0.94711678699999902</c:v>
                </c:pt>
                <c:pt idx="277">
                  <c:v>0.94711678699999902</c:v>
                </c:pt>
                <c:pt idx="278">
                  <c:v>0.73843546899999901</c:v>
                </c:pt>
                <c:pt idx="279">
                  <c:v>0.73843546899999901</c:v>
                </c:pt>
                <c:pt idx="280">
                  <c:v>0.73843546899999901</c:v>
                </c:pt>
                <c:pt idx="281">
                  <c:v>0.73843546899999901</c:v>
                </c:pt>
                <c:pt idx="282">
                  <c:v>0.73843546899999901</c:v>
                </c:pt>
                <c:pt idx="283">
                  <c:v>0.73843546899999901</c:v>
                </c:pt>
                <c:pt idx="284">
                  <c:v>0.73843546899999901</c:v>
                </c:pt>
                <c:pt idx="285">
                  <c:v>0.73843546899999901</c:v>
                </c:pt>
                <c:pt idx="286">
                  <c:v>0.73843546899999901</c:v>
                </c:pt>
                <c:pt idx="287">
                  <c:v>0.73843546899999901</c:v>
                </c:pt>
                <c:pt idx="288">
                  <c:v>7.950058309000001</c:v>
                </c:pt>
                <c:pt idx="289">
                  <c:v>7.950058309000001</c:v>
                </c:pt>
                <c:pt idx="290">
                  <c:v>7.950058309000001</c:v>
                </c:pt>
                <c:pt idx="291">
                  <c:v>7.950058309000001</c:v>
                </c:pt>
                <c:pt idx="292">
                  <c:v>7.950058309000001</c:v>
                </c:pt>
                <c:pt idx="293">
                  <c:v>7.950058309000001</c:v>
                </c:pt>
                <c:pt idx="294">
                  <c:v>8.6500583090000003</c:v>
                </c:pt>
                <c:pt idx="295">
                  <c:v>8.6500583090000003</c:v>
                </c:pt>
                <c:pt idx="296">
                  <c:v>8.6500583090000003</c:v>
                </c:pt>
                <c:pt idx="297">
                  <c:v>8.6500583090000003</c:v>
                </c:pt>
                <c:pt idx="298">
                  <c:v>8.6500583090000003</c:v>
                </c:pt>
                <c:pt idx="299">
                  <c:v>8.6500583090000003</c:v>
                </c:pt>
                <c:pt idx="300">
                  <c:v>8.6500583090000003</c:v>
                </c:pt>
                <c:pt idx="301">
                  <c:v>5.5411632839999996</c:v>
                </c:pt>
                <c:pt idx="302">
                  <c:v>5.5411632839999996</c:v>
                </c:pt>
                <c:pt idx="303">
                  <c:v>5.5411632839999996</c:v>
                </c:pt>
                <c:pt idx="304">
                  <c:v>5.5411632839999996</c:v>
                </c:pt>
                <c:pt idx="305">
                  <c:v>5.5411632839999996</c:v>
                </c:pt>
                <c:pt idx="306">
                  <c:v>5.5411632839999996</c:v>
                </c:pt>
                <c:pt idx="307">
                  <c:v>5.5411632839999996</c:v>
                </c:pt>
                <c:pt idx="308">
                  <c:v>5.5411632839999996</c:v>
                </c:pt>
                <c:pt idx="309">
                  <c:v>5.5411632839999996</c:v>
                </c:pt>
                <c:pt idx="310">
                  <c:v>5.5411632839999996</c:v>
                </c:pt>
                <c:pt idx="311">
                  <c:v>5.6462122170000013</c:v>
                </c:pt>
                <c:pt idx="312">
                  <c:v>5.6462122170000013</c:v>
                </c:pt>
                <c:pt idx="313">
                  <c:v>5.6462122170000013</c:v>
                </c:pt>
                <c:pt idx="314">
                  <c:v>5.6462122170000013</c:v>
                </c:pt>
                <c:pt idx="315">
                  <c:v>5.6462122170000013</c:v>
                </c:pt>
                <c:pt idx="316">
                  <c:v>5.6462122170000013</c:v>
                </c:pt>
                <c:pt idx="317">
                  <c:v>5.6462122170000013</c:v>
                </c:pt>
                <c:pt idx="318">
                  <c:v>5.6462122170000013</c:v>
                </c:pt>
                <c:pt idx="319">
                  <c:v>5.6462122170000013</c:v>
                </c:pt>
                <c:pt idx="320">
                  <c:v>5.6462122170000013</c:v>
                </c:pt>
                <c:pt idx="321">
                  <c:v>12.569001397000001</c:v>
                </c:pt>
                <c:pt idx="322">
                  <c:v>12.569001397000001</c:v>
                </c:pt>
                <c:pt idx="323">
                  <c:v>12.569001397000001</c:v>
                </c:pt>
                <c:pt idx="324">
                  <c:v>12.569001397000001</c:v>
                </c:pt>
                <c:pt idx="325">
                  <c:v>12.569001397000001</c:v>
                </c:pt>
                <c:pt idx="326">
                  <c:v>12.569001397000001</c:v>
                </c:pt>
                <c:pt idx="327">
                  <c:v>12.569001397000001</c:v>
                </c:pt>
                <c:pt idx="328">
                  <c:v>12.569001397000001</c:v>
                </c:pt>
                <c:pt idx="329">
                  <c:v>12.569001397000001</c:v>
                </c:pt>
                <c:pt idx="330">
                  <c:v>12.569001397000001</c:v>
                </c:pt>
                <c:pt idx="331">
                  <c:v>13.679570120000001</c:v>
                </c:pt>
                <c:pt idx="332">
                  <c:v>13.679570120000001</c:v>
                </c:pt>
                <c:pt idx="333">
                  <c:v>13.679570120000001</c:v>
                </c:pt>
                <c:pt idx="334">
                  <c:v>13.679570120000001</c:v>
                </c:pt>
                <c:pt idx="335">
                  <c:v>13.679570120000001</c:v>
                </c:pt>
                <c:pt idx="336">
                  <c:v>13.679570120000001</c:v>
                </c:pt>
                <c:pt idx="337">
                  <c:v>13.679570120000001</c:v>
                </c:pt>
                <c:pt idx="338">
                  <c:v>13.679570120000001</c:v>
                </c:pt>
              </c:numCache>
            </c:numRef>
          </c:xVal>
          <c:yVal>
            <c:numRef>
              <c:f>SICA_preadjustement!$O$2:$O$343</c:f>
              <c:numCache>
                <c:formatCode>General</c:formatCode>
                <c:ptCount val="342"/>
                <c:pt idx="81">
                  <c:v>7.0302070302070377E-2</c:v>
                </c:pt>
                <c:pt idx="82">
                  <c:v>7.7016077016077086E-2</c:v>
                </c:pt>
                <c:pt idx="83">
                  <c:v>0.15660015660015672</c:v>
                </c:pt>
                <c:pt idx="84">
                  <c:v>8.8863088863088968E-2</c:v>
                </c:pt>
                <c:pt idx="85">
                  <c:v>0.15013815013815027</c:v>
                </c:pt>
                <c:pt idx="86">
                  <c:v>0.19714519714519724</c:v>
                </c:pt>
                <c:pt idx="87">
                  <c:v>3.9420039420039549E-2</c:v>
                </c:pt>
                <c:pt idx="88">
                  <c:v>7.8120078120078179E-2</c:v>
                </c:pt>
                <c:pt idx="89">
                  <c:v>0.22653322653322658</c:v>
                </c:pt>
                <c:pt idx="90">
                  <c:v>0.17335217335217348</c:v>
                </c:pt>
                <c:pt idx="91">
                  <c:v>7.6245076245076301E-2</c:v>
                </c:pt>
                <c:pt idx="92">
                  <c:v>0.11988011988011998</c:v>
                </c:pt>
                <c:pt idx="93">
                  <c:v>9.9945099945100105E-2</c:v>
                </c:pt>
                <c:pt idx="94">
                  <c:v>2.6313026313026355E-2</c:v>
                </c:pt>
                <c:pt idx="95">
                  <c:v>0.11459711459711462</c:v>
                </c:pt>
                <c:pt idx="96">
                  <c:v>0.14822114822114832</c:v>
                </c:pt>
                <c:pt idx="97">
                  <c:v>0.11827211827211837</c:v>
                </c:pt>
                <c:pt idx="98">
                  <c:v>8.0295080295080423E-2</c:v>
                </c:pt>
                <c:pt idx="99">
                  <c:v>0.13963513963513968</c:v>
                </c:pt>
                <c:pt idx="100">
                  <c:v>9.0018090018090094E-2</c:v>
                </c:pt>
                <c:pt idx="101">
                  <c:v>6.7830067830067869E-2</c:v>
                </c:pt>
                <c:pt idx="102">
                  <c:v>0.12582012582012597</c:v>
                </c:pt>
                <c:pt idx="103">
                  <c:v>8.5638085638085781E-2</c:v>
                </c:pt>
                <c:pt idx="104">
                  <c:v>0.12505512505512506</c:v>
                </c:pt>
                <c:pt idx="105">
                  <c:v>0.11157611157611159</c:v>
                </c:pt>
                <c:pt idx="106">
                  <c:v>5.7864057864057891E-2</c:v>
                </c:pt>
                <c:pt idx="107">
                  <c:v>5.2425052425052486E-2</c:v>
                </c:pt>
                <c:pt idx="108">
                  <c:v>8.8752088752088759E-2</c:v>
                </c:pt>
                <c:pt idx="109">
                  <c:v>8.5953085953085984E-2</c:v>
                </c:pt>
                <c:pt idx="110">
                  <c:v>0.17851217851217854</c:v>
                </c:pt>
                <c:pt idx="111">
                  <c:v>9.2046092046092085E-2</c:v>
                </c:pt>
                <c:pt idx="112">
                  <c:v>0.22262722262722262</c:v>
                </c:pt>
                <c:pt idx="113">
                  <c:v>0.28587628587628594</c:v>
                </c:pt>
                <c:pt idx="114">
                  <c:v>0.36977136977136976</c:v>
                </c:pt>
                <c:pt idx="115">
                  <c:v>0.35826035826035829</c:v>
                </c:pt>
                <c:pt idx="116">
                  <c:v>0.30790230790230794</c:v>
                </c:pt>
                <c:pt idx="117">
                  <c:v>8.5824085824085836E-2</c:v>
                </c:pt>
                <c:pt idx="118">
                  <c:v>0.12098412098412106</c:v>
                </c:pt>
                <c:pt idx="119">
                  <c:v>0.205854205854206</c:v>
                </c:pt>
                <c:pt idx="120">
                  <c:v>0.17593517593517605</c:v>
                </c:pt>
                <c:pt idx="121">
                  <c:v>0.23281223281223293</c:v>
                </c:pt>
                <c:pt idx="122">
                  <c:v>0.1909771909771911</c:v>
                </c:pt>
                <c:pt idx="123">
                  <c:v>0.26901326901326916</c:v>
                </c:pt>
                <c:pt idx="124">
                  <c:v>0.14352014352014361</c:v>
                </c:pt>
                <c:pt idx="125">
                  <c:v>0.277023277023277</c:v>
                </c:pt>
                <c:pt idx="126">
                  <c:v>0.23099423099423111</c:v>
                </c:pt>
                <c:pt idx="127">
                  <c:v>0.21545121545121546</c:v>
                </c:pt>
                <c:pt idx="128">
                  <c:v>0.23685023685023696</c:v>
                </c:pt>
                <c:pt idx="129">
                  <c:v>0.24973524973524974</c:v>
                </c:pt>
                <c:pt idx="130">
                  <c:v>0.18558618558618564</c:v>
                </c:pt>
                <c:pt idx="131">
                  <c:v>0.28875328875328882</c:v>
                </c:pt>
                <c:pt idx="132">
                  <c:v>0.25128925128925139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EC-444C-876A-0DD653543E57}"/>
            </c:ext>
          </c:extLst>
        </c:ser>
        <c:ser>
          <c:idx val="2"/>
          <c:order val="2"/>
          <c:tx>
            <c:strRef>
              <c:f>SICA_preadjustement!$P$1</c:f>
              <c:strCache>
                <c:ptCount val="1"/>
                <c:pt idx="0">
                  <c:v>EStemp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2926625734838207E-2"/>
                  <c:y val="-0.264370407343828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SICA_preadjustement!$L$2:$L$343</c:f>
              <c:numCache>
                <c:formatCode>General</c:formatCode>
                <c:ptCount val="342"/>
                <c:pt idx="0">
                  <c:v>-0.26209078702289057</c:v>
                </c:pt>
                <c:pt idx="1">
                  <c:v>-0.26209078702289057</c:v>
                </c:pt>
                <c:pt idx="2">
                  <c:v>-0.26209078702289057</c:v>
                </c:pt>
                <c:pt idx="3">
                  <c:v>-0.26209078702289057</c:v>
                </c:pt>
                <c:pt idx="4">
                  <c:v>-0.26209078702289057</c:v>
                </c:pt>
                <c:pt idx="5">
                  <c:v>-0.26209078702289057</c:v>
                </c:pt>
                <c:pt idx="6">
                  <c:v>-0.26209078702289057</c:v>
                </c:pt>
                <c:pt idx="7">
                  <c:v>-0.26209078702289057</c:v>
                </c:pt>
                <c:pt idx="8">
                  <c:v>-0.26209078702289057</c:v>
                </c:pt>
                <c:pt idx="9">
                  <c:v>-0.26209078702289057</c:v>
                </c:pt>
                <c:pt idx="10">
                  <c:v>-0.26209078702289057</c:v>
                </c:pt>
                <c:pt idx="11">
                  <c:v>-0.26209078702289057</c:v>
                </c:pt>
                <c:pt idx="12">
                  <c:v>-0.26209078702289057</c:v>
                </c:pt>
                <c:pt idx="13">
                  <c:v>-0.26209078702289057</c:v>
                </c:pt>
                <c:pt idx="14">
                  <c:v>-0.26209078702289057</c:v>
                </c:pt>
                <c:pt idx="15">
                  <c:v>-0.26209078702289057</c:v>
                </c:pt>
                <c:pt idx="16">
                  <c:v>-0.26209078702289057</c:v>
                </c:pt>
                <c:pt idx="17">
                  <c:v>-0.26209078702289057</c:v>
                </c:pt>
                <c:pt idx="18">
                  <c:v>-0.26209078702289057</c:v>
                </c:pt>
                <c:pt idx="19">
                  <c:v>-0.26209078702289057</c:v>
                </c:pt>
                <c:pt idx="20">
                  <c:v>2.5401089790055291</c:v>
                </c:pt>
                <c:pt idx="21">
                  <c:v>2.5401089790055291</c:v>
                </c:pt>
                <c:pt idx="22">
                  <c:v>2.5401089790055291</c:v>
                </c:pt>
                <c:pt idx="23">
                  <c:v>2.5401089790055291</c:v>
                </c:pt>
                <c:pt idx="24">
                  <c:v>2.5401089790055291</c:v>
                </c:pt>
                <c:pt idx="25">
                  <c:v>2.5401089790055291</c:v>
                </c:pt>
                <c:pt idx="26">
                  <c:v>2.5401089790055291</c:v>
                </c:pt>
                <c:pt idx="27">
                  <c:v>2.5401089790055291</c:v>
                </c:pt>
                <c:pt idx="28">
                  <c:v>2.5401089790055291</c:v>
                </c:pt>
                <c:pt idx="29">
                  <c:v>2.5401089790055291</c:v>
                </c:pt>
                <c:pt idx="30">
                  <c:v>2.5401089790055291</c:v>
                </c:pt>
                <c:pt idx="31">
                  <c:v>2.5401089790055291</c:v>
                </c:pt>
                <c:pt idx="32">
                  <c:v>2.5401089790055291</c:v>
                </c:pt>
                <c:pt idx="33">
                  <c:v>2.5401089790055291</c:v>
                </c:pt>
                <c:pt idx="34">
                  <c:v>7.5508093557431897</c:v>
                </c:pt>
                <c:pt idx="35">
                  <c:v>7.5508093557431897</c:v>
                </c:pt>
                <c:pt idx="36">
                  <c:v>7.5508093557431897</c:v>
                </c:pt>
                <c:pt idx="37">
                  <c:v>7.5508093557431897</c:v>
                </c:pt>
                <c:pt idx="38">
                  <c:v>7.5508093557431897</c:v>
                </c:pt>
                <c:pt idx="39">
                  <c:v>7.5508093557431897</c:v>
                </c:pt>
                <c:pt idx="40">
                  <c:v>7.5508093557431897</c:v>
                </c:pt>
                <c:pt idx="41">
                  <c:v>7.5508093557431897</c:v>
                </c:pt>
                <c:pt idx="42">
                  <c:v>7.5508093557431897</c:v>
                </c:pt>
                <c:pt idx="43">
                  <c:v>7.5508093557431897</c:v>
                </c:pt>
                <c:pt idx="44">
                  <c:v>7.5508093557431897</c:v>
                </c:pt>
                <c:pt idx="45">
                  <c:v>7.5508093557431897</c:v>
                </c:pt>
                <c:pt idx="46">
                  <c:v>11.545709190087079</c:v>
                </c:pt>
                <c:pt idx="47">
                  <c:v>11.545709190087079</c:v>
                </c:pt>
                <c:pt idx="48">
                  <c:v>11.545709190087079</c:v>
                </c:pt>
                <c:pt idx="49">
                  <c:v>11.545709190087079</c:v>
                </c:pt>
                <c:pt idx="50">
                  <c:v>11.545709190087079</c:v>
                </c:pt>
                <c:pt idx="51">
                  <c:v>11.545709190087079</c:v>
                </c:pt>
                <c:pt idx="52">
                  <c:v>11.545709190087079</c:v>
                </c:pt>
                <c:pt idx="53">
                  <c:v>11.545709190087079</c:v>
                </c:pt>
                <c:pt idx="54">
                  <c:v>11.545709190087079</c:v>
                </c:pt>
                <c:pt idx="55">
                  <c:v>11.545709190087079</c:v>
                </c:pt>
                <c:pt idx="56">
                  <c:v>11.545709190087079</c:v>
                </c:pt>
                <c:pt idx="57">
                  <c:v>11.545709190087079</c:v>
                </c:pt>
                <c:pt idx="58">
                  <c:v>11.545709190087079</c:v>
                </c:pt>
                <c:pt idx="59">
                  <c:v>11.545709190087079</c:v>
                </c:pt>
                <c:pt idx="60">
                  <c:v>20.52670868208779</c:v>
                </c:pt>
                <c:pt idx="61">
                  <c:v>20.52670868208779</c:v>
                </c:pt>
                <c:pt idx="62">
                  <c:v>20.52670868208779</c:v>
                </c:pt>
                <c:pt idx="63">
                  <c:v>20.52670868208779</c:v>
                </c:pt>
                <c:pt idx="64">
                  <c:v>20.52670868208779</c:v>
                </c:pt>
                <c:pt idx="65">
                  <c:v>20.52670868208779</c:v>
                </c:pt>
                <c:pt idx="66">
                  <c:v>20.52670868208779</c:v>
                </c:pt>
                <c:pt idx="67">
                  <c:v>20.52670868208779</c:v>
                </c:pt>
                <c:pt idx="68">
                  <c:v>20.52670868208779</c:v>
                </c:pt>
                <c:pt idx="69">
                  <c:v>20.52670868208779</c:v>
                </c:pt>
                <c:pt idx="70">
                  <c:v>20.52670868208779</c:v>
                </c:pt>
                <c:pt idx="71">
                  <c:v>20.52670868208779</c:v>
                </c:pt>
                <c:pt idx="72">
                  <c:v>20.52670868208779</c:v>
                </c:pt>
                <c:pt idx="73">
                  <c:v>20.52670868208779</c:v>
                </c:pt>
                <c:pt idx="74">
                  <c:v>20.52670868208779</c:v>
                </c:pt>
                <c:pt idx="75">
                  <c:v>20.52670868208779</c:v>
                </c:pt>
                <c:pt idx="76">
                  <c:v>20.52670868208779</c:v>
                </c:pt>
                <c:pt idx="77">
                  <c:v>20.52670868208779</c:v>
                </c:pt>
                <c:pt idx="78">
                  <c:v>20.52670868208779</c:v>
                </c:pt>
                <c:pt idx="79">
                  <c:v>20.52670868208779</c:v>
                </c:pt>
                <c:pt idx="80">
                  <c:v>20.52670868208779</c:v>
                </c:pt>
                <c:pt idx="81">
                  <c:v>-0.26729089138221029</c:v>
                </c:pt>
                <c:pt idx="82">
                  <c:v>-0.26729089138221029</c:v>
                </c:pt>
                <c:pt idx="83">
                  <c:v>-0.26729089138221029</c:v>
                </c:pt>
                <c:pt idx="84">
                  <c:v>-0.26729089138221029</c:v>
                </c:pt>
                <c:pt idx="85">
                  <c:v>-0.26729089138221029</c:v>
                </c:pt>
                <c:pt idx="86">
                  <c:v>-0.26729089138221029</c:v>
                </c:pt>
                <c:pt idx="87">
                  <c:v>-0.26729089138221029</c:v>
                </c:pt>
                <c:pt idx="88">
                  <c:v>-0.26729089138221029</c:v>
                </c:pt>
                <c:pt idx="89">
                  <c:v>-0.26729089138221029</c:v>
                </c:pt>
                <c:pt idx="90">
                  <c:v>-0.26729089138221029</c:v>
                </c:pt>
                <c:pt idx="91">
                  <c:v>-0.26729089138221029</c:v>
                </c:pt>
                <c:pt idx="92">
                  <c:v>-0.18248721508698099</c:v>
                </c:pt>
                <c:pt idx="93">
                  <c:v>-0.18248721508698099</c:v>
                </c:pt>
                <c:pt idx="94">
                  <c:v>-0.18248721508698099</c:v>
                </c:pt>
                <c:pt idx="95">
                  <c:v>-0.18248721508698099</c:v>
                </c:pt>
                <c:pt idx="96">
                  <c:v>-0.18248721508698099</c:v>
                </c:pt>
                <c:pt idx="97">
                  <c:v>-0.18248721508698099</c:v>
                </c:pt>
                <c:pt idx="98">
                  <c:v>-0.18248721508698099</c:v>
                </c:pt>
                <c:pt idx="99">
                  <c:v>-0.18248721508698099</c:v>
                </c:pt>
                <c:pt idx="100">
                  <c:v>-5.297965907691074E-2</c:v>
                </c:pt>
                <c:pt idx="101">
                  <c:v>-5.297965907691074E-2</c:v>
                </c:pt>
                <c:pt idx="102">
                  <c:v>-5.297965907691074E-2</c:v>
                </c:pt>
                <c:pt idx="103">
                  <c:v>-5.297965907691074E-2</c:v>
                </c:pt>
                <c:pt idx="104">
                  <c:v>-5.297965907691074E-2</c:v>
                </c:pt>
                <c:pt idx="105">
                  <c:v>-5.297965907691074E-2</c:v>
                </c:pt>
                <c:pt idx="106">
                  <c:v>-5.297965907691074E-2</c:v>
                </c:pt>
                <c:pt idx="107">
                  <c:v>-5.297965907691074E-2</c:v>
                </c:pt>
                <c:pt idx="108">
                  <c:v>-5.297965907691074E-2</c:v>
                </c:pt>
                <c:pt idx="109">
                  <c:v>8.9252168417994771E-3</c:v>
                </c:pt>
                <c:pt idx="110">
                  <c:v>8.9252168417994771E-3</c:v>
                </c:pt>
                <c:pt idx="111">
                  <c:v>8.9252168417994771E-3</c:v>
                </c:pt>
                <c:pt idx="112">
                  <c:v>8.9252168417994771E-3</c:v>
                </c:pt>
                <c:pt idx="113">
                  <c:v>8.9252168417994771E-3</c:v>
                </c:pt>
                <c:pt idx="114">
                  <c:v>8.9252168417994771E-3</c:v>
                </c:pt>
                <c:pt idx="115">
                  <c:v>8.9252168417994771E-3</c:v>
                </c:pt>
                <c:pt idx="116">
                  <c:v>8.9252168417994771E-3</c:v>
                </c:pt>
                <c:pt idx="117">
                  <c:v>8.9252168417994771E-3</c:v>
                </c:pt>
                <c:pt idx="118">
                  <c:v>8.9252168417994771E-3</c:v>
                </c:pt>
                <c:pt idx="119">
                  <c:v>5.4830259856209373E-2</c:v>
                </c:pt>
                <c:pt idx="120">
                  <c:v>5.4830259856209373E-2</c:v>
                </c:pt>
                <c:pt idx="121">
                  <c:v>5.4830259856209373E-2</c:v>
                </c:pt>
                <c:pt idx="122">
                  <c:v>5.4830259856209373E-2</c:v>
                </c:pt>
                <c:pt idx="123">
                  <c:v>5.4830259856209373E-2</c:v>
                </c:pt>
                <c:pt idx="124">
                  <c:v>5.4830259856209373E-2</c:v>
                </c:pt>
                <c:pt idx="125">
                  <c:v>5.4830259856209373E-2</c:v>
                </c:pt>
                <c:pt idx="126">
                  <c:v>5.4830259856209373E-2</c:v>
                </c:pt>
                <c:pt idx="127">
                  <c:v>5.4830259856209373E-2</c:v>
                </c:pt>
                <c:pt idx="128">
                  <c:v>5.4830259856209373E-2</c:v>
                </c:pt>
                <c:pt idx="129">
                  <c:v>5.4830259856209373E-2</c:v>
                </c:pt>
                <c:pt idx="130">
                  <c:v>5.4830259856209373E-2</c:v>
                </c:pt>
                <c:pt idx="131">
                  <c:v>5.4830259856209373E-2</c:v>
                </c:pt>
                <c:pt idx="132">
                  <c:v>5.4830259856209373E-2</c:v>
                </c:pt>
                <c:pt idx="133">
                  <c:v>-7.7161933256098596</c:v>
                </c:pt>
                <c:pt idx="134">
                  <c:v>-7.7161933256098596</c:v>
                </c:pt>
                <c:pt idx="135">
                  <c:v>-7.7161933256098596</c:v>
                </c:pt>
                <c:pt idx="136">
                  <c:v>-7.7161933256098596</c:v>
                </c:pt>
                <c:pt idx="137">
                  <c:v>-7.7161933256098596</c:v>
                </c:pt>
                <c:pt idx="138">
                  <c:v>-7.7161933256098596</c:v>
                </c:pt>
                <c:pt idx="139">
                  <c:v>-7.7161933256098596</c:v>
                </c:pt>
                <c:pt idx="140">
                  <c:v>-7.7161933256098596</c:v>
                </c:pt>
                <c:pt idx="141">
                  <c:v>-7.7161933256098596</c:v>
                </c:pt>
                <c:pt idx="142">
                  <c:v>-7.7161933256098596</c:v>
                </c:pt>
                <c:pt idx="143">
                  <c:v>-7.7161933256098596</c:v>
                </c:pt>
                <c:pt idx="144">
                  <c:v>-7.7161933256098596</c:v>
                </c:pt>
                <c:pt idx="145">
                  <c:v>-4.1055920811269289</c:v>
                </c:pt>
                <c:pt idx="146">
                  <c:v>-4.1055920811269289</c:v>
                </c:pt>
                <c:pt idx="147">
                  <c:v>-4.1055920811269289</c:v>
                </c:pt>
                <c:pt idx="148">
                  <c:v>-4.1055920811269289</c:v>
                </c:pt>
                <c:pt idx="149">
                  <c:v>-4.1055920811269289</c:v>
                </c:pt>
                <c:pt idx="150">
                  <c:v>-4.1055920811269289</c:v>
                </c:pt>
                <c:pt idx="151">
                  <c:v>-4.1055920811269289</c:v>
                </c:pt>
                <c:pt idx="152">
                  <c:v>-4.1055920811269289</c:v>
                </c:pt>
                <c:pt idx="153">
                  <c:v>-4.1055920811269289</c:v>
                </c:pt>
                <c:pt idx="154">
                  <c:v>-4.1055920811269289</c:v>
                </c:pt>
                <c:pt idx="155">
                  <c:v>-4.1055920811269289</c:v>
                </c:pt>
                <c:pt idx="156">
                  <c:v>-4.1055920811269289</c:v>
                </c:pt>
                <c:pt idx="157">
                  <c:v>-0.2830919045532998</c:v>
                </c:pt>
                <c:pt idx="158">
                  <c:v>-0.2830919045532998</c:v>
                </c:pt>
                <c:pt idx="159">
                  <c:v>-0.2830919045532998</c:v>
                </c:pt>
                <c:pt idx="160">
                  <c:v>-0.2830919045532998</c:v>
                </c:pt>
                <c:pt idx="161">
                  <c:v>-0.2830919045532998</c:v>
                </c:pt>
                <c:pt idx="162">
                  <c:v>-0.2830919045532998</c:v>
                </c:pt>
                <c:pt idx="163">
                  <c:v>-0.2830919045532998</c:v>
                </c:pt>
                <c:pt idx="164">
                  <c:v>-0.2830919045532998</c:v>
                </c:pt>
                <c:pt idx="165">
                  <c:v>-0.2830919045532998</c:v>
                </c:pt>
                <c:pt idx="166">
                  <c:v>-0.2830919045532998</c:v>
                </c:pt>
                <c:pt idx="167">
                  <c:v>-0.2830919045532998</c:v>
                </c:pt>
                <c:pt idx="168">
                  <c:v>-0.2830919045532998</c:v>
                </c:pt>
                <c:pt idx="169">
                  <c:v>-0.2830919045532998</c:v>
                </c:pt>
                <c:pt idx="170">
                  <c:v>-0.2830919045532998</c:v>
                </c:pt>
                <c:pt idx="171">
                  <c:v>-0.2830919045532998</c:v>
                </c:pt>
                <c:pt idx="172">
                  <c:v>-0.2830919045532998</c:v>
                </c:pt>
                <c:pt idx="173">
                  <c:v>5.115909336324151</c:v>
                </c:pt>
                <c:pt idx="174">
                  <c:v>5.115909336324151</c:v>
                </c:pt>
                <c:pt idx="175">
                  <c:v>5.115909336324151</c:v>
                </c:pt>
                <c:pt idx="176">
                  <c:v>5.115909336324151</c:v>
                </c:pt>
                <c:pt idx="177">
                  <c:v>5.115909336324151</c:v>
                </c:pt>
                <c:pt idx="178">
                  <c:v>5.115909336324151</c:v>
                </c:pt>
                <c:pt idx="179">
                  <c:v>5.115909336324151</c:v>
                </c:pt>
                <c:pt idx="180">
                  <c:v>5.115909336324151</c:v>
                </c:pt>
                <c:pt idx="181">
                  <c:v>5.115909336324151</c:v>
                </c:pt>
                <c:pt idx="182">
                  <c:v>5.115909336324151</c:v>
                </c:pt>
                <c:pt idx="183">
                  <c:v>10.17650839987555</c:v>
                </c:pt>
                <c:pt idx="184">
                  <c:v>10.17650839987555</c:v>
                </c:pt>
                <c:pt idx="185">
                  <c:v>10.17650839987555</c:v>
                </c:pt>
                <c:pt idx="186">
                  <c:v>10.17650839987555</c:v>
                </c:pt>
                <c:pt idx="187">
                  <c:v>10.17650839987555</c:v>
                </c:pt>
                <c:pt idx="188">
                  <c:v>10.17650839987555</c:v>
                </c:pt>
                <c:pt idx="189">
                  <c:v>10.17650839987555</c:v>
                </c:pt>
                <c:pt idx="190">
                  <c:v>0.84368517400000043</c:v>
                </c:pt>
                <c:pt idx="191">
                  <c:v>0.84368517400000043</c:v>
                </c:pt>
                <c:pt idx="192">
                  <c:v>0.84368517400000043</c:v>
                </c:pt>
                <c:pt idx="193">
                  <c:v>0.84368517400000043</c:v>
                </c:pt>
                <c:pt idx="194">
                  <c:v>0.84368517400000043</c:v>
                </c:pt>
                <c:pt idx="195">
                  <c:v>0.84368517400000043</c:v>
                </c:pt>
                <c:pt idx="196">
                  <c:v>0.84368517400000043</c:v>
                </c:pt>
                <c:pt idx="197">
                  <c:v>0.84368517400000043</c:v>
                </c:pt>
                <c:pt idx="198">
                  <c:v>0.84368517400000043</c:v>
                </c:pt>
                <c:pt idx="199">
                  <c:v>0.84368517400000043</c:v>
                </c:pt>
                <c:pt idx="200">
                  <c:v>0.84368517400000043</c:v>
                </c:pt>
                <c:pt idx="201">
                  <c:v>1.0336851739999997</c:v>
                </c:pt>
                <c:pt idx="202">
                  <c:v>1.0336851739999997</c:v>
                </c:pt>
                <c:pt idx="203">
                  <c:v>1.0336851739999997</c:v>
                </c:pt>
                <c:pt idx="204">
                  <c:v>1.0336851739999997</c:v>
                </c:pt>
                <c:pt idx="205">
                  <c:v>7.4614911910000012</c:v>
                </c:pt>
                <c:pt idx="206">
                  <c:v>7.4614911910000012</c:v>
                </c:pt>
                <c:pt idx="207">
                  <c:v>7.4614911910000012</c:v>
                </c:pt>
                <c:pt idx="208">
                  <c:v>7.4614911910000012</c:v>
                </c:pt>
                <c:pt idx="209">
                  <c:v>7.4614911910000012</c:v>
                </c:pt>
                <c:pt idx="210">
                  <c:v>7.4614911910000012</c:v>
                </c:pt>
                <c:pt idx="211">
                  <c:v>7.4614911910000012</c:v>
                </c:pt>
                <c:pt idx="212">
                  <c:v>7.4614911910000012</c:v>
                </c:pt>
                <c:pt idx="213">
                  <c:v>7.4614911910000012</c:v>
                </c:pt>
                <c:pt idx="214">
                  <c:v>7.4614911910000012</c:v>
                </c:pt>
                <c:pt idx="215">
                  <c:v>8.3614911909999989</c:v>
                </c:pt>
                <c:pt idx="216">
                  <c:v>8.3614911909999989</c:v>
                </c:pt>
                <c:pt idx="217">
                  <c:v>8.3614911909999989</c:v>
                </c:pt>
                <c:pt idx="218">
                  <c:v>8.3614911909999989</c:v>
                </c:pt>
                <c:pt idx="219">
                  <c:v>8.3614911909999989</c:v>
                </c:pt>
                <c:pt idx="220">
                  <c:v>8.3614911909999989</c:v>
                </c:pt>
                <c:pt idx="221">
                  <c:v>8.3614911909999989</c:v>
                </c:pt>
                <c:pt idx="222">
                  <c:v>8.3614911909999989</c:v>
                </c:pt>
                <c:pt idx="223">
                  <c:v>5.7475061350000001</c:v>
                </c:pt>
                <c:pt idx="224">
                  <c:v>5.7475061350000001</c:v>
                </c:pt>
                <c:pt idx="225">
                  <c:v>5.7475061350000001</c:v>
                </c:pt>
                <c:pt idx="226">
                  <c:v>5.7475061350000001</c:v>
                </c:pt>
                <c:pt idx="227">
                  <c:v>5.7475061350000001</c:v>
                </c:pt>
                <c:pt idx="228">
                  <c:v>5.7475061350000001</c:v>
                </c:pt>
                <c:pt idx="229">
                  <c:v>5.7475061350000001</c:v>
                </c:pt>
                <c:pt idx="230">
                  <c:v>5.7475061350000001</c:v>
                </c:pt>
                <c:pt idx="231">
                  <c:v>5.7475061350000001</c:v>
                </c:pt>
                <c:pt idx="232">
                  <c:v>5.7475061350000001</c:v>
                </c:pt>
                <c:pt idx="233">
                  <c:v>5.7475061350000001</c:v>
                </c:pt>
                <c:pt idx="234">
                  <c:v>5.7475061350000001</c:v>
                </c:pt>
                <c:pt idx="235">
                  <c:v>5.6508375609999986</c:v>
                </c:pt>
                <c:pt idx="236">
                  <c:v>5.6508375609999986</c:v>
                </c:pt>
                <c:pt idx="237">
                  <c:v>5.6508375609999986</c:v>
                </c:pt>
                <c:pt idx="238">
                  <c:v>5.6508375609999986</c:v>
                </c:pt>
                <c:pt idx="239">
                  <c:v>5.6508375609999986</c:v>
                </c:pt>
                <c:pt idx="240">
                  <c:v>5.6508375609999986</c:v>
                </c:pt>
                <c:pt idx="241">
                  <c:v>5.6508375609999986</c:v>
                </c:pt>
                <c:pt idx="242">
                  <c:v>5.6508375609999986</c:v>
                </c:pt>
                <c:pt idx="243">
                  <c:v>5.6508375609999986</c:v>
                </c:pt>
                <c:pt idx="244">
                  <c:v>5.6508375609999986</c:v>
                </c:pt>
                <c:pt idx="245">
                  <c:v>5.6508375609999986</c:v>
                </c:pt>
                <c:pt idx="246">
                  <c:v>5.6508375609999986</c:v>
                </c:pt>
                <c:pt idx="247">
                  <c:v>5.6508375609999986</c:v>
                </c:pt>
                <c:pt idx="248">
                  <c:v>5.6508375609999986</c:v>
                </c:pt>
                <c:pt idx="249">
                  <c:v>5.6508375609999986</c:v>
                </c:pt>
                <c:pt idx="250">
                  <c:v>12.256772075999999</c:v>
                </c:pt>
                <c:pt idx="251">
                  <c:v>12.256772075999999</c:v>
                </c:pt>
                <c:pt idx="252">
                  <c:v>12.256772075999999</c:v>
                </c:pt>
                <c:pt idx="253">
                  <c:v>12.256772075999999</c:v>
                </c:pt>
                <c:pt idx="254">
                  <c:v>12.256772075999999</c:v>
                </c:pt>
                <c:pt idx="255">
                  <c:v>12.256772075999999</c:v>
                </c:pt>
                <c:pt idx="256">
                  <c:v>12.256772075999999</c:v>
                </c:pt>
                <c:pt idx="257">
                  <c:v>12.256772075999999</c:v>
                </c:pt>
                <c:pt idx="258">
                  <c:v>12.256772075999999</c:v>
                </c:pt>
                <c:pt idx="259">
                  <c:v>12.256772075999999</c:v>
                </c:pt>
                <c:pt idx="260">
                  <c:v>12.256772075999999</c:v>
                </c:pt>
                <c:pt idx="261">
                  <c:v>12.154834440000002</c:v>
                </c:pt>
                <c:pt idx="262">
                  <c:v>12.154834440000002</c:v>
                </c:pt>
                <c:pt idx="263">
                  <c:v>12.154834440000002</c:v>
                </c:pt>
                <c:pt idx="264">
                  <c:v>12.154834440000002</c:v>
                </c:pt>
                <c:pt idx="265">
                  <c:v>12.154834440000002</c:v>
                </c:pt>
                <c:pt idx="266">
                  <c:v>12.154834440000002</c:v>
                </c:pt>
                <c:pt idx="267">
                  <c:v>12.154834440000002</c:v>
                </c:pt>
                <c:pt idx="268">
                  <c:v>12.154834440000002</c:v>
                </c:pt>
                <c:pt idx="269">
                  <c:v>0.94711678699999902</c:v>
                </c:pt>
                <c:pt idx="270">
                  <c:v>0.94711678699999902</c:v>
                </c:pt>
                <c:pt idx="271">
                  <c:v>0.94711678699999902</c:v>
                </c:pt>
                <c:pt idx="272">
                  <c:v>0.94711678699999902</c:v>
                </c:pt>
                <c:pt idx="273">
                  <c:v>0.94711678699999902</c:v>
                </c:pt>
                <c:pt idx="274">
                  <c:v>0.94711678699999902</c:v>
                </c:pt>
                <c:pt idx="275">
                  <c:v>0.94711678699999902</c:v>
                </c:pt>
                <c:pt idx="276">
                  <c:v>0.94711678699999902</c:v>
                </c:pt>
                <c:pt idx="277">
                  <c:v>0.94711678699999902</c:v>
                </c:pt>
                <c:pt idx="278">
                  <c:v>0.73843546899999901</c:v>
                </c:pt>
                <c:pt idx="279">
                  <c:v>0.73843546899999901</c:v>
                </c:pt>
                <c:pt idx="280">
                  <c:v>0.73843546899999901</c:v>
                </c:pt>
                <c:pt idx="281">
                  <c:v>0.73843546899999901</c:v>
                </c:pt>
                <c:pt idx="282">
                  <c:v>0.73843546899999901</c:v>
                </c:pt>
                <c:pt idx="283">
                  <c:v>0.73843546899999901</c:v>
                </c:pt>
                <c:pt idx="284">
                  <c:v>0.73843546899999901</c:v>
                </c:pt>
                <c:pt idx="285">
                  <c:v>0.73843546899999901</c:v>
                </c:pt>
                <c:pt idx="286">
                  <c:v>0.73843546899999901</c:v>
                </c:pt>
                <c:pt idx="287">
                  <c:v>0.73843546899999901</c:v>
                </c:pt>
                <c:pt idx="288">
                  <c:v>7.950058309000001</c:v>
                </c:pt>
                <c:pt idx="289">
                  <c:v>7.950058309000001</c:v>
                </c:pt>
                <c:pt idx="290">
                  <c:v>7.950058309000001</c:v>
                </c:pt>
                <c:pt idx="291">
                  <c:v>7.950058309000001</c:v>
                </c:pt>
                <c:pt idx="292">
                  <c:v>7.950058309000001</c:v>
                </c:pt>
                <c:pt idx="293">
                  <c:v>7.950058309000001</c:v>
                </c:pt>
                <c:pt idx="294">
                  <c:v>8.6500583090000003</c:v>
                </c:pt>
                <c:pt idx="295">
                  <c:v>8.6500583090000003</c:v>
                </c:pt>
                <c:pt idx="296">
                  <c:v>8.6500583090000003</c:v>
                </c:pt>
                <c:pt idx="297">
                  <c:v>8.6500583090000003</c:v>
                </c:pt>
                <c:pt idx="298">
                  <c:v>8.6500583090000003</c:v>
                </c:pt>
                <c:pt idx="299">
                  <c:v>8.6500583090000003</c:v>
                </c:pt>
                <c:pt idx="300">
                  <c:v>8.6500583090000003</c:v>
                </c:pt>
                <c:pt idx="301">
                  <c:v>5.5411632839999996</c:v>
                </c:pt>
                <c:pt idx="302">
                  <c:v>5.5411632839999996</c:v>
                </c:pt>
                <c:pt idx="303">
                  <c:v>5.5411632839999996</c:v>
                </c:pt>
                <c:pt idx="304">
                  <c:v>5.5411632839999996</c:v>
                </c:pt>
                <c:pt idx="305">
                  <c:v>5.5411632839999996</c:v>
                </c:pt>
                <c:pt idx="306">
                  <c:v>5.5411632839999996</c:v>
                </c:pt>
                <c:pt idx="307">
                  <c:v>5.5411632839999996</c:v>
                </c:pt>
                <c:pt idx="308">
                  <c:v>5.5411632839999996</c:v>
                </c:pt>
                <c:pt idx="309">
                  <c:v>5.5411632839999996</c:v>
                </c:pt>
                <c:pt idx="310">
                  <c:v>5.5411632839999996</c:v>
                </c:pt>
                <c:pt idx="311">
                  <c:v>5.6462122170000013</c:v>
                </c:pt>
                <c:pt idx="312">
                  <c:v>5.6462122170000013</c:v>
                </c:pt>
                <c:pt idx="313">
                  <c:v>5.6462122170000013</c:v>
                </c:pt>
                <c:pt idx="314">
                  <c:v>5.6462122170000013</c:v>
                </c:pt>
                <c:pt idx="315">
                  <c:v>5.6462122170000013</c:v>
                </c:pt>
                <c:pt idx="316">
                  <c:v>5.6462122170000013</c:v>
                </c:pt>
                <c:pt idx="317">
                  <c:v>5.6462122170000013</c:v>
                </c:pt>
                <c:pt idx="318">
                  <c:v>5.6462122170000013</c:v>
                </c:pt>
                <c:pt idx="319">
                  <c:v>5.6462122170000013</c:v>
                </c:pt>
                <c:pt idx="320">
                  <c:v>5.6462122170000013</c:v>
                </c:pt>
                <c:pt idx="321">
                  <c:v>12.569001397000001</c:v>
                </c:pt>
                <c:pt idx="322">
                  <c:v>12.569001397000001</c:v>
                </c:pt>
                <c:pt idx="323">
                  <c:v>12.569001397000001</c:v>
                </c:pt>
                <c:pt idx="324">
                  <c:v>12.569001397000001</c:v>
                </c:pt>
                <c:pt idx="325">
                  <c:v>12.569001397000001</c:v>
                </c:pt>
                <c:pt idx="326">
                  <c:v>12.569001397000001</c:v>
                </c:pt>
                <c:pt idx="327">
                  <c:v>12.569001397000001</c:v>
                </c:pt>
                <c:pt idx="328">
                  <c:v>12.569001397000001</c:v>
                </c:pt>
                <c:pt idx="329">
                  <c:v>12.569001397000001</c:v>
                </c:pt>
                <c:pt idx="330">
                  <c:v>12.569001397000001</c:v>
                </c:pt>
                <c:pt idx="331">
                  <c:v>13.679570120000001</c:v>
                </c:pt>
                <c:pt idx="332">
                  <c:v>13.679570120000001</c:v>
                </c:pt>
                <c:pt idx="333">
                  <c:v>13.679570120000001</c:v>
                </c:pt>
                <c:pt idx="334">
                  <c:v>13.679570120000001</c:v>
                </c:pt>
                <c:pt idx="335">
                  <c:v>13.679570120000001</c:v>
                </c:pt>
                <c:pt idx="336">
                  <c:v>13.679570120000001</c:v>
                </c:pt>
                <c:pt idx="337">
                  <c:v>13.679570120000001</c:v>
                </c:pt>
                <c:pt idx="338">
                  <c:v>13.679570120000001</c:v>
                </c:pt>
              </c:numCache>
            </c:numRef>
          </c:xVal>
          <c:yVal>
            <c:numRef>
              <c:f>SICA_preadjustement!$P$2:$P$343</c:f>
              <c:numCache>
                <c:formatCode>General</c:formatCode>
                <c:ptCount val="342"/>
                <c:pt idx="133">
                  <c:v>0.48698748698748695</c:v>
                </c:pt>
                <c:pt idx="134">
                  <c:v>0.42843642843642843</c:v>
                </c:pt>
                <c:pt idx="135">
                  <c:v>0.4558984558984559</c:v>
                </c:pt>
                <c:pt idx="136">
                  <c:v>0.41305241305241308</c:v>
                </c:pt>
                <c:pt idx="137">
                  <c:v>0.42921342921342925</c:v>
                </c:pt>
                <c:pt idx="138">
                  <c:v>0.46170346170346171</c:v>
                </c:pt>
                <c:pt idx="139">
                  <c:v>0.40313740313740315</c:v>
                </c:pt>
                <c:pt idx="140">
                  <c:v>0.40715440715440715</c:v>
                </c:pt>
                <c:pt idx="141">
                  <c:v>0.44755544755544752</c:v>
                </c:pt>
                <c:pt idx="142">
                  <c:v>0.47937647937647943</c:v>
                </c:pt>
                <c:pt idx="143">
                  <c:v>0.4563994563994565</c:v>
                </c:pt>
                <c:pt idx="144">
                  <c:v>0.45899145899145899</c:v>
                </c:pt>
                <c:pt idx="145">
                  <c:v>0.10250410250410251</c:v>
                </c:pt>
                <c:pt idx="146">
                  <c:v>6.3549063549063686E-2</c:v>
                </c:pt>
                <c:pt idx="147">
                  <c:v>4.2606042606042768E-2</c:v>
                </c:pt>
                <c:pt idx="148">
                  <c:v>0.12865212865212869</c:v>
                </c:pt>
                <c:pt idx="149">
                  <c:v>9.0783090783090853E-2</c:v>
                </c:pt>
                <c:pt idx="150">
                  <c:v>6.9741069741069778E-2</c:v>
                </c:pt>
                <c:pt idx="151">
                  <c:v>3.6132036132036249E-2</c:v>
                </c:pt>
                <c:pt idx="152">
                  <c:v>0.18434718434718436</c:v>
                </c:pt>
                <c:pt idx="153">
                  <c:v>3.4062034062034188E-2</c:v>
                </c:pt>
                <c:pt idx="154">
                  <c:v>0.10909510909510911</c:v>
                </c:pt>
                <c:pt idx="155">
                  <c:v>0.12196512196512205</c:v>
                </c:pt>
                <c:pt idx="156">
                  <c:v>9.5691095691095823E-2</c:v>
                </c:pt>
                <c:pt idx="157">
                  <c:v>0.1656691656691657</c:v>
                </c:pt>
                <c:pt idx="158">
                  <c:v>0.11066111066111066</c:v>
                </c:pt>
                <c:pt idx="159">
                  <c:v>8.7324087324087335E-2</c:v>
                </c:pt>
                <c:pt idx="160">
                  <c:v>0.13644313644313658</c:v>
                </c:pt>
                <c:pt idx="161">
                  <c:v>3.3822033822033824E-2</c:v>
                </c:pt>
                <c:pt idx="162">
                  <c:v>0.14568314568314578</c:v>
                </c:pt>
                <c:pt idx="163">
                  <c:v>8.9760089760089798E-2</c:v>
                </c:pt>
                <c:pt idx="164">
                  <c:v>0.13192213192213206</c:v>
                </c:pt>
                <c:pt idx="165">
                  <c:v>0.1171411171411172</c:v>
                </c:pt>
                <c:pt idx="166">
                  <c:v>9.7017097017097001E-2</c:v>
                </c:pt>
                <c:pt idx="167">
                  <c:v>0.1142911142911144</c:v>
                </c:pt>
                <c:pt idx="168">
                  <c:v>0.11204411204411208</c:v>
                </c:pt>
                <c:pt idx="169">
                  <c:v>0.12794112794112808</c:v>
                </c:pt>
                <c:pt idx="170">
                  <c:v>3.9654039654039706E-2</c:v>
                </c:pt>
                <c:pt idx="171">
                  <c:v>9.6456096456096582E-2</c:v>
                </c:pt>
                <c:pt idx="172">
                  <c:v>8.4594084594084698E-2</c:v>
                </c:pt>
                <c:pt idx="173">
                  <c:v>0.23499323499323502</c:v>
                </c:pt>
                <c:pt idx="174">
                  <c:v>0.10325710325710337</c:v>
                </c:pt>
                <c:pt idx="175">
                  <c:v>0.21282921282921294</c:v>
                </c:pt>
                <c:pt idx="176">
                  <c:v>0.12303012303012316</c:v>
                </c:pt>
                <c:pt idx="177">
                  <c:v>0.17189717189717199</c:v>
                </c:pt>
                <c:pt idx="178">
                  <c:v>0.1584421584421585</c:v>
                </c:pt>
                <c:pt idx="179">
                  <c:v>7.83060783060784E-2</c:v>
                </c:pt>
                <c:pt idx="180">
                  <c:v>0.11038811038811053</c:v>
                </c:pt>
                <c:pt idx="181">
                  <c:v>9.659109659109659E-2</c:v>
                </c:pt>
                <c:pt idx="182">
                  <c:v>0.17363417363417374</c:v>
                </c:pt>
                <c:pt idx="183">
                  <c:v>0.32979932979932991</c:v>
                </c:pt>
                <c:pt idx="184">
                  <c:v>0.31899931899931905</c:v>
                </c:pt>
                <c:pt idx="185">
                  <c:v>0.3282993282993284</c:v>
                </c:pt>
                <c:pt idx="186">
                  <c:v>0.21579921579921593</c:v>
                </c:pt>
                <c:pt idx="187">
                  <c:v>0.12459912459912463</c:v>
                </c:pt>
                <c:pt idx="188">
                  <c:v>0.29289929289929301</c:v>
                </c:pt>
                <c:pt idx="189">
                  <c:v>0.11949911949911957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EC-444C-876A-0DD653543E57}"/>
            </c:ext>
          </c:extLst>
        </c:ser>
        <c:ser>
          <c:idx val="3"/>
          <c:order val="3"/>
          <c:tx>
            <c:strRef>
              <c:f>SICA_preadjustement!$Q$1</c:f>
              <c:strCache>
                <c:ptCount val="1"/>
                <c:pt idx="0">
                  <c:v>ESMS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SICA_preadjustement!$L$2:$L$343</c:f>
              <c:numCache>
                <c:formatCode>General</c:formatCode>
                <c:ptCount val="342"/>
                <c:pt idx="0">
                  <c:v>-0.26209078702289057</c:v>
                </c:pt>
                <c:pt idx="1">
                  <c:v>-0.26209078702289057</c:v>
                </c:pt>
                <c:pt idx="2">
                  <c:v>-0.26209078702289057</c:v>
                </c:pt>
                <c:pt idx="3">
                  <c:v>-0.26209078702289057</c:v>
                </c:pt>
                <c:pt idx="4">
                  <c:v>-0.26209078702289057</c:v>
                </c:pt>
                <c:pt idx="5">
                  <c:v>-0.26209078702289057</c:v>
                </c:pt>
                <c:pt idx="6">
                  <c:v>-0.26209078702289057</c:v>
                </c:pt>
                <c:pt idx="7">
                  <c:v>-0.26209078702289057</c:v>
                </c:pt>
                <c:pt idx="8">
                  <c:v>-0.26209078702289057</c:v>
                </c:pt>
                <c:pt idx="9">
                  <c:v>-0.26209078702289057</c:v>
                </c:pt>
                <c:pt idx="10">
                  <c:v>-0.26209078702289057</c:v>
                </c:pt>
                <c:pt idx="11">
                  <c:v>-0.26209078702289057</c:v>
                </c:pt>
                <c:pt idx="12">
                  <c:v>-0.26209078702289057</c:v>
                </c:pt>
                <c:pt idx="13">
                  <c:v>-0.26209078702289057</c:v>
                </c:pt>
                <c:pt idx="14">
                  <c:v>-0.26209078702289057</c:v>
                </c:pt>
                <c:pt idx="15">
                  <c:v>-0.26209078702289057</c:v>
                </c:pt>
                <c:pt idx="16">
                  <c:v>-0.26209078702289057</c:v>
                </c:pt>
                <c:pt idx="17">
                  <c:v>-0.26209078702289057</c:v>
                </c:pt>
                <c:pt idx="18">
                  <c:v>-0.26209078702289057</c:v>
                </c:pt>
                <c:pt idx="19">
                  <c:v>-0.26209078702289057</c:v>
                </c:pt>
                <c:pt idx="20">
                  <c:v>2.5401089790055291</c:v>
                </c:pt>
                <c:pt idx="21">
                  <c:v>2.5401089790055291</c:v>
                </c:pt>
                <c:pt idx="22">
                  <c:v>2.5401089790055291</c:v>
                </c:pt>
                <c:pt idx="23">
                  <c:v>2.5401089790055291</c:v>
                </c:pt>
                <c:pt idx="24">
                  <c:v>2.5401089790055291</c:v>
                </c:pt>
                <c:pt idx="25">
                  <c:v>2.5401089790055291</c:v>
                </c:pt>
                <c:pt idx="26">
                  <c:v>2.5401089790055291</c:v>
                </c:pt>
                <c:pt idx="27">
                  <c:v>2.5401089790055291</c:v>
                </c:pt>
                <c:pt idx="28">
                  <c:v>2.5401089790055291</c:v>
                </c:pt>
                <c:pt idx="29">
                  <c:v>2.5401089790055291</c:v>
                </c:pt>
                <c:pt idx="30">
                  <c:v>2.5401089790055291</c:v>
                </c:pt>
                <c:pt idx="31">
                  <c:v>2.5401089790055291</c:v>
                </c:pt>
                <c:pt idx="32">
                  <c:v>2.5401089790055291</c:v>
                </c:pt>
                <c:pt idx="33">
                  <c:v>2.5401089790055291</c:v>
                </c:pt>
                <c:pt idx="34">
                  <c:v>7.5508093557431897</c:v>
                </c:pt>
                <c:pt idx="35">
                  <c:v>7.5508093557431897</c:v>
                </c:pt>
                <c:pt idx="36">
                  <c:v>7.5508093557431897</c:v>
                </c:pt>
                <c:pt idx="37">
                  <c:v>7.5508093557431897</c:v>
                </c:pt>
                <c:pt idx="38">
                  <c:v>7.5508093557431897</c:v>
                </c:pt>
                <c:pt idx="39">
                  <c:v>7.5508093557431897</c:v>
                </c:pt>
                <c:pt idx="40">
                  <c:v>7.5508093557431897</c:v>
                </c:pt>
                <c:pt idx="41">
                  <c:v>7.5508093557431897</c:v>
                </c:pt>
                <c:pt idx="42">
                  <c:v>7.5508093557431897</c:v>
                </c:pt>
                <c:pt idx="43">
                  <c:v>7.5508093557431897</c:v>
                </c:pt>
                <c:pt idx="44">
                  <c:v>7.5508093557431897</c:v>
                </c:pt>
                <c:pt idx="45">
                  <c:v>7.5508093557431897</c:v>
                </c:pt>
                <c:pt idx="46">
                  <c:v>11.545709190087079</c:v>
                </c:pt>
                <c:pt idx="47">
                  <c:v>11.545709190087079</c:v>
                </c:pt>
                <c:pt idx="48">
                  <c:v>11.545709190087079</c:v>
                </c:pt>
                <c:pt idx="49">
                  <c:v>11.545709190087079</c:v>
                </c:pt>
                <c:pt idx="50">
                  <c:v>11.545709190087079</c:v>
                </c:pt>
                <c:pt idx="51">
                  <c:v>11.545709190087079</c:v>
                </c:pt>
                <c:pt idx="52">
                  <c:v>11.545709190087079</c:v>
                </c:pt>
                <c:pt idx="53">
                  <c:v>11.545709190087079</c:v>
                </c:pt>
                <c:pt idx="54">
                  <c:v>11.545709190087079</c:v>
                </c:pt>
                <c:pt idx="55">
                  <c:v>11.545709190087079</c:v>
                </c:pt>
                <c:pt idx="56">
                  <c:v>11.545709190087079</c:v>
                </c:pt>
                <c:pt idx="57">
                  <c:v>11.545709190087079</c:v>
                </c:pt>
                <c:pt idx="58">
                  <c:v>11.545709190087079</c:v>
                </c:pt>
                <c:pt idx="59">
                  <c:v>11.545709190087079</c:v>
                </c:pt>
                <c:pt idx="60">
                  <c:v>20.52670868208779</c:v>
                </c:pt>
                <c:pt idx="61">
                  <c:v>20.52670868208779</c:v>
                </c:pt>
                <c:pt idx="62">
                  <c:v>20.52670868208779</c:v>
                </c:pt>
                <c:pt idx="63">
                  <c:v>20.52670868208779</c:v>
                </c:pt>
                <c:pt idx="64">
                  <c:v>20.52670868208779</c:v>
                </c:pt>
                <c:pt idx="65">
                  <c:v>20.52670868208779</c:v>
                </c:pt>
                <c:pt idx="66">
                  <c:v>20.52670868208779</c:v>
                </c:pt>
                <c:pt idx="67">
                  <c:v>20.52670868208779</c:v>
                </c:pt>
                <c:pt idx="68">
                  <c:v>20.52670868208779</c:v>
                </c:pt>
                <c:pt idx="69">
                  <c:v>20.52670868208779</c:v>
                </c:pt>
                <c:pt idx="70">
                  <c:v>20.52670868208779</c:v>
                </c:pt>
                <c:pt idx="71">
                  <c:v>20.52670868208779</c:v>
                </c:pt>
                <c:pt idx="72">
                  <c:v>20.52670868208779</c:v>
                </c:pt>
                <c:pt idx="73">
                  <c:v>20.52670868208779</c:v>
                </c:pt>
                <c:pt idx="74">
                  <c:v>20.52670868208779</c:v>
                </c:pt>
                <c:pt idx="75">
                  <c:v>20.52670868208779</c:v>
                </c:pt>
                <c:pt idx="76">
                  <c:v>20.52670868208779</c:v>
                </c:pt>
                <c:pt idx="77">
                  <c:v>20.52670868208779</c:v>
                </c:pt>
                <c:pt idx="78">
                  <c:v>20.52670868208779</c:v>
                </c:pt>
                <c:pt idx="79">
                  <c:v>20.52670868208779</c:v>
                </c:pt>
                <c:pt idx="80">
                  <c:v>20.52670868208779</c:v>
                </c:pt>
                <c:pt idx="81">
                  <c:v>-0.26729089138221029</c:v>
                </c:pt>
                <c:pt idx="82">
                  <c:v>-0.26729089138221029</c:v>
                </c:pt>
                <c:pt idx="83">
                  <c:v>-0.26729089138221029</c:v>
                </c:pt>
                <c:pt idx="84">
                  <c:v>-0.26729089138221029</c:v>
                </c:pt>
                <c:pt idx="85">
                  <c:v>-0.26729089138221029</c:v>
                </c:pt>
                <c:pt idx="86">
                  <c:v>-0.26729089138221029</c:v>
                </c:pt>
                <c:pt idx="87">
                  <c:v>-0.26729089138221029</c:v>
                </c:pt>
                <c:pt idx="88">
                  <c:v>-0.26729089138221029</c:v>
                </c:pt>
                <c:pt idx="89">
                  <c:v>-0.26729089138221029</c:v>
                </c:pt>
                <c:pt idx="90">
                  <c:v>-0.26729089138221029</c:v>
                </c:pt>
                <c:pt idx="91">
                  <c:v>-0.26729089138221029</c:v>
                </c:pt>
                <c:pt idx="92">
                  <c:v>-0.18248721508698099</c:v>
                </c:pt>
                <c:pt idx="93">
                  <c:v>-0.18248721508698099</c:v>
                </c:pt>
                <c:pt idx="94">
                  <c:v>-0.18248721508698099</c:v>
                </c:pt>
                <c:pt idx="95">
                  <c:v>-0.18248721508698099</c:v>
                </c:pt>
                <c:pt idx="96">
                  <c:v>-0.18248721508698099</c:v>
                </c:pt>
                <c:pt idx="97">
                  <c:v>-0.18248721508698099</c:v>
                </c:pt>
                <c:pt idx="98">
                  <c:v>-0.18248721508698099</c:v>
                </c:pt>
                <c:pt idx="99">
                  <c:v>-0.18248721508698099</c:v>
                </c:pt>
                <c:pt idx="100">
                  <c:v>-5.297965907691074E-2</c:v>
                </c:pt>
                <c:pt idx="101">
                  <c:v>-5.297965907691074E-2</c:v>
                </c:pt>
                <c:pt idx="102">
                  <c:v>-5.297965907691074E-2</c:v>
                </c:pt>
                <c:pt idx="103">
                  <c:v>-5.297965907691074E-2</c:v>
                </c:pt>
                <c:pt idx="104">
                  <c:v>-5.297965907691074E-2</c:v>
                </c:pt>
                <c:pt idx="105">
                  <c:v>-5.297965907691074E-2</c:v>
                </c:pt>
                <c:pt idx="106">
                  <c:v>-5.297965907691074E-2</c:v>
                </c:pt>
                <c:pt idx="107">
                  <c:v>-5.297965907691074E-2</c:v>
                </c:pt>
                <c:pt idx="108">
                  <c:v>-5.297965907691074E-2</c:v>
                </c:pt>
                <c:pt idx="109">
                  <c:v>8.9252168417994771E-3</c:v>
                </c:pt>
                <c:pt idx="110">
                  <c:v>8.9252168417994771E-3</c:v>
                </c:pt>
                <c:pt idx="111">
                  <c:v>8.9252168417994771E-3</c:v>
                </c:pt>
                <c:pt idx="112">
                  <c:v>8.9252168417994771E-3</c:v>
                </c:pt>
                <c:pt idx="113">
                  <c:v>8.9252168417994771E-3</c:v>
                </c:pt>
                <c:pt idx="114">
                  <c:v>8.9252168417994771E-3</c:v>
                </c:pt>
                <c:pt idx="115">
                  <c:v>8.9252168417994771E-3</c:v>
                </c:pt>
                <c:pt idx="116">
                  <c:v>8.9252168417994771E-3</c:v>
                </c:pt>
                <c:pt idx="117">
                  <c:v>8.9252168417994771E-3</c:v>
                </c:pt>
                <c:pt idx="118">
                  <c:v>8.9252168417994771E-3</c:v>
                </c:pt>
                <c:pt idx="119">
                  <c:v>5.4830259856209373E-2</c:v>
                </c:pt>
                <c:pt idx="120">
                  <c:v>5.4830259856209373E-2</c:v>
                </c:pt>
                <c:pt idx="121">
                  <c:v>5.4830259856209373E-2</c:v>
                </c:pt>
                <c:pt idx="122">
                  <c:v>5.4830259856209373E-2</c:v>
                </c:pt>
                <c:pt idx="123">
                  <c:v>5.4830259856209373E-2</c:v>
                </c:pt>
                <c:pt idx="124">
                  <c:v>5.4830259856209373E-2</c:v>
                </c:pt>
                <c:pt idx="125">
                  <c:v>5.4830259856209373E-2</c:v>
                </c:pt>
                <c:pt idx="126">
                  <c:v>5.4830259856209373E-2</c:v>
                </c:pt>
                <c:pt idx="127">
                  <c:v>5.4830259856209373E-2</c:v>
                </c:pt>
                <c:pt idx="128">
                  <c:v>5.4830259856209373E-2</c:v>
                </c:pt>
                <c:pt idx="129">
                  <c:v>5.4830259856209373E-2</c:v>
                </c:pt>
                <c:pt idx="130">
                  <c:v>5.4830259856209373E-2</c:v>
                </c:pt>
                <c:pt idx="131">
                  <c:v>5.4830259856209373E-2</c:v>
                </c:pt>
                <c:pt idx="132">
                  <c:v>5.4830259856209373E-2</c:v>
                </c:pt>
                <c:pt idx="133">
                  <c:v>-7.7161933256098596</c:v>
                </c:pt>
                <c:pt idx="134">
                  <c:v>-7.7161933256098596</c:v>
                </c:pt>
                <c:pt idx="135">
                  <c:v>-7.7161933256098596</c:v>
                </c:pt>
                <c:pt idx="136">
                  <c:v>-7.7161933256098596</c:v>
                </c:pt>
                <c:pt idx="137">
                  <c:v>-7.7161933256098596</c:v>
                </c:pt>
                <c:pt idx="138">
                  <c:v>-7.7161933256098596</c:v>
                </c:pt>
                <c:pt idx="139">
                  <c:v>-7.7161933256098596</c:v>
                </c:pt>
                <c:pt idx="140">
                  <c:v>-7.7161933256098596</c:v>
                </c:pt>
                <c:pt idx="141">
                  <c:v>-7.7161933256098596</c:v>
                </c:pt>
                <c:pt idx="142">
                  <c:v>-7.7161933256098596</c:v>
                </c:pt>
                <c:pt idx="143">
                  <c:v>-7.7161933256098596</c:v>
                </c:pt>
                <c:pt idx="144">
                  <c:v>-7.7161933256098596</c:v>
                </c:pt>
                <c:pt idx="145">
                  <c:v>-4.1055920811269289</c:v>
                </c:pt>
                <c:pt idx="146">
                  <c:v>-4.1055920811269289</c:v>
                </c:pt>
                <c:pt idx="147">
                  <c:v>-4.1055920811269289</c:v>
                </c:pt>
                <c:pt idx="148">
                  <c:v>-4.1055920811269289</c:v>
                </c:pt>
                <c:pt idx="149">
                  <c:v>-4.1055920811269289</c:v>
                </c:pt>
                <c:pt idx="150">
                  <c:v>-4.1055920811269289</c:v>
                </c:pt>
                <c:pt idx="151">
                  <c:v>-4.1055920811269289</c:v>
                </c:pt>
                <c:pt idx="152">
                  <c:v>-4.1055920811269289</c:v>
                </c:pt>
                <c:pt idx="153">
                  <c:v>-4.1055920811269289</c:v>
                </c:pt>
                <c:pt idx="154">
                  <c:v>-4.1055920811269289</c:v>
                </c:pt>
                <c:pt idx="155">
                  <c:v>-4.1055920811269289</c:v>
                </c:pt>
                <c:pt idx="156">
                  <c:v>-4.1055920811269289</c:v>
                </c:pt>
                <c:pt idx="157">
                  <c:v>-0.2830919045532998</c:v>
                </c:pt>
                <c:pt idx="158">
                  <c:v>-0.2830919045532998</c:v>
                </c:pt>
                <c:pt idx="159">
                  <c:v>-0.2830919045532998</c:v>
                </c:pt>
                <c:pt idx="160">
                  <c:v>-0.2830919045532998</c:v>
                </c:pt>
                <c:pt idx="161">
                  <c:v>-0.2830919045532998</c:v>
                </c:pt>
                <c:pt idx="162">
                  <c:v>-0.2830919045532998</c:v>
                </c:pt>
                <c:pt idx="163">
                  <c:v>-0.2830919045532998</c:v>
                </c:pt>
                <c:pt idx="164">
                  <c:v>-0.2830919045532998</c:v>
                </c:pt>
                <c:pt idx="165">
                  <c:v>-0.2830919045532998</c:v>
                </c:pt>
                <c:pt idx="166">
                  <c:v>-0.2830919045532998</c:v>
                </c:pt>
                <c:pt idx="167">
                  <c:v>-0.2830919045532998</c:v>
                </c:pt>
                <c:pt idx="168">
                  <c:v>-0.2830919045532998</c:v>
                </c:pt>
                <c:pt idx="169">
                  <c:v>-0.2830919045532998</c:v>
                </c:pt>
                <c:pt idx="170">
                  <c:v>-0.2830919045532998</c:v>
                </c:pt>
                <c:pt idx="171">
                  <c:v>-0.2830919045532998</c:v>
                </c:pt>
                <c:pt idx="172">
                  <c:v>-0.2830919045532998</c:v>
                </c:pt>
                <c:pt idx="173">
                  <c:v>5.115909336324151</c:v>
                </c:pt>
                <c:pt idx="174">
                  <c:v>5.115909336324151</c:v>
                </c:pt>
                <c:pt idx="175">
                  <c:v>5.115909336324151</c:v>
                </c:pt>
                <c:pt idx="176">
                  <c:v>5.115909336324151</c:v>
                </c:pt>
                <c:pt idx="177">
                  <c:v>5.115909336324151</c:v>
                </c:pt>
                <c:pt idx="178">
                  <c:v>5.115909336324151</c:v>
                </c:pt>
                <c:pt idx="179">
                  <c:v>5.115909336324151</c:v>
                </c:pt>
                <c:pt idx="180">
                  <c:v>5.115909336324151</c:v>
                </c:pt>
                <c:pt idx="181">
                  <c:v>5.115909336324151</c:v>
                </c:pt>
                <c:pt idx="182">
                  <c:v>5.115909336324151</c:v>
                </c:pt>
                <c:pt idx="183">
                  <c:v>10.17650839987555</c:v>
                </c:pt>
                <c:pt idx="184">
                  <c:v>10.17650839987555</c:v>
                </c:pt>
                <c:pt idx="185">
                  <c:v>10.17650839987555</c:v>
                </c:pt>
                <c:pt idx="186">
                  <c:v>10.17650839987555</c:v>
                </c:pt>
                <c:pt idx="187">
                  <c:v>10.17650839987555</c:v>
                </c:pt>
                <c:pt idx="188">
                  <c:v>10.17650839987555</c:v>
                </c:pt>
                <c:pt idx="189">
                  <c:v>10.17650839987555</c:v>
                </c:pt>
                <c:pt idx="190">
                  <c:v>0.84368517400000043</c:v>
                </c:pt>
                <c:pt idx="191">
                  <c:v>0.84368517400000043</c:v>
                </c:pt>
                <c:pt idx="192">
                  <c:v>0.84368517400000043</c:v>
                </c:pt>
                <c:pt idx="193">
                  <c:v>0.84368517400000043</c:v>
                </c:pt>
                <c:pt idx="194">
                  <c:v>0.84368517400000043</c:v>
                </c:pt>
                <c:pt idx="195">
                  <c:v>0.84368517400000043</c:v>
                </c:pt>
                <c:pt idx="196">
                  <c:v>0.84368517400000043</c:v>
                </c:pt>
                <c:pt idx="197">
                  <c:v>0.84368517400000043</c:v>
                </c:pt>
                <c:pt idx="198">
                  <c:v>0.84368517400000043</c:v>
                </c:pt>
                <c:pt idx="199">
                  <c:v>0.84368517400000043</c:v>
                </c:pt>
                <c:pt idx="200">
                  <c:v>0.84368517400000043</c:v>
                </c:pt>
                <c:pt idx="201">
                  <c:v>1.0336851739999997</c:v>
                </c:pt>
                <c:pt idx="202">
                  <c:v>1.0336851739999997</c:v>
                </c:pt>
                <c:pt idx="203">
                  <c:v>1.0336851739999997</c:v>
                </c:pt>
                <c:pt idx="204">
                  <c:v>1.0336851739999997</c:v>
                </c:pt>
                <c:pt idx="205">
                  <c:v>7.4614911910000012</c:v>
                </c:pt>
                <c:pt idx="206">
                  <c:v>7.4614911910000012</c:v>
                </c:pt>
                <c:pt idx="207">
                  <c:v>7.4614911910000012</c:v>
                </c:pt>
                <c:pt idx="208">
                  <c:v>7.4614911910000012</c:v>
                </c:pt>
                <c:pt idx="209">
                  <c:v>7.4614911910000012</c:v>
                </c:pt>
                <c:pt idx="210">
                  <c:v>7.4614911910000012</c:v>
                </c:pt>
                <c:pt idx="211">
                  <c:v>7.4614911910000012</c:v>
                </c:pt>
                <c:pt idx="212">
                  <c:v>7.4614911910000012</c:v>
                </c:pt>
                <c:pt idx="213">
                  <c:v>7.4614911910000012</c:v>
                </c:pt>
                <c:pt idx="214">
                  <c:v>7.4614911910000012</c:v>
                </c:pt>
                <c:pt idx="215">
                  <c:v>8.3614911909999989</c:v>
                </c:pt>
                <c:pt idx="216">
                  <c:v>8.3614911909999989</c:v>
                </c:pt>
                <c:pt idx="217">
                  <c:v>8.3614911909999989</c:v>
                </c:pt>
                <c:pt idx="218">
                  <c:v>8.3614911909999989</c:v>
                </c:pt>
                <c:pt idx="219">
                  <c:v>8.3614911909999989</c:v>
                </c:pt>
                <c:pt idx="220">
                  <c:v>8.3614911909999989</c:v>
                </c:pt>
                <c:pt idx="221">
                  <c:v>8.3614911909999989</c:v>
                </c:pt>
                <c:pt idx="222">
                  <c:v>8.3614911909999989</c:v>
                </c:pt>
                <c:pt idx="223">
                  <c:v>5.7475061350000001</c:v>
                </c:pt>
                <c:pt idx="224">
                  <c:v>5.7475061350000001</c:v>
                </c:pt>
                <c:pt idx="225">
                  <c:v>5.7475061350000001</c:v>
                </c:pt>
                <c:pt idx="226">
                  <c:v>5.7475061350000001</c:v>
                </c:pt>
                <c:pt idx="227">
                  <c:v>5.7475061350000001</c:v>
                </c:pt>
                <c:pt idx="228">
                  <c:v>5.7475061350000001</c:v>
                </c:pt>
                <c:pt idx="229">
                  <c:v>5.7475061350000001</c:v>
                </c:pt>
                <c:pt idx="230">
                  <c:v>5.7475061350000001</c:v>
                </c:pt>
                <c:pt idx="231">
                  <c:v>5.7475061350000001</c:v>
                </c:pt>
                <c:pt idx="232">
                  <c:v>5.7475061350000001</c:v>
                </c:pt>
                <c:pt idx="233">
                  <c:v>5.7475061350000001</c:v>
                </c:pt>
                <c:pt idx="234">
                  <c:v>5.7475061350000001</c:v>
                </c:pt>
                <c:pt idx="235">
                  <c:v>5.6508375609999986</c:v>
                </c:pt>
                <c:pt idx="236">
                  <c:v>5.6508375609999986</c:v>
                </c:pt>
                <c:pt idx="237">
                  <c:v>5.6508375609999986</c:v>
                </c:pt>
                <c:pt idx="238">
                  <c:v>5.6508375609999986</c:v>
                </c:pt>
                <c:pt idx="239">
                  <c:v>5.6508375609999986</c:v>
                </c:pt>
                <c:pt idx="240">
                  <c:v>5.6508375609999986</c:v>
                </c:pt>
                <c:pt idx="241">
                  <c:v>5.6508375609999986</c:v>
                </c:pt>
                <c:pt idx="242">
                  <c:v>5.6508375609999986</c:v>
                </c:pt>
                <c:pt idx="243">
                  <c:v>5.6508375609999986</c:v>
                </c:pt>
                <c:pt idx="244">
                  <c:v>5.6508375609999986</c:v>
                </c:pt>
                <c:pt idx="245">
                  <c:v>5.6508375609999986</c:v>
                </c:pt>
                <c:pt idx="246">
                  <c:v>5.6508375609999986</c:v>
                </c:pt>
                <c:pt idx="247">
                  <c:v>5.6508375609999986</c:v>
                </c:pt>
                <c:pt idx="248">
                  <c:v>5.6508375609999986</c:v>
                </c:pt>
                <c:pt idx="249">
                  <c:v>5.6508375609999986</c:v>
                </c:pt>
                <c:pt idx="250">
                  <c:v>12.256772075999999</c:v>
                </c:pt>
                <c:pt idx="251">
                  <c:v>12.256772075999999</c:v>
                </c:pt>
                <c:pt idx="252">
                  <c:v>12.256772075999999</c:v>
                </c:pt>
                <c:pt idx="253">
                  <c:v>12.256772075999999</c:v>
                </c:pt>
                <c:pt idx="254">
                  <c:v>12.256772075999999</c:v>
                </c:pt>
                <c:pt idx="255">
                  <c:v>12.256772075999999</c:v>
                </c:pt>
                <c:pt idx="256">
                  <c:v>12.256772075999999</c:v>
                </c:pt>
                <c:pt idx="257">
                  <c:v>12.256772075999999</c:v>
                </c:pt>
                <c:pt idx="258">
                  <c:v>12.256772075999999</c:v>
                </c:pt>
                <c:pt idx="259">
                  <c:v>12.256772075999999</c:v>
                </c:pt>
                <c:pt idx="260">
                  <c:v>12.256772075999999</c:v>
                </c:pt>
                <c:pt idx="261">
                  <c:v>12.154834440000002</c:v>
                </c:pt>
                <c:pt idx="262">
                  <c:v>12.154834440000002</c:v>
                </c:pt>
                <c:pt idx="263">
                  <c:v>12.154834440000002</c:v>
                </c:pt>
                <c:pt idx="264">
                  <c:v>12.154834440000002</c:v>
                </c:pt>
                <c:pt idx="265">
                  <c:v>12.154834440000002</c:v>
                </c:pt>
                <c:pt idx="266">
                  <c:v>12.154834440000002</c:v>
                </c:pt>
                <c:pt idx="267">
                  <c:v>12.154834440000002</c:v>
                </c:pt>
                <c:pt idx="268">
                  <c:v>12.154834440000002</c:v>
                </c:pt>
                <c:pt idx="269">
                  <c:v>0.94711678699999902</c:v>
                </c:pt>
                <c:pt idx="270">
                  <c:v>0.94711678699999902</c:v>
                </c:pt>
                <c:pt idx="271">
                  <c:v>0.94711678699999902</c:v>
                </c:pt>
                <c:pt idx="272">
                  <c:v>0.94711678699999902</c:v>
                </c:pt>
                <c:pt idx="273">
                  <c:v>0.94711678699999902</c:v>
                </c:pt>
                <c:pt idx="274">
                  <c:v>0.94711678699999902</c:v>
                </c:pt>
                <c:pt idx="275">
                  <c:v>0.94711678699999902</c:v>
                </c:pt>
                <c:pt idx="276">
                  <c:v>0.94711678699999902</c:v>
                </c:pt>
                <c:pt idx="277">
                  <c:v>0.94711678699999902</c:v>
                </c:pt>
                <c:pt idx="278">
                  <c:v>0.73843546899999901</c:v>
                </c:pt>
                <c:pt idx="279">
                  <c:v>0.73843546899999901</c:v>
                </c:pt>
                <c:pt idx="280">
                  <c:v>0.73843546899999901</c:v>
                </c:pt>
                <c:pt idx="281">
                  <c:v>0.73843546899999901</c:v>
                </c:pt>
                <c:pt idx="282">
                  <c:v>0.73843546899999901</c:v>
                </c:pt>
                <c:pt idx="283">
                  <c:v>0.73843546899999901</c:v>
                </c:pt>
                <c:pt idx="284">
                  <c:v>0.73843546899999901</c:v>
                </c:pt>
                <c:pt idx="285">
                  <c:v>0.73843546899999901</c:v>
                </c:pt>
                <c:pt idx="286">
                  <c:v>0.73843546899999901</c:v>
                </c:pt>
                <c:pt idx="287">
                  <c:v>0.73843546899999901</c:v>
                </c:pt>
                <c:pt idx="288">
                  <c:v>7.950058309000001</c:v>
                </c:pt>
                <c:pt idx="289">
                  <c:v>7.950058309000001</c:v>
                </c:pt>
                <c:pt idx="290">
                  <c:v>7.950058309000001</c:v>
                </c:pt>
                <c:pt idx="291">
                  <c:v>7.950058309000001</c:v>
                </c:pt>
                <c:pt idx="292">
                  <c:v>7.950058309000001</c:v>
                </c:pt>
                <c:pt idx="293">
                  <c:v>7.950058309000001</c:v>
                </c:pt>
                <c:pt idx="294">
                  <c:v>8.6500583090000003</c:v>
                </c:pt>
                <c:pt idx="295">
                  <c:v>8.6500583090000003</c:v>
                </c:pt>
                <c:pt idx="296">
                  <c:v>8.6500583090000003</c:v>
                </c:pt>
                <c:pt idx="297">
                  <c:v>8.6500583090000003</c:v>
                </c:pt>
                <c:pt idx="298">
                  <c:v>8.6500583090000003</c:v>
                </c:pt>
                <c:pt idx="299">
                  <c:v>8.6500583090000003</c:v>
                </c:pt>
                <c:pt idx="300">
                  <c:v>8.6500583090000003</c:v>
                </c:pt>
                <c:pt idx="301">
                  <c:v>5.5411632839999996</c:v>
                </c:pt>
                <c:pt idx="302">
                  <c:v>5.5411632839999996</c:v>
                </c:pt>
                <c:pt idx="303">
                  <c:v>5.5411632839999996</c:v>
                </c:pt>
                <c:pt idx="304">
                  <c:v>5.5411632839999996</c:v>
                </c:pt>
                <c:pt idx="305">
                  <c:v>5.5411632839999996</c:v>
                </c:pt>
                <c:pt idx="306">
                  <c:v>5.5411632839999996</c:v>
                </c:pt>
                <c:pt idx="307">
                  <c:v>5.5411632839999996</c:v>
                </c:pt>
                <c:pt idx="308">
                  <c:v>5.5411632839999996</c:v>
                </c:pt>
                <c:pt idx="309">
                  <c:v>5.5411632839999996</c:v>
                </c:pt>
                <c:pt idx="310">
                  <c:v>5.5411632839999996</c:v>
                </c:pt>
                <c:pt idx="311">
                  <c:v>5.6462122170000013</c:v>
                </c:pt>
                <c:pt idx="312">
                  <c:v>5.6462122170000013</c:v>
                </c:pt>
                <c:pt idx="313">
                  <c:v>5.6462122170000013</c:v>
                </c:pt>
                <c:pt idx="314">
                  <c:v>5.6462122170000013</c:v>
                </c:pt>
                <c:pt idx="315">
                  <c:v>5.6462122170000013</c:v>
                </c:pt>
                <c:pt idx="316">
                  <c:v>5.6462122170000013</c:v>
                </c:pt>
                <c:pt idx="317">
                  <c:v>5.6462122170000013</c:v>
                </c:pt>
                <c:pt idx="318">
                  <c:v>5.6462122170000013</c:v>
                </c:pt>
                <c:pt idx="319">
                  <c:v>5.6462122170000013</c:v>
                </c:pt>
                <c:pt idx="320">
                  <c:v>5.6462122170000013</c:v>
                </c:pt>
                <c:pt idx="321">
                  <c:v>12.569001397000001</c:v>
                </c:pt>
                <c:pt idx="322">
                  <c:v>12.569001397000001</c:v>
                </c:pt>
                <c:pt idx="323">
                  <c:v>12.569001397000001</c:v>
                </c:pt>
                <c:pt idx="324">
                  <c:v>12.569001397000001</c:v>
                </c:pt>
                <c:pt idx="325">
                  <c:v>12.569001397000001</c:v>
                </c:pt>
                <c:pt idx="326">
                  <c:v>12.569001397000001</c:v>
                </c:pt>
                <c:pt idx="327">
                  <c:v>12.569001397000001</c:v>
                </c:pt>
                <c:pt idx="328">
                  <c:v>12.569001397000001</c:v>
                </c:pt>
                <c:pt idx="329">
                  <c:v>12.569001397000001</c:v>
                </c:pt>
                <c:pt idx="330">
                  <c:v>12.569001397000001</c:v>
                </c:pt>
                <c:pt idx="331">
                  <c:v>13.679570120000001</c:v>
                </c:pt>
                <c:pt idx="332">
                  <c:v>13.679570120000001</c:v>
                </c:pt>
                <c:pt idx="333">
                  <c:v>13.679570120000001</c:v>
                </c:pt>
                <c:pt idx="334">
                  <c:v>13.679570120000001</c:v>
                </c:pt>
                <c:pt idx="335">
                  <c:v>13.679570120000001</c:v>
                </c:pt>
                <c:pt idx="336">
                  <c:v>13.679570120000001</c:v>
                </c:pt>
                <c:pt idx="337">
                  <c:v>13.679570120000001</c:v>
                </c:pt>
                <c:pt idx="338">
                  <c:v>13.679570120000001</c:v>
                </c:pt>
              </c:numCache>
            </c:numRef>
          </c:xVal>
          <c:yVal>
            <c:numRef>
              <c:f>SICA_preadjustement!$Q$2:$Q$343</c:f>
              <c:numCache>
                <c:formatCode>General</c:formatCode>
                <c:ptCount val="342"/>
                <c:pt idx="190">
                  <c:v>0.25837825837825845</c:v>
                </c:pt>
                <c:pt idx="191">
                  <c:v>0.36250536250536258</c:v>
                </c:pt>
                <c:pt idx="192">
                  <c:v>0.22014622014622015</c:v>
                </c:pt>
                <c:pt idx="193">
                  <c:v>0.1317931317931319</c:v>
                </c:pt>
                <c:pt idx="194">
                  <c:v>0.16340416340416344</c:v>
                </c:pt>
                <c:pt idx="195">
                  <c:v>0.10337710337710337</c:v>
                </c:pt>
                <c:pt idx="196">
                  <c:v>0.22258222258222263</c:v>
                </c:pt>
                <c:pt idx="197">
                  <c:v>0.31978531978531982</c:v>
                </c:pt>
                <c:pt idx="198">
                  <c:v>0.20973620973620982</c:v>
                </c:pt>
                <c:pt idx="199">
                  <c:v>0.30717630717630728</c:v>
                </c:pt>
                <c:pt idx="200">
                  <c:v>0.27905127905127919</c:v>
                </c:pt>
                <c:pt idx="201">
                  <c:v>0.30697530697530706</c:v>
                </c:pt>
                <c:pt idx="202">
                  <c:v>0.13455913455913457</c:v>
                </c:pt>
                <c:pt idx="203">
                  <c:v>7.4910074910074981E-2</c:v>
                </c:pt>
                <c:pt idx="204">
                  <c:v>0.16990816990816995</c:v>
                </c:pt>
                <c:pt idx="205">
                  <c:v>0.26257226257226257</c:v>
                </c:pt>
                <c:pt idx="206">
                  <c:v>0.17667617667617683</c:v>
                </c:pt>
                <c:pt idx="207">
                  <c:v>0.33030033030033035</c:v>
                </c:pt>
                <c:pt idx="208">
                  <c:v>0.12861312861312871</c:v>
                </c:pt>
                <c:pt idx="209">
                  <c:v>0.11312111312111327</c:v>
                </c:pt>
                <c:pt idx="210">
                  <c:v>0.10810510810510818</c:v>
                </c:pt>
                <c:pt idx="211">
                  <c:v>0.17821217821217836</c:v>
                </c:pt>
                <c:pt idx="212">
                  <c:v>0.23441423441423451</c:v>
                </c:pt>
                <c:pt idx="213">
                  <c:v>0.22345222345222354</c:v>
                </c:pt>
                <c:pt idx="214">
                  <c:v>0.32388632388632399</c:v>
                </c:pt>
                <c:pt idx="215">
                  <c:v>0.14104214104214105</c:v>
                </c:pt>
                <c:pt idx="216">
                  <c:v>0.11504111504111514</c:v>
                </c:pt>
                <c:pt idx="217">
                  <c:v>0.20247320247320258</c:v>
                </c:pt>
                <c:pt idx="218">
                  <c:v>0.18697818697818702</c:v>
                </c:pt>
                <c:pt idx="219">
                  <c:v>0.13763113763113766</c:v>
                </c:pt>
                <c:pt idx="220">
                  <c:v>7.3737073737073749E-2</c:v>
                </c:pt>
                <c:pt idx="221">
                  <c:v>3.7203037203037234E-2</c:v>
                </c:pt>
                <c:pt idx="222">
                  <c:v>0.20415020415020416</c:v>
                </c:pt>
                <c:pt idx="223">
                  <c:v>0.19727719727719731</c:v>
                </c:pt>
                <c:pt idx="224">
                  <c:v>2.0073020073020163E-2</c:v>
                </c:pt>
                <c:pt idx="225">
                  <c:v>0.13100113100113109</c:v>
                </c:pt>
                <c:pt idx="226">
                  <c:v>0.20960420960420975</c:v>
                </c:pt>
                <c:pt idx="227">
                  <c:v>9.6078096078096101E-2</c:v>
                </c:pt>
                <c:pt idx="228">
                  <c:v>0.14110214110214123</c:v>
                </c:pt>
                <c:pt idx="229">
                  <c:v>1.4343014343014359E-2</c:v>
                </c:pt>
                <c:pt idx="230">
                  <c:v>0.13047913047913062</c:v>
                </c:pt>
                <c:pt idx="231">
                  <c:v>6.0534060534060692E-2</c:v>
                </c:pt>
                <c:pt idx="232">
                  <c:v>4.8807048807048822E-2</c:v>
                </c:pt>
                <c:pt idx="233">
                  <c:v>0.1012471012471013</c:v>
                </c:pt>
                <c:pt idx="234">
                  <c:v>0.10315210315210319</c:v>
                </c:pt>
                <c:pt idx="235">
                  <c:v>0.17132117132117139</c:v>
                </c:pt>
                <c:pt idx="236">
                  <c:v>0.15905415905415912</c:v>
                </c:pt>
                <c:pt idx="237">
                  <c:v>5.6358056358056359E-2</c:v>
                </c:pt>
                <c:pt idx="238">
                  <c:v>0.19703119703119709</c:v>
                </c:pt>
                <c:pt idx="239">
                  <c:v>0.15677415677415688</c:v>
                </c:pt>
                <c:pt idx="240">
                  <c:v>0.11691611691611702</c:v>
                </c:pt>
                <c:pt idx="241">
                  <c:v>0.14549114549114553</c:v>
                </c:pt>
                <c:pt idx="242">
                  <c:v>0.16092016092016104</c:v>
                </c:pt>
                <c:pt idx="243">
                  <c:v>0.12416112416112415</c:v>
                </c:pt>
                <c:pt idx="244">
                  <c:v>0.11270111270111272</c:v>
                </c:pt>
                <c:pt idx="245">
                  <c:v>0.14176814176814184</c:v>
                </c:pt>
                <c:pt idx="246">
                  <c:v>0.24393324393324403</c:v>
                </c:pt>
                <c:pt idx="247">
                  <c:v>7.855207855207863E-2</c:v>
                </c:pt>
                <c:pt idx="248">
                  <c:v>0.13231213231213243</c:v>
                </c:pt>
                <c:pt idx="249">
                  <c:v>8.1444081444081509E-2</c:v>
                </c:pt>
                <c:pt idx="250">
                  <c:v>0.19050319050319059</c:v>
                </c:pt>
                <c:pt idx="251">
                  <c:v>0.15411915411915425</c:v>
                </c:pt>
                <c:pt idx="252">
                  <c:v>0.27693627693627693</c:v>
                </c:pt>
                <c:pt idx="253">
                  <c:v>0.14572514572514586</c:v>
                </c:pt>
                <c:pt idx="254">
                  <c:v>0.10215010215010217</c:v>
                </c:pt>
                <c:pt idx="255">
                  <c:v>0.15085515085515092</c:v>
                </c:pt>
                <c:pt idx="256">
                  <c:v>0.1175791175791177</c:v>
                </c:pt>
                <c:pt idx="257">
                  <c:v>0.18104718104718118</c:v>
                </c:pt>
                <c:pt idx="258">
                  <c:v>7.0062070062070186E-2</c:v>
                </c:pt>
                <c:pt idx="259">
                  <c:v>7.4181074181074266E-2</c:v>
                </c:pt>
                <c:pt idx="260">
                  <c:v>0.14717714717714725</c:v>
                </c:pt>
                <c:pt idx="261">
                  <c:v>7.3629073629073644E-2</c:v>
                </c:pt>
                <c:pt idx="262">
                  <c:v>0.13739713739713749</c:v>
                </c:pt>
                <c:pt idx="263">
                  <c:v>8.94750894750896E-2</c:v>
                </c:pt>
                <c:pt idx="264">
                  <c:v>0.12066312066312067</c:v>
                </c:pt>
                <c:pt idx="265">
                  <c:v>0.2465672465672466</c:v>
                </c:pt>
                <c:pt idx="266">
                  <c:v>0.15322815322815328</c:v>
                </c:pt>
                <c:pt idx="267">
                  <c:v>0.26970926970926973</c:v>
                </c:pt>
                <c:pt idx="268">
                  <c:v>0.15381915381915387</c:v>
                </c:pt>
                <c:pt idx="269">
                  <c:v>0.25558525558525569</c:v>
                </c:pt>
                <c:pt idx="270">
                  <c:v>0.23082323082323089</c:v>
                </c:pt>
                <c:pt idx="271">
                  <c:v>0.20715320715320726</c:v>
                </c:pt>
                <c:pt idx="272">
                  <c:v>0.22769122769122782</c:v>
                </c:pt>
                <c:pt idx="273">
                  <c:v>0.22735822735822733</c:v>
                </c:pt>
                <c:pt idx="274">
                  <c:v>0.22098022098022105</c:v>
                </c:pt>
                <c:pt idx="275">
                  <c:v>0.23842223842223853</c:v>
                </c:pt>
                <c:pt idx="276">
                  <c:v>0.22718122718122727</c:v>
                </c:pt>
                <c:pt idx="277">
                  <c:v>0.2756972756972757</c:v>
                </c:pt>
                <c:pt idx="278">
                  <c:v>0.11672411672411676</c:v>
                </c:pt>
                <c:pt idx="279">
                  <c:v>0.11248811248811259</c:v>
                </c:pt>
                <c:pt idx="280">
                  <c:v>0.10500610500610502</c:v>
                </c:pt>
                <c:pt idx="281">
                  <c:v>6.7614067614067644E-2</c:v>
                </c:pt>
                <c:pt idx="282">
                  <c:v>9.0486090486090576E-2</c:v>
                </c:pt>
                <c:pt idx="283">
                  <c:v>9.0402090402090435E-2</c:v>
                </c:pt>
                <c:pt idx="284">
                  <c:v>0.14240414240414245</c:v>
                </c:pt>
                <c:pt idx="285">
                  <c:v>0.10371610371610372</c:v>
                </c:pt>
                <c:pt idx="286">
                  <c:v>8.8428088428088414E-2</c:v>
                </c:pt>
                <c:pt idx="287">
                  <c:v>9.7842097842097936E-2</c:v>
                </c:pt>
                <c:pt idx="288">
                  <c:v>0.20388920388920395</c:v>
                </c:pt>
                <c:pt idx="289">
                  <c:v>0.11933711933711949</c:v>
                </c:pt>
                <c:pt idx="290">
                  <c:v>0.14784014784014793</c:v>
                </c:pt>
                <c:pt idx="291">
                  <c:v>9.933009933009937E-2</c:v>
                </c:pt>
                <c:pt idx="292">
                  <c:v>6.1533061533061602E-2</c:v>
                </c:pt>
                <c:pt idx="293">
                  <c:v>5.2374052374052453E-2</c:v>
                </c:pt>
                <c:pt idx="294">
                  <c:v>0.11134211134211143</c:v>
                </c:pt>
                <c:pt idx="295">
                  <c:v>0.10250410250410251</c:v>
                </c:pt>
                <c:pt idx="296">
                  <c:v>0.18879918879918894</c:v>
                </c:pt>
                <c:pt idx="297">
                  <c:v>0.22381822381822394</c:v>
                </c:pt>
                <c:pt idx="298">
                  <c:v>0.18609018609018615</c:v>
                </c:pt>
                <c:pt idx="299">
                  <c:v>0.21418221418221417</c:v>
                </c:pt>
                <c:pt idx="300">
                  <c:v>7.2501072501072586E-2</c:v>
                </c:pt>
                <c:pt idx="301">
                  <c:v>2.9700029700043614E-4</c:v>
                </c:pt>
                <c:pt idx="302">
                  <c:v>4.6170046170047486E-3</c:v>
                </c:pt>
                <c:pt idx="303">
                  <c:v>0.15562515562515561</c:v>
                </c:pt>
                <c:pt idx="304">
                  <c:v>0.19969219969219973</c:v>
                </c:pt>
                <c:pt idx="305">
                  <c:v>0.12656412656412669</c:v>
                </c:pt>
                <c:pt idx="306">
                  <c:v>8.4090084090084172E-2</c:v>
                </c:pt>
                <c:pt idx="307">
                  <c:v>9.4743094743094794E-2</c:v>
                </c:pt>
                <c:pt idx="308">
                  <c:v>9.5298095298095353E-2</c:v>
                </c:pt>
                <c:pt idx="309">
                  <c:v>0</c:v>
                </c:pt>
                <c:pt idx="310">
                  <c:v>0.12028212028212043</c:v>
                </c:pt>
                <c:pt idx="311">
                  <c:v>0.21714321714321722</c:v>
                </c:pt>
                <c:pt idx="312">
                  <c:v>0.15693315693315701</c:v>
                </c:pt>
                <c:pt idx="313">
                  <c:v>0.22968922968922981</c:v>
                </c:pt>
                <c:pt idx="314">
                  <c:v>0.17288717288717292</c:v>
                </c:pt>
                <c:pt idx="315">
                  <c:v>0.21685821685821685</c:v>
                </c:pt>
                <c:pt idx="316">
                  <c:v>0.18166818166818177</c:v>
                </c:pt>
                <c:pt idx="317">
                  <c:v>0.18460218460218472</c:v>
                </c:pt>
                <c:pt idx="318">
                  <c:v>0.16716016716016724</c:v>
                </c:pt>
                <c:pt idx="319">
                  <c:v>0.18667518667518673</c:v>
                </c:pt>
                <c:pt idx="320">
                  <c:v>0.15051915051915052</c:v>
                </c:pt>
                <c:pt idx="321">
                  <c:v>0.1667881667881668</c:v>
                </c:pt>
                <c:pt idx="322">
                  <c:v>0.18057918057918068</c:v>
                </c:pt>
                <c:pt idx="323">
                  <c:v>0.16576516576516589</c:v>
                </c:pt>
                <c:pt idx="324">
                  <c:v>0.17192117192117196</c:v>
                </c:pt>
                <c:pt idx="325">
                  <c:v>0.14863514863514868</c:v>
                </c:pt>
                <c:pt idx="326">
                  <c:v>0.14769014769014774</c:v>
                </c:pt>
                <c:pt idx="327">
                  <c:v>0.1364881364881366</c:v>
                </c:pt>
                <c:pt idx="328">
                  <c:v>0.19389619389619389</c:v>
                </c:pt>
                <c:pt idx="329">
                  <c:v>0.17616017616017624</c:v>
                </c:pt>
                <c:pt idx="330">
                  <c:v>0.17464217464217463</c:v>
                </c:pt>
                <c:pt idx="331">
                  <c:v>0.18889218889218887</c:v>
                </c:pt>
                <c:pt idx="332">
                  <c:v>0.1958071958071958</c:v>
                </c:pt>
                <c:pt idx="333">
                  <c:v>4.8474048474048514E-2</c:v>
                </c:pt>
                <c:pt idx="334">
                  <c:v>0.18214518214518222</c:v>
                </c:pt>
                <c:pt idx="335">
                  <c:v>0.19021519021519029</c:v>
                </c:pt>
                <c:pt idx="336">
                  <c:v>0.26022326022326031</c:v>
                </c:pt>
                <c:pt idx="337">
                  <c:v>0.14310614310614325</c:v>
                </c:pt>
                <c:pt idx="338">
                  <c:v>0.22889722889722899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EC-444C-876A-0DD65354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3088"/>
        <c:axId val="672332608"/>
      </c:scatterChart>
      <c:valAx>
        <c:axId val="67233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2608"/>
        <c:crosses val="autoZero"/>
        <c:crossBetween val="midCat"/>
      </c:valAx>
      <c:valAx>
        <c:axId val="672332608"/>
        <c:scaling>
          <c:orientation val="minMax"/>
          <c:max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ES</a:t>
                </a:r>
              </a:p>
            </c:rich>
          </c:tx>
          <c:layout>
            <c:manualLayout>
              <c:xMode val="edge"/>
              <c:yMode val="edge"/>
              <c:x val="0.32918886915334516"/>
              <c:y val="4.03196250490033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01810231092338E-2"/>
          <c:y val="5.335647092196108E-2"/>
          <c:w val="0.90108930877423621"/>
          <c:h val="0.6615975087131829"/>
        </c:manualLayout>
      </c:layout>
      <c:scatterChart>
        <c:scatterStyle val="lineMarker"/>
        <c:varyColors val="0"/>
        <c:ser>
          <c:idx val="0"/>
          <c:order val="0"/>
          <c:tx>
            <c:strRef>
              <c:f>SICA_adjusted!$N$1</c:f>
              <c:strCache>
                <c:ptCount val="1"/>
                <c:pt idx="0">
                  <c:v>ESLi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5387010904276396"/>
                  <c:y val="-3.3583859072032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SICA_adjusted!$L$2:$L$343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SICA_adjusted!$N$2:$N$343</c:f>
              <c:numCache>
                <c:formatCode>General</c:formatCode>
                <c:ptCount val="342"/>
                <c:pt idx="0">
                  <c:v>0.12800712800712813</c:v>
                </c:pt>
                <c:pt idx="1">
                  <c:v>7.9749079749079826E-2</c:v>
                </c:pt>
                <c:pt idx="2">
                  <c:v>0.16524016524016535</c:v>
                </c:pt>
                <c:pt idx="3">
                  <c:v>0.19913719913719918</c:v>
                </c:pt>
                <c:pt idx="4">
                  <c:v>2.1819021819021889E-2</c:v>
                </c:pt>
                <c:pt idx="5">
                  <c:v>0.17031617031617044</c:v>
                </c:pt>
                <c:pt idx="6">
                  <c:v>0.11291711291711294</c:v>
                </c:pt>
                <c:pt idx="7">
                  <c:v>3.7926037926038082E-2</c:v>
                </c:pt>
                <c:pt idx="8">
                  <c:v>0.15680415680415688</c:v>
                </c:pt>
                <c:pt idx="9">
                  <c:v>4.959004959005019E-3</c:v>
                </c:pt>
                <c:pt idx="10">
                  <c:v>0.16649416649416662</c:v>
                </c:pt>
                <c:pt idx="11">
                  <c:v>0.11266211266211275</c:v>
                </c:pt>
                <c:pt idx="12">
                  <c:v>5.2920052920053043E-2</c:v>
                </c:pt>
                <c:pt idx="13">
                  <c:v>2.2119022119022259E-2</c:v>
                </c:pt>
                <c:pt idx="14">
                  <c:v>7.5867075867075986E-2</c:v>
                </c:pt>
                <c:pt idx="15">
                  <c:v>0.11539511539511547</c:v>
                </c:pt>
                <c:pt idx="16">
                  <c:v>0.18041718041718044</c:v>
                </c:pt>
                <c:pt idx="17">
                  <c:v>2.3640023640023794E-2</c:v>
                </c:pt>
                <c:pt idx="18">
                  <c:v>0.18426918426918426</c:v>
                </c:pt>
                <c:pt idx="19">
                  <c:v>0.20885720885720893</c:v>
                </c:pt>
                <c:pt idx="20">
                  <c:v>0.1371691371691372</c:v>
                </c:pt>
                <c:pt idx="21">
                  <c:v>0.18929418929418931</c:v>
                </c:pt>
                <c:pt idx="22">
                  <c:v>0.13476613476613483</c:v>
                </c:pt>
                <c:pt idx="23">
                  <c:v>0.18343218343218343</c:v>
                </c:pt>
                <c:pt idx="24">
                  <c:v>0.17034317034317034</c:v>
                </c:pt>
                <c:pt idx="25">
                  <c:v>9.0012090012090068E-2</c:v>
                </c:pt>
                <c:pt idx="26">
                  <c:v>0.18559218559218568</c:v>
                </c:pt>
                <c:pt idx="27">
                  <c:v>0.12043512043512054</c:v>
                </c:pt>
                <c:pt idx="28">
                  <c:v>0.16009216009216018</c:v>
                </c:pt>
                <c:pt idx="29">
                  <c:v>6.7992067992068125E-2</c:v>
                </c:pt>
                <c:pt idx="30">
                  <c:v>0.11629211629211632</c:v>
                </c:pt>
                <c:pt idx="31">
                  <c:v>6.3222063222063252E-2</c:v>
                </c:pt>
                <c:pt idx="32">
                  <c:v>6.464406464406465E-2</c:v>
                </c:pt>
                <c:pt idx="33">
                  <c:v>0.12816612816612827</c:v>
                </c:pt>
                <c:pt idx="34">
                  <c:v>0.11077811077811091</c:v>
                </c:pt>
                <c:pt idx="35">
                  <c:v>6.9117069117069246E-2</c:v>
                </c:pt>
                <c:pt idx="36">
                  <c:v>8.5020085020085109E-2</c:v>
                </c:pt>
                <c:pt idx="37">
                  <c:v>0.11979311979311991</c:v>
                </c:pt>
                <c:pt idx="38">
                  <c:v>9.4314094314094446E-2</c:v>
                </c:pt>
                <c:pt idx="39">
                  <c:v>0.15705315705315703</c:v>
                </c:pt>
                <c:pt idx="40">
                  <c:v>7.9083079083079211E-2</c:v>
                </c:pt>
                <c:pt idx="41">
                  <c:v>9.0978090978091036E-2</c:v>
                </c:pt>
                <c:pt idx="42">
                  <c:v>0.13791013791013798</c:v>
                </c:pt>
                <c:pt idx="43">
                  <c:v>8.4546084546084588E-2</c:v>
                </c:pt>
                <c:pt idx="44">
                  <c:v>7.3362073362073385E-2</c:v>
                </c:pt>
                <c:pt idx="45">
                  <c:v>0.17003417003417018</c:v>
                </c:pt>
                <c:pt idx="46">
                  <c:v>9.7260097260097295E-2</c:v>
                </c:pt>
                <c:pt idx="47">
                  <c:v>0.14444114444114459</c:v>
                </c:pt>
                <c:pt idx="48">
                  <c:v>0.14603114603114609</c:v>
                </c:pt>
                <c:pt idx="49">
                  <c:v>0.12197412197412201</c:v>
                </c:pt>
                <c:pt idx="50">
                  <c:v>7.5276075276075397E-2</c:v>
                </c:pt>
                <c:pt idx="51">
                  <c:v>0.19237819237819245</c:v>
                </c:pt>
                <c:pt idx="52">
                  <c:v>0.22926922926922927</c:v>
                </c:pt>
                <c:pt idx="53">
                  <c:v>0.25654825654825658</c:v>
                </c:pt>
                <c:pt idx="54">
                  <c:v>0.21369021369021374</c:v>
                </c:pt>
                <c:pt idx="55">
                  <c:v>0.10111810111810116</c:v>
                </c:pt>
                <c:pt idx="56">
                  <c:v>3.3228033228033291E-2</c:v>
                </c:pt>
                <c:pt idx="57">
                  <c:v>0.1889131889131889</c:v>
                </c:pt>
                <c:pt idx="58">
                  <c:v>0.1218361218361219</c:v>
                </c:pt>
                <c:pt idx="59">
                  <c:v>9.9591099591099588E-2</c:v>
                </c:pt>
                <c:pt idx="60">
                  <c:v>0.17869517869517884</c:v>
                </c:pt>
                <c:pt idx="61">
                  <c:v>0.22195822195822207</c:v>
                </c:pt>
                <c:pt idx="62">
                  <c:v>0.20695520695520697</c:v>
                </c:pt>
                <c:pt idx="63">
                  <c:v>0.12630312630312629</c:v>
                </c:pt>
                <c:pt idx="64">
                  <c:v>0.1312471312471313</c:v>
                </c:pt>
                <c:pt idx="65">
                  <c:v>0.16843216843216843</c:v>
                </c:pt>
                <c:pt idx="66">
                  <c:v>0.19862119862119876</c:v>
                </c:pt>
                <c:pt idx="67">
                  <c:v>0.20203820203820202</c:v>
                </c:pt>
                <c:pt idx="68">
                  <c:v>0.21662721662721662</c:v>
                </c:pt>
                <c:pt idx="69">
                  <c:v>0.22974622974622988</c:v>
                </c:pt>
                <c:pt idx="70">
                  <c:v>0.21427221427221435</c:v>
                </c:pt>
                <c:pt idx="71">
                  <c:v>0.20742920742920751</c:v>
                </c:pt>
                <c:pt idx="72">
                  <c:v>0.24478524478524485</c:v>
                </c:pt>
                <c:pt idx="73">
                  <c:v>0.25155925155925157</c:v>
                </c:pt>
                <c:pt idx="74">
                  <c:v>0.16445416445416455</c:v>
                </c:pt>
                <c:pt idx="75">
                  <c:v>0.18346518346518353</c:v>
                </c:pt>
                <c:pt idx="76">
                  <c:v>0.17519717519717518</c:v>
                </c:pt>
                <c:pt idx="77">
                  <c:v>0.18216318216318217</c:v>
                </c:pt>
                <c:pt idx="78">
                  <c:v>0.17678417678417693</c:v>
                </c:pt>
                <c:pt idx="79">
                  <c:v>0.248886248886249</c:v>
                </c:pt>
                <c:pt idx="80">
                  <c:v>0.23805023805023809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6-4A7F-B753-8CF6AD6D37D2}"/>
            </c:ext>
          </c:extLst>
        </c:ser>
        <c:ser>
          <c:idx val="1"/>
          <c:order val="1"/>
          <c:tx>
            <c:strRef>
              <c:f>SICA_adjusted!$O$1</c:f>
              <c:strCache>
                <c:ptCount val="1"/>
                <c:pt idx="0">
                  <c:v>ESpH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439704805993395"/>
                  <c:y val="6.92337225475967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D8C1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SICA_adjusted!$L$2:$L$343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SICA_adjusted!$O$2:$O$343</c:f>
              <c:numCache>
                <c:formatCode>General</c:formatCode>
                <c:ptCount val="342"/>
                <c:pt idx="81">
                  <c:v>7.0302070302070377E-2</c:v>
                </c:pt>
                <c:pt idx="82">
                  <c:v>7.7016077016077086E-2</c:v>
                </c:pt>
                <c:pt idx="83">
                  <c:v>0.15660015660015672</c:v>
                </c:pt>
                <c:pt idx="84">
                  <c:v>8.8863088863088968E-2</c:v>
                </c:pt>
                <c:pt idx="85">
                  <c:v>0.15013815013815027</c:v>
                </c:pt>
                <c:pt idx="86">
                  <c:v>0.19714519714519724</c:v>
                </c:pt>
                <c:pt idx="87">
                  <c:v>3.9420039420039549E-2</c:v>
                </c:pt>
                <c:pt idx="88">
                  <c:v>7.8120078120078179E-2</c:v>
                </c:pt>
                <c:pt idx="89">
                  <c:v>0.22653322653322658</c:v>
                </c:pt>
                <c:pt idx="90">
                  <c:v>0.17335217335217348</c:v>
                </c:pt>
                <c:pt idx="91">
                  <c:v>7.6245076245076301E-2</c:v>
                </c:pt>
                <c:pt idx="92">
                  <c:v>0.11988011988011998</c:v>
                </c:pt>
                <c:pt idx="93">
                  <c:v>9.9945099945100105E-2</c:v>
                </c:pt>
                <c:pt idx="94">
                  <c:v>2.6313026313026355E-2</c:v>
                </c:pt>
                <c:pt idx="95">
                  <c:v>0.11459711459711462</c:v>
                </c:pt>
                <c:pt idx="96">
                  <c:v>0.14822114822114832</c:v>
                </c:pt>
                <c:pt idx="97">
                  <c:v>0.11827211827211837</c:v>
                </c:pt>
                <c:pt idx="98">
                  <c:v>8.0295080295080423E-2</c:v>
                </c:pt>
                <c:pt idx="99">
                  <c:v>0.13963513963513968</c:v>
                </c:pt>
                <c:pt idx="100">
                  <c:v>9.0018090018090094E-2</c:v>
                </c:pt>
                <c:pt idx="101">
                  <c:v>6.7830067830067869E-2</c:v>
                </c:pt>
                <c:pt idx="102">
                  <c:v>0.12582012582012597</c:v>
                </c:pt>
                <c:pt idx="103">
                  <c:v>8.5638085638085781E-2</c:v>
                </c:pt>
                <c:pt idx="104">
                  <c:v>0.12505512505512506</c:v>
                </c:pt>
                <c:pt idx="105">
                  <c:v>0.11157611157611159</c:v>
                </c:pt>
                <c:pt idx="106">
                  <c:v>5.7864057864057891E-2</c:v>
                </c:pt>
                <c:pt idx="107">
                  <c:v>5.2425052425052486E-2</c:v>
                </c:pt>
                <c:pt idx="108">
                  <c:v>8.8752088752088759E-2</c:v>
                </c:pt>
                <c:pt idx="109">
                  <c:v>8.5953085953085984E-2</c:v>
                </c:pt>
                <c:pt idx="110">
                  <c:v>0.17851217851217854</c:v>
                </c:pt>
                <c:pt idx="111">
                  <c:v>9.2046092046092085E-2</c:v>
                </c:pt>
                <c:pt idx="112">
                  <c:v>0.22262722262722262</c:v>
                </c:pt>
                <c:pt idx="113">
                  <c:v>0.28587628587628594</c:v>
                </c:pt>
                <c:pt idx="114">
                  <c:v>0.36977136977136976</c:v>
                </c:pt>
                <c:pt idx="115">
                  <c:v>0.35826035826035829</c:v>
                </c:pt>
                <c:pt idx="116">
                  <c:v>0.30790230790230794</c:v>
                </c:pt>
                <c:pt idx="117">
                  <c:v>8.5824085824085836E-2</c:v>
                </c:pt>
                <c:pt idx="118">
                  <c:v>0.12098412098412106</c:v>
                </c:pt>
                <c:pt idx="119">
                  <c:v>0.205854205854206</c:v>
                </c:pt>
                <c:pt idx="120">
                  <c:v>0.17593517593517605</c:v>
                </c:pt>
                <c:pt idx="121">
                  <c:v>0.23281223281223293</c:v>
                </c:pt>
                <c:pt idx="122">
                  <c:v>0.1909771909771911</c:v>
                </c:pt>
                <c:pt idx="123">
                  <c:v>0.26901326901326916</c:v>
                </c:pt>
                <c:pt idx="124">
                  <c:v>0.14352014352014361</c:v>
                </c:pt>
                <c:pt idx="125">
                  <c:v>0.277023277023277</c:v>
                </c:pt>
                <c:pt idx="126">
                  <c:v>0.23099423099423111</c:v>
                </c:pt>
                <c:pt idx="127">
                  <c:v>0.21545121545121546</c:v>
                </c:pt>
                <c:pt idx="128">
                  <c:v>0.23685023685023696</c:v>
                </c:pt>
                <c:pt idx="129">
                  <c:v>0.24973524973524974</c:v>
                </c:pt>
                <c:pt idx="130">
                  <c:v>0.18558618558618564</c:v>
                </c:pt>
                <c:pt idx="131">
                  <c:v>0.28875328875328882</c:v>
                </c:pt>
                <c:pt idx="132">
                  <c:v>0.25128925128925139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36-4A7F-B753-8CF6AD6D37D2}"/>
            </c:ext>
          </c:extLst>
        </c:ser>
        <c:ser>
          <c:idx val="2"/>
          <c:order val="2"/>
          <c:tx>
            <c:strRef>
              <c:f>SICA_adjusted!$P$1</c:f>
              <c:strCache>
                <c:ptCount val="1"/>
                <c:pt idx="0">
                  <c:v>EStemp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913357855134893"/>
                  <c:y val="0.164142259427254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SICA_adjusted!$L$2:$L$343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SICA_adjusted!$P$2:$P$343</c:f>
              <c:numCache>
                <c:formatCode>General</c:formatCode>
                <c:ptCount val="342"/>
                <c:pt idx="133">
                  <c:v>0.48698748698748695</c:v>
                </c:pt>
                <c:pt idx="134">
                  <c:v>0.42843642843642843</c:v>
                </c:pt>
                <c:pt idx="135">
                  <c:v>0.4558984558984559</c:v>
                </c:pt>
                <c:pt idx="136">
                  <c:v>0.41305241305241308</c:v>
                </c:pt>
                <c:pt idx="137">
                  <c:v>0.42921342921342925</c:v>
                </c:pt>
                <c:pt idx="138">
                  <c:v>0.46170346170346171</c:v>
                </c:pt>
                <c:pt idx="139">
                  <c:v>0.40313740313740315</c:v>
                </c:pt>
                <c:pt idx="140">
                  <c:v>0.40715440715440715</c:v>
                </c:pt>
                <c:pt idx="141">
                  <c:v>0.44755544755544752</c:v>
                </c:pt>
                <c:pt idx="142">
                  <c:v>0.47937647937647943</c:v>
                </c:pt>
                <c:pt idx="143">
                  <c:v>0.4563994563994565</c:v>
                </c:pt>
                <c:pt idx="144">
                  <c:v>0.45899145899145899</c:v>
                </c:pt>
                <c:pt idx="145">
                  <c:v>0.10250410250410251</c:v>
                </c:pt>
                <c:pt idx="146">
                  <c:v>6.3549063549063686E-2</c:v>
                </c:pt>
                <c:pt idx="147">
                  <c:v>4.2606042606042768E-2</c:v>
                </c:pt>
                <c:pt idx="148">
                  <c:v>0.12865212865212869</c:v>
                </c:pt>
                <c:pt idx="149">
                  <c:v>9.0783090783090853E-2</c:v>
                </c:pt>
                <c:pt idx="150">
                  <c:v>6.9741069741069778E-2</c:v>
                </c:pt>
                <c:pt idx="151">
                  <c:v>3.6132036132036249E-2</c:v>
                </c:pt>
                <c:pt idx="152">
                  <c:v>0.18434718434718436</c:v>
                </c:pt>
                <c:pt idx="153">
                  <c:v>3.4062034062034188E-2</c:v>
                </c:pt>
                <c:pt idx="154">
                  <c:v>0.10909510909510911</c:v>
                </c:pt>
                <c:pt idx="155">
                  <c:v>0.12196512196512205</c:v>
                </c:pt>
                <c:pt idx="156">
                  <c:v>9.5691095691095823E-2</c:v>
                </c:pt>
                <c:pt idx="157">
                  <c:v>0.1656691656691657</c:v>
                </c:pt>
                <c:pt idx="158">
                  <c:v>0.11066111066111066</c:v>
                </c:pt>
                <c:pt idx="159">
                  <c:v>8.7324087324087335E-2</c:v>
                </c:pt>
                <c:pt idx="160">
                  <c:v>0.13644313644313658</c:v>
                </c:pt>
                <c:pt idx="161">
                  <c:v>3.3822033822033824E-2</c:v>
                </c:pt>
                <c:pt idx="162">
                  <c:v>0.14568314568314578</c:v>
                </c:pt>
                <c:pt idx="163">
                  <c:v>8.9760089760089798E-2</c:v>
                </c:pt>
                <c:pt idx="164">
                  <c:v>0.13192213192213206</c:v>
                </c:pt>
                <c:pt idx="165">
                  <c:v>0.1171411171411172</c:v>
                </c:pt>
                <c:pt idx="166">
                  <c:v>9.7017097017097001E-2</c:v>
                </c:pt>
                <c:pt idx="167">
                  <c:v>0.1142911142911144</c:v>
                </c:pt>
                <c:pt idx="168">
                  <c:v>0.11204411204411208</c:v>
                </c:pt>
                <c:pt idx="169">
                  <c:v>0.12794112794112808</c:v>
                </c:pt>
                <c:pt idx="170">
                  <c:v>3.9654039654039706E-2</c:v>
                </c:pt>
                <c:pt idx="171">
                  <c:v>9.6456096456096582E-2</c:v>
                </c:pt>
                <c:pt idx="172">
                  <c:v>8.4594084594084698E-2</c:v>
                </c:pt>
                <c:pt idx="173">
                  <c:v>0.23499323499323502</c:v>
                </c:pt>
                <c:pt idx="174">
                  <c:v>0.10325710325710337</c:v>
                </c:pt>
                <c:pt idx="175">
                  <c:v>0.21282921282921294</c:v>
                </c:pt>
                <c:pt idx="176">
                  <c:v>0.12303012303012316</c:v>
                </c:pt>
                <c:pt idx="177">
                  <c:v>0.17189717189717199</c:v>
                </c:pt>
                <c:pt idx="178">
                  <c:v>0.1584421584421585</c:v>
                </c:pt>
                <c:pt idx="179">
                  <c:v>7.83060783060784E-2</c:v>
                </c:pt>
                <c:pt idx="180">
                  <c:v>0.11038811038811053</c:v>
                </c:pt>
                <c:pt idx="181">
                  <c:v>9.659109659109659E-2</c:v>
                </c:pt>
                <c:pt idx="182">
                  <c:v>0.17363417363417374</c:v>
                </c:pt>
                <c:pt idx="183">
                  <c:v>0.32979932979932991</c:v>
                </c:pt>
                <c:pt idx="184">
                  <c:v>0.31899931899931905</c:v>
                </c:pt>
                <c:pt idx="185">
                  <c:v>0.3282993282993284</c:v>
                </c:pt>
                <c:pt idx="186">
                  <c:v>0.21579921579921593</c:v>
                </c:pt>
                <c:pt idx="187">
                  <c:v>0.12459912459912463</c:v>
                </c:pt>
                <c:pt idx="188">
                  <c:v>0.29289929289929301</c:v>
                </c:pt>
                <c:pt idx="189">
                  <c:v>0.11949911949911957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36-4A7F-B753-8CF6AD6D37D2}"/>
            </c:ext>
          </c:extLst>
        </c:ser>
        <c:ser>
          <c:idx val="3"/>
          <c:order val="3"/>
          <c:tx>
            <c:strRef>
              <c:f>SICA_adjusted!$Q$1</c:f>
              <c:strCache>
                <c:ptCount val="1"/>
                <c:pt idx="0">
                  <c:v>ESMS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SICA_adjusted!$L$2:$L$343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SICA_adjusted!$Q$2:$Q$343</c:f>
              <c:numCache>
                <c:formatCode>General</c:formatCode>
                <c:ptCount val="342"/>
                <c:pt idx="190">
                  <c:v>0.25837825837825845</c:v>
                </c:pt>
                <c:pt idx="191">
                  <c:v>0.36250536250536258</c:v>
                </c:pt>
                <c:pt idx="192">
                  <c:v>0.22014622014622015</c:v>
                </c:pt>
                <c:pt idx="193">
                  <c:v>0.1317931317931319</c:v>
                </c:pt>
                <c:pt idx="194">
                  <c:v>0.16340416340416344</c:v>
                </c:pt>
                <c:pt idx="195">
                  <c:v>0.10337710337710337</c:v>
                </c:pt>
                <c:pt idx="196">
                  <c:v>0.22258222258222263</c:v>
                </c:pt>
                <c:pt idx="197">
                  <c:v>0.31978531978531982</c:v>
                </c:pt>
                <c:pt idx="198">
                  <c:v>0.20973620973620982</c:v>
                </c:pt>
                <c:pt idx="199">
                  <c:v>0.30717630717630728</c:v>
                </c:pt>
                <c:pt idx="200">
                  <c:v>0.27905127905127919</c:v>
                </c:pt>
                <c:pt idx="201">
                  <c:v>0.30697530697530706</c:v>
                </c:pt>
                <c:pt idx="202">
                  <c:v>0.13455913455913457</c:v>
                </c:pt>
                <c:pt idx="203">
                  <c:v>7.4910074910074981E-2</c:v>
                </c:pt>
                <c:pt idx="204">
                  <c:v>0.16990816990816995</c:v>
                </c:pt>
                <c:pt idx="205">
                  <c:v>0.26257226257226257</c:v>
                </c:pt>
                <c:pt idx="206">
                  <c:v>0.17667617667617683</c:v>
                </c:pt>
                <c:pt idx="207">
                  <c:v>0.33030033030033035</c:v>
                </c:pt>
                <c:pt idx="208">
                  <c:v>0.12861312861312871</c:v>
                </c:pt>
                <c:pt idx="209">
                  <c:v>0.11312111312111327</c:v>
                </c:pt>
                <c:pt idx="210">
                  <c:v>0.10810510810510818</c:v>
                </c:pt>
                <c:pt idx="211">
                  <c:v>0.17821217821217836</c:v>
                </c:pt>
                <c:pt idx="212">
                  <c:v>0.23441423441423451</c:v>
                </c:pt>
                <c:pt idx="213">
                  <c:v>0.22345222345222354</c:v>
                </c:pt>
                <c:pt idx="214">
                  <c:v>0.32388632388632399</c:v>
                </c:pt>
                <c:pt idx="215">
                  <c:v>0.14104214104214105</c:v>
                </c:pt>
                <c:pt idx="216">
                  <c:v>0.11504111504111514</c:v>
                </c:pt>
                <c:pt idx="217">
                  <c:v>0.20247320247320258</c:v>
                </c:pt>
                <c:pt idx="218">
                  <c:v>0.18697818697818702</c:v>
                </c:pt>
                <c:pt idx="219">
                  <c:v>0.13763113763113766</c:v>
                </c:pt>
                <c:pt idx="220">
                  <c:v>7.3737073737073749E-2</c:v>
                </c:pt>
                <c:pt idx="221">
                  <c:v>3.7203037203037234E-2</c:v>
                </c:pt>
                <c:pt idx="222">
                  <c:v>0.20415020415020416</c:v>
                </c:pt>
                <c:pt idx="223">
                  <c:v>0.19727719727719731</c:v>
                </c:pt>
                <c:pt idx="224">
                  <c:v>2.0073020073020163E-2</c:v>
                </c:pt>
                <c:pt idx="225">
                  <c:v>0.13100113100113109</c:v>
                </c:pt>
                <c:pt idx="226">
                  <c:v>0.20960420960420975</c:v>
                </c:pt>
                <c:pt idx="227">
                  <c:v>9.6078096078096101E-2</c:v>
                </c:pt>
                <c:pt idx="228">
                  <c:v>0.14110214110214123</c:v>
                </c:pt>
                <c:pt idx="229">
                  <c:v>1.4343014343014359E-2</c:v>
                </c:pt>
                <c:pt idx="230">
                  <c:v>0.13047913047913062</c:v>
                </c:pt>
                <c:pt idx="231">
                  <c:v>6.0534060534060692E-2</c:v>
                </c:pt>
                <c:pt idx="232">
                  <c:v>4.8807048807048822E-2</c:v>
                </c:pt>
                <c:pt idx="233">
                  <c:v>0.1012471012471013</c:v>
                </c:pt>
                <c:pt idx="234">
                  <c:v>0.10315210315210319</c:v>
                </c:pt>
                <c:pt idx="235">
                  <c:v>0.17132117132117139</c:v>
                </c:pt>
                <c:pt idx="236">
                  <c:v>0.15905415905415912</c:v>
                </c:pt>
                <c:pt idx="237">
                  <c:v>5.6358056358056359E-2</c:v>
                </c:pt>
                <c:pt idx="238">
                  <c:v>0.19703119703119709</c:v>
                </c:pt>
                <c:pt idx="239">
                  <c:v>0.15677415677415688</c:v>
                </c:pt>
                <c:pt idx="240">
                  <c:v>0.11691611691611702</c:v>
                </c:pt>
                <c:pt idx="241">
                  <c:v>0.14549114549114553</c:v>
                </c:pt>
                <c:pt idx="242">
                  <c:v>0.16092016092016104</c:v>
                </c:pt>
                <c:pt idx="243">
                  <c:v>0.12416112416112415</c:v>
                </c:pt>
                <c:pt idx="244">
                  <c:v>0.11270111270111272</c:v>
                </c:pt>
                <c:pt idx="245">
                  <c:v>0.14176814176814184</c:v>
                </c:pt>
                <c:pt idx="246">
                  <c:v>0.24393324393324403</c:v>
                </c:pt>
                <c:pt idx="247">
                  <c:v>7.855207855207863E-2</c:v>
                </c:pt>
                <c:pt idx="248">
                  <c:v>0.13231213231213243</c:v>
                </c:pt>
                <c:pt idx="249">
                  <c:v>8.1444081444081509E-2</c:v>
                </c:pt>
                <c:pt idx="250">
                  <c:v>0.19050319050319059</c:v>
                </c:pt>
                <c:pt idx="251">
                  <c:v>0.15411915411915425</c:v>
                </c:pt>
                <c:pt idx="252">
                  <c:v>0.27693627693627693</c:v>
                </c:pt>
                <c:pt idx="253">
                  <c:v>0.14572514572514586</c:v>
                </c:pt>
                <c:pt idx="254">
                  <c:v>0.10215010215010217</c:v>
                </c:pt>
                <c:pt idx="255">
                  <c:v>0.15085515085515092</c:v>
                </c:pt>
                <c:pt idx="256">
                  <c:v>0.1175791175791177</c:v>
                </c:pt>
                <c:pt idx="257">
                  <c:v>0.18104718104718118</c:v>
                </c:pt>
                <c:pt idx="258">
                  <c:v>7.0062070062070186E-2</c:v>
                </c:pt>
                <c:pt idx="259">
                  <c:v>7.4181074181074266E-2</c:v>
                </c:pt>
                <c:pt idx="260">
                  <c:v>0.14717714717714725</c:v>
                </c:pt>
                <c:pt idx="261">
                  <c:v>7.3629073629073644E-2</c:v>
                </c:pt>
                <c:pt idx="262">
                  <c:v>0.13739713739713749</c:v>
                </c:pt>
                <c:pt idx="263">
                  <c:v>8.94750894750896E-2</c:v>
                </c:pt>
                <c:pt idx="264">
                  <c:v>0.12066312066312067</c:v>
                </c:pt>
                <c:pt idx="265">
                  <c:v>0.2465672465672466</c:v>
                </c:pt>
                <c:pt idx="266">
                  <c:v>0.15322815322815328</c:v>
                </c:pt>
                <c:pt idx="267">
                  <c:v>0.26970926970926973</c:v>
                </c:pt>
                <c:pt idx="268">
                  <c:v>0.15381915381915387</c:v>
                </c:pt>
                <c:pt idx="269">
                  <c:v>0.25558525558525569</c:v>
                </c:pt>
                <c:pt idx="270">
                  <c:v>0.23082323082323089</c:v>
                </c:pt>
                <c:pt idx="271">
                  <c:v>0.20715320715320726</c:v>
                </c:pt>
                <c:pt idx="272">
                  <c:v>0.22769122769122782</c:v>
                </c:pt>
                <c:pt idx="273">
                  <c:v>0.22735822735822733</c:v>
                </c:pt>
                <c:pt idx="274">
                  <c:v>0.22098022098022105</c:v>
                </c:pt>
                <c:pt idx="275">
                  <c:v>0.23842223842223853</c:v>
                </c:pt>
                <c:pt idx="276">
                  <c:v>0.22718122718122727</c:v>
                </c:pt>
                <c:pt idx="277">
                  <c:v>0.2756972756972757</c:v>
                </c:pt>
                <c:pt idx="278">
                  <c:v>0.11672411672411676</c:v>
                </c:pt>
                <c:pt idx="279">
                  <c:v>0.11248811248811259</c:v>
                </c:pt>
                <c:pt idx="280">
                  <c:v>0.10500610500610502</c:v>
                </c:pt>
                <c:pt idx="281">
                  <c:v>6.7614067614067644E-2</c:v>
                </c:pt>
                <c:pt idx="282">
                  <c:v>9.0486090486090576E-2</c:v>
                </c:pt>
                <c:pt idx="283">
                  <c:v>9.0402090402090435E-2</c:v>
                </c:pt>
                <c:pt idx="284">
                  <c:v>0.14240414240414245</c:v>
                </c:pt>
                <c:pt idx="285">
                  <c:v>0.10371610371610372</c:v>
                </c:pt>
                <c:pt idx="286">
                  <c:v>8.8428088428088414E-2</c:v>
                </c:pt>
                <c:pt idx="287">
                  <c:v>9.7842097842097936E-2</c:v>
                </c:pt>
                <c:pt idx="288">
                  <c:v>0.20388920388920395</c:v>
                </c:pt>
                <c:pt idx="289">
                  <c:v>0.11933711933711949</c:v>
                </c:pt>
                <c:pt idx="290">
                  <c:v>0.14784014784014793</c:v>
                </c:pt>
                <c:pt idx="291">
                  <c:v>9.933009933009937E-2</c:v>
                </c:pt>
                <c:pt idx="292">
                  <c:v>6.1533061533061602E-2</c:v>
                </c:pt>
                <c:pt idx="293">
                  <c:v>5.2374052374052453E-2</c:v>
                </c:pt>
                <c:pt idx="294">
                  <c:v>0.11134211134211143</c:v>
                </c:pt>
                <c:pt idx="295">
                  <c:v>0.10250410250410251</c:v>
                </c:pt>
                <c:pt idx="296">
                  <c:v>0.18879918879918894</c:v>
                </c:pt>
                <c:pt idx="297">
                  <c:v>0.22381822381822394</c:v>
                </c:pt>
                <c:pt idx="298">
                  <c:v>0.18609018609018615</c:v>
                </c:pt>
                <c:pt idx="299">
                  <c:v>0.21418221418221417</c:v>
                </c:pt>
                <c:pt idx="300">
                  <c:v>7.2501072501072586E-2</c:v>
                </c:pt>
                <c:pt idx="301">
                  <c:v>2.9700029700043614E-4</c:v>
                </c:pt>
                <c:pt idx="302">
                  <c:v>4.6170046170047486E-3</c:v>
                </c:pt>
                <c:pt idx="303">
                  <c:v>0.15562515562515561</c:v>
                </c:pt>
                <c:pt idx="304">
                  <c:v>0.19969219969219973</c:v>
                </c:pt>
                <c:pt idx="305">
                  <c:v>0.12656412656412669</c:v>
                </c:pt>
                <c:pt idx="306">
                  <c:v>8.4090084090084172E-2</c:v>
                </c:pt>
                <c:pt idx="307">
                  <c:v>9.4743094743094794E-2</c:v>
                </c:pt>
                <c:pt idx="308">
                  <c:v>9.5298095298095353E-2</c:v>
                </c:pt>
                <c:pt idx="309">
                  <c:v>0</c:v>
                </c:pt>
                <c:pt idx="310">
                  <c:v>0.12028212028212043</c:v>
                </c:pt>
                <c:pt idx="311">
                  <c:v>0.21714321714321722</c:v>
                </c:pt>
                <c:pt idx="312">
                  <c:v>0.15693315693315701</c:v>
                </c:pt>
                <c:pt idx="313">
                  <c:v>0.22968922968922981</c:v>
                </c:pt>
                <c:pt idx="314">
                  <c:v>0.17288717288717292</c:v>
                </c:pt>
                <c:pt idx="315">
                  <c:v>0.21685821685821685</c:v>
                </c:pt>
                <c:pt idx="316">
                  <c:v>0.18166818166818177</c:v>
                </c:pt>
                <c:pt idx="317">
                  <c:v>0.18460218460218472</c:v>
                </c:pt>
                <c:pt idx="318">
                  <c:v>0.16716016716016724</c:v>
                </c:pt>
                <c:pt idx="319">
                  <c:v>0.18667518667518673</c:v>
                </c:pt>
                <c:pt idx="320">
                  <c:v>0.15051915051915052</c:v>
                </c:pt>
                <c:pt idx="321">
                  <c:v>0.1667881667881668</c:v>
                </c:pt>
                <c:pt idx="322">
                  <c:v>0.18057918057918068</c:v>
                </c:pt>
                <c:pt idx="323">
                  <c:v>0.16576516576516589</c:v>
                </c:pt>
                <c:pt idx="324">
                  <c:v>0.17192117192117196</c:v>
                </c:pt>
                <c:pt idx="325">
                  <c:v>0.14863514863514868</c:v>
                </c:pt>
                <c:pt idx="326">
                  <c:v>0.14769014769014774</c:v>
                </c:pt>
                <c:pt idx="327">
                  <c:v>0.1364881364881366</c:v>
                </c:pt>
                <c:pt idx="328">
                  <c:v>0.19389619389619389</c:v>
                </c:pt>
                <c:pt idx="329">
                  <c:v>0.17616017616017624</c:v>
                </c:pt>
                <c:pt idx="330">
                  <c:v>0.17464217464217463</c:v>
                </c:pt>
                <c:pt idx="331">
                  <c:v>0.18889218889218887</c:v>
                </c:pt>
                <c:pt idx="332">
                  <c:v>0.1958071958071958</c:v>
                </c:pt>
                <c:pt idx="333">
                  <c:v>4.8474048474048514E-2</c:v>
                </c:pt>
                <c:pt idx="334">
                  <c:v>0.18214518214518222</c:v>
                </c:pt>
                <c:pt idx="335">
                  <c:v>0.19021519021519029</c:v>
                </c:pt>
                <c:pt idx="336">
                  <c:v>0.26022326022326031</c:v>
                </c:pt>
                <c:pt idx="337">
                  <c:v>0.14310614310614325</c:v>
                </c:pt>
                <c:pt idx="338">
                  <c:v>0.22889722889722899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36-4A7F-B753-8CF6AD6D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3088"/>
        <c:axId val="672332608"/>
      </c:scatterChart>
      <c:valAx>
        <c:axId val="67233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2608"/>
        <c:crosses val="autoZero"/>
        <c:crossBetween val="midCat"/>
      </c:valAx>
      <c:valAx>
        <c:axId val="672332608"/>
        <c:scaling>
          <c:orientation val="minMax"/>
          <c:max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ES</a:t>
                </a:r>
              </a:p>
            </c:rich>
          </c:tx>
          <c:layout>
            <c:manualLayout>
              <c:xMode val="edge"/>
              <c:yMode val="edge"/>
              <c:x val="0.28419182948490229"/>
              <c:y val="3.24105803090319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01810231092338E-2"/>
          <c:y val="5.335647092196108E-2"/>
          <c:w val="0.90108930877423621"/>
          <c:h val="0.66159750871318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'SICA_adjusted (2)'!$N$1</c:f>
              <c:strCache>
                <c:ptCount val="1"/>
                <c:pt idx="0">
                  <c:v>Essingle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030564226808927E-3"/>
                  <c:y val="-0.266028504321794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'SICA_adjusted (2)'!$L$2:$L$343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'SICA_adjusted (2)'!$N$2:$N$343</c:f>
              <c:numCache>
                <c:formatCode>General</c:formatCode>
                <c:ptCount val="342"/>
                <c:pt idx="0">
                  <c:v>0.12800712800712813</c:v>
                </c:pt>
                <c:pt idx="1">
                  <c:v>7.9749079749079826E-2</c:v>
                </c:pt>
                <c:pt idx="2">
                  <c:v>0.16524016524016535</c:v>
                </c:pt>
                <c:pt idx="3">
                  <c:v>0.19913719913719918</c:v>
                </c:pt>
                <c:pt idx="4">
                  <c:v>2.1819021819021889E-2</c:v>
                </c:pt>
                <c:pt idx="5">
                  <c:v>0.17031617031617044</c:v>
                </c:pt>
                <c:pt idx="6">
                  <c:v>0.11291711291711294</c:v>
                </c:pt>
                <c:pt idx="7">
                  <c:v>3.7926037926038082E-2</c:v>
                </c:pt>
                <c:pt idx="8">
                  <c:v>0.15680415680415688</c:v>
                </c:pt>
                <c:pt idx="9">
                  <c:v>4.959004959005019E-3</c:v>
                </c:pt>
                <c:pt idx="10">
                  <c:v>0.16649416649416662</c:v>
                </c:pt>
                <c:pt idx="11">
                  <c:v>0.11266211266211275</c:v>
                </c:pt>
                <c:pt idx="12">
                  <c:v>5.2920052920053043E-2</c:v>
                </c:pt>
                <c:pt idx="13">
                  <c:v>2.2119022119022259E-2</c:v>
                </c:pt>
                <c:pt idx="14">
                  <c:v>7.5867075867075986E-2</c:v>
                </c:pt>
                <c:pt idx="15">
                  <c:v>0.11539511539511547</c:v>
                </c:pt>
                <c:pt idx="16">
                  <c:v>0.18041718041718044</c:v>
                </c:pt>
                <c:pt idx="17">
                  <c:v>2.3640023640023794E-2</c:v>
                </c:pt>
                <c:pt idx="18">
                  <c:v>0.18426918426918426</c:v>
                </c:pt>
                <c:pt idx="19">
                  <c:v>0.20885720885720893</c:v>
                </c:pt>
                <c:pt idx="20">
                  <c:v>0.1371691371691372</c:v>
                </c:pt>
                <c:pt idx="21">
                  <c:v>0.18929418929418931</c:v>
                </c:pt>
                <c:pt idx="22">
                  <c:v>0.13476613476613483</c:v>
                </c:pt>
                <c:pt idx="23">
                  <c:v>0.18343218343218343</c:v>
                </c:pt>
                <c:pt idx="24">
                  <c:v>0.17034317034317034</c:v>
                </c:pt>
                <c:pt idx="25">
                  <c:v>9.0012090012090068E-2</c:v>
                </c:pt>
                <c:pt idx="26">
                  <c:v>0.18559218559218568</c:v>
                </c:pt>
                <c:pt idx="27">
                  <c:v>0.12043512043512054</c:v>
                </c:pt>
                <c:pt idx="28">
                  <c:v>0.16009216009216018</c:v>
                </c:pt>
                <c:pt idx="29">
                  <c:v>6.7992067992068125E-2</c:v>
                </c:pt>
                <c:pt idx="30">
                  <c:v>0.11629211629211632</c:v>
                </c:pt>
                <c:pt idx="31">
                  <c:v>6.3222063222063252E-2</c:v>
                </c:pt>
                <c:pt idx="32">
                  <c:v>6.464406464406465E-2</c:v>
                </c:pt>
                <c:pt idx="33">
                  <c:v>0.12816612816612827</c:v>
                </c:pt>
                <c:pt idx="34">
                  <c:v>0.11077811077811091</c:v>
                </c:pt>
                <c:pt idx="35">
                  <c:v>6.9117069117069246E-2</c:v>
                </c:pt>
                <c:pt idx="36">
                  <c:v>8.5020085020085109E-2</c:v>
                </c:pt>
                <c:pt idx="37">
                  <c:v>0.11979311979311991</c:v>
                </c:pt>
                <c:pt idx="38">
                  <c:v>9.4314094314094446E-2</c:v>
                </c:pt>
                <c:pt idx="39">
                  <c:v>0.15705315705315703</c:v>
                </c:pt>
                <c:pt idx="40">
                  <c:v>7.9083079083079211E-2</c:v>
                </c:pt>
                <c:pt idx="41">
                  <c:v>9.0978090978091036E-2</c:v>
                </c:pt>
                <c:pt idx="42">
                  <c:v>0.13791013791013798</c:v>
                </c:pt>
                <c:pt idx="43">
                  <c:v>8.4546084546084588E-2</c:v>
                </c:pt>
                <c:pt idx="44">
                  <c:v>7.3362073362073385E-2</c:v>
                </c:pt>
                <c:pt idx="45">
                  <c:v>0.17003417003417018</c:v>
                </c:pt>
                <c:pt idx="46">
                  <c:v>9.7260097260097295E-2</c:v>
                </c:pt>
                <c:pt idx="47">
                  <c:v>0.14444114444114459</c:v>
                </c:pt>
                <c:pt idx="48">
                  <c:v>0.14603114603114609</c:v>
                </c:pt>
                <c:pt idx="49">
                  <c:v>0.12197412197412201</c:v>
                </c:pt>
                <c:pt idx="50">
                  <c:v>7.5276075276075397E-2</c:v>
                </c:pt>
                <c:pt idx="51">
                  <c:v>0.19237819237819245</c:v>
                </c:pt>
                <c:pt idx="52">
                  <c:v>0.22926922926922927</c:v>
                </c:pt>
                <c:pt idx="53">
                  <c:v>0.25654825654825658</c:v>
                </c:pt>
                <c:pt idx="54">
                  <c:v>0.21369021369021374</c:v>
                </c:pt>
                <c:pt idx="55">
                  <c:v>0.10111810111810116</c:v>
                </c:pt>
                <c:pt idx="56">
                  <c:v>3.3228033228033291E-2</c:v>
                </c:pt>
                <c:pt idx="57">
                  <c:v>0.1889131889131889</c:v>
                </c:pt>
                <c:pt idx="58">
                  <c:v>0.1218361218361219</c:v>
                </c:pt>
                <c:pt idx="59">
                  <c:v>9.9591099591099588E-2</c:v>
                </c:pt>
                <c:pt idx="60">
                  <c:v>0.17869517869517884</c:v>
                </c:pt>
                <c:pt idx="61">
                  <c:v>0.22195822195822207</c:v>
                </c:pt>
                <c:pt idx="62">
                  <c:v>0.20695520695520697</c:v>
                </c:pt>
                <c:pt idx="63">
                  <c:v>0.12630312630312629</c:v>
                </c:pt>
                <c:pt idx="64">
                  <c:v>0.1312471312471313</c:v>
                </c:pt>
                <c:pt idx="65">
                  <c:v>0.16843216843216843</c:v>
                </c:pt>
                <c:pt idx="66">
                  <c:v>0.19862119862119876</c:v>
                </c:pt>
                <c:pt idx="67">
                  <c:v>0.20203820203820202</c:v>
                </c:pt>
                <c:pt idx="68">
                  <c:v>0.21662721662721662</c:v>
                </c:pt>
                <c:pt idx="69">
                  <c:v>0.22974622974622988</c:v>
                </c:pt>
                <c:pt idx="70">
                  <c:v>0.21427221427221435</c:v>
                </c:pt>
                <c:pt idx="71">
                  <c:v>0.20742920742920751</c:v>
                </c:pt>
                <c:pt idx="72">
                  <c:v>0.24478524478524485</c:v>
                </c:pt>
                <c:pt idx="73">
                  <c:v>0.25155925155925157</c:v>
                </c:pt>
                <c:pt idx="74">
                  <c:v>0.16445416445416455</c:v>
                </c:pt>
                <c:pt idx="75">
                  <c:v>0.18346518346518353</c:v>
                </c:pt>
                <c:pt idx="76">
                  <c:v>0.17519717519717518</c:v>
                </c:pt>
                <c:pt idx="77">
                  <c:v>0.18216318216318217</c:v>
                </c:pt>
                <c:pt idx="78">
                  <c:v>0.17678417678417693</c:v>
                </c:pt>
                <c:pt idx="79">
                  <c:v>0.248886248886249</c:v>
                </c:pt>
                <c:pt idx="80">
                  <c:v>0.23805023805023809</c:v>
                </c:pt>
                <c:pt idx="81">
                  <c:v>7.0302070302070377E-2</c:v>
                </c:pt>
                <c:pt idx="82">
                  <c:v>7.7016077016077086E-2</c:v>
                </c:pt>
                <c:pt idx="83">
                  <c:v>0.15660015660015672</c:v>
                </c:pt>
                <c:pt idx="84">
                  <c:v>8.8863088863088968E-2</c:v>
                </c:pt>
                <c:pt idx="85">
                  <c:v>0.15013815013815027</c:v>
                </c:pt>
                <c:pt idx="86">
                  <c:v>0.19714519714519724</c:v>
                </c:pt>
                <c:pt idx="87">
                  <c:v>3.9420039420039549E-2</c:v>
                </c:pt>
                <c:pt idx="88">
                  <c:v>7.8120078120078179E-2</c:v>
                </c:pt>
                <c:pt idx="89">
                  <c:v>0.22653322653322658</c:v>
                </c:pt>
                <c:pt idx="90">
                  <c:v>0.17335217335217348</c:v>
                </c:pt>
                <c:pt idx="91">
                  <c:v>7.6245076245076301E-2</c:v>
                </c:pt>
                <c:pt idx="92">
                  <c:v>0.11988011988011998</c:v>
                </c:pt>
                <c:pt idx="93">
                  <c:v>9.9945099945100105E-2</c:v>
                </c:pt>
                <c:pt idx="94">
                  <c:v>2.6313026313026355E-2</c:v>
                </c:pt>
                <c:pt idx="95">
                  <c:v>0.11459711459711462</c:v>
                </c:pt>
                <c:pt idx="96">
                  <c:v>0.14822114822114832</c:v>
                </c:pt>
                <c:pt idx="97">
                  <c:v>0.11827211827211837</c:v>
                </c:pt>
                <c:pt idx="98">
                  <c:v>8.0295080295080423E-2</c:v>
                </c:pt>
                <c:pt idx="99">
                  <c:v>0.13963513963513968</c:v>
                </c:pt>
                <c:pt idx="100">
                  <c:v>9.0018090018090094E-2</c:v>
                </c:pt>
                <c:pt idx="101">
                  <c:v>6.7830067830067869E-2</c:v>
                </c:pt>
                <c:pt idx="102">
                  <c:v>0.12582012582012597</c:v>
                </c:pt>
                <c:pt idx="103">
                  <c:v>8.5638085638085781E-2</c:v>
                </c:pt>
                <c:pt idx="104">
                  <c:v>0.12505512505512506</c:v>
                </c:pt>
                <c:pt idx="105">
                  <c:v>0.11157611157611159</c:v>
                </c:pt>
                <c:pt idx="106">
                  <c:v>5.7864057864057891E-2</c:v>
                </c:pt>
                <c:pt idx="107">
                  <c:v>5.2425052425052486E-2</c:v>
                </c:pt>
                <c:pt idx="108">
                  <c:v>8.8752088752088759E-2</c:v>
                </c:pt>
                <c:pt idx="109">
                  <c:v>8.5953085953085984E-2</c:v>
                </c:pt>
                <c:pt idx="110">
                  <c:v>0.17851217851217854</c:v>
                </c:pt>
                <c:pt idx="111">
                  <c:v>9.2046092046092085E-2</c:v>
                </c:pt>
                <c:pt idx="112">
                  <c:v>0.22262722262722262</c:v>
                </c:pt>
                <c:pt idx="113">
                  <c:v>0.28587628587628594</c:v>
                </c:pt>
                <c:pt idx="114">
                  <c:v>0.36977136977136976</c:v>
                </c:pt>
                <c:pt idx="115">
                  <c:v>0.35826035826035829</c:v>
                </c:pt>
                <c:pt idx="116">
                  <c:v>0.30790230790230794</c:v>
                </c:pt>
                <c:pt idx="117">
                  <c:v>8.5824085824085836E-2</c:v>
                </c:pt>
                <c:pt idx="118">
                  <c:v>0.12098412098412106</c:v>
                </c:pt>
                <c:pt idx="119">
                  <c:v>0.205854205854206</c:v>
                </c:pt>
                <c:pt idx="120">
                  <c:v>0.17593517593517605</c:v>
                </c:pt>
                <c:pt idx="121">
                  <c:v>0.23281223281223293</c:v>
                </c:pt>
                <c:pt idx="122">
                  <c:v>0.1909771909771911</c:v>
                </c:pt>
                <c:pt idx="123">
                  <c:v>0.26901326901326916</c:v>
                </c:pt>
                <c:pt idx="124">
                  <c:v>0.14352014352014361</c:v>
                </c:pt>
                <c:pt idx="125">
                  <c:v>0.277023277023277</c:v>
                </c:pt>
                <c:pt idx="126">
                  <c:v>0.23099423099423111</c:v>
                </c:pt>
                <c:pt idx="127">
                  <c:v>0.21545121545121546</c:v>
                </c:pt>
                <c:pt idx="128">
                  <c:v>0.23685023685023696</c:v>
                </c:pt>
                <c:pt idx="129">
                  <c:v>0.24973524973524974</c:v>
                </c:pt>
                <c:pt idx="130">
                  <c:v>0.18558618558618564</c:v>
                </c:pt>
                <c:pt idx="131">
                  <c:v>0.28875328875328882</c:v>
                </c:pt>
                <c:pt idx="132">
                  <c:v>0.25128925128925139</c:v>
                </c:pt>
                <c:pt idx="133">
                  <c:v>0.48698748698748695</c:v>
                </c:pt>
                <c:pt idx="134">
                  <c:v>0.42843642843642843</c:v>
                </c:pt>
                <c:pt idx="135">
                  <c:v>0.4558984558984559</c:v>
                </c:pt>
                <c:pt idx="136">
                  <c:v>0.41305241305241308</c:v>
                </c:pt>
                <c:pt idx="137">
                  <c:v>0.42921342921342925</c:v>
                </c:pt>
                <c:pt idx="138">
                  <c:v>0.46170346170346171</c:v>
                </c:pt>
                <c:pt idx="139">
                  <c:v>0.40313740313740315</c:v>
                </c:pt>
                <c:pt idx="140">
                  <c:v>0.40715440715440715</c:v>
                </c:pt>
                <c:pt idx="141">
                  <c:v>0.44755544755544752</c:v>
                </c:pt>
                <c:pt idx="142">
                  <c:v>0.47937647937647943</c:v>
                </c:pt>
                <c:pt idx="143">
                  <c:v>0.4563994563994565</c:v>
                </c:pt>
                <c:pt idx="144">
                  <c:v>0.45899145899145899</c:v>
                </c:pt>
                <c:pt idx="145">
                  <c:v>0.10250410250410251</c:v>
                </c:pt>
                <c:pt idx="146">
                  <c:v>6.3549063549063686E-2</c:v>
                </c:pt>
                <c:pt idx="147">
                  <c:v>4.2606042606042768E-2</c:v>
                </c:pt>
                <c:pt idx="148">
                  <c:v>0.12865212865212869</c:v>
                </c:pt>
                <c:pt idx="149">
                  <c:v>9.0783090783090853E-2</c:v>
                </c:pt>
                <c:pt idx="150">
                  <c:v>6.9741069741069778E-2</c:v>
                </c:pt>
                <c:pt idx="151">
                  <c:v>3.6132036132036249E-2</c:v>
                </c:pt>
                <c:pt idx="152">
                  <c:v>0.18434718434718436</c:v>
                </c:pt>
                <c:pt idx="153">
                  <c:v>3.4062034062034188E-2</c:v>
                </c:pt>
                <c:pt idx="154">
                  <c:v>0.10909510909510911</c:v>
                </c:pt>
                <c:pt idx="155">
                  <c:v>0.12196512196512205</c:v>
                </c:pt>
                <c:pt idx="156">
                  <c:v>9.5691095691095823E-2</c:v>
                </c:pt>
                <c:pt idx="157">
                  <c:v>0.1656691656691657</c:v>
                </c:pt>
                <c:pt idx="158">
                  <c:v>0.11066111066111066</c:v>
                </c:pt>
                <c:pt idx="159">
                  <c:v>8.7324087324087335E-2</c:v>
                </c:pt>
                <c:pt idx="160">
                  <c:v>0.13644313644313658</c:v>
                </c:pt>
                <c:pt idx="161">
                  <c:v>3.3822033822033824E-2</c:v>
                </c:pt>
                <c:pt idx="162">
                  <c:v>0.14568314568314578</c:v>
                </c:pt>
                <c:pt idx="163">
                  <c:v>8.9760089760089798E-2</c:v>
                </c:pt>
                <c:pt idx="164">
                  <c:v>0.13192213192213206</c:v>
                </c:pt>
                <c:pt idx="165">
                  <c:v>0.1171411171411172</c:v>
                </c:pt>
                <c:pt idx="166">
                  <c:v>9.7017097017097001E-2</c:v>
                </c:pt>
                <c:pt idx="167">
                  <c:v>0.1142911142911144</c:v>
                </c:pt>
                <c:pt idx="168">
                  <c:v>0.11204411204411208</c:v>
                </c:pt>
                <c:pt idx="169">
                  <c:v>0.12794112794112808</c:v>
                </c:pt>
                <c:pt idx="170">
                  <c:v>3.9654039654039706E-2</c:v>
                </c:pt>
                <c:pt idx="171">
                  <c:v>9.6456096456096582E-2</c:v>
                </c:pt>
                <c:pt idx="172">
                  <c:v>8.4594084594084698E-2</c:v>
                </c:pt>
                <c:pt idx="173">
                  <c:v>0.23499323499323502</c:v>
                </c:pt>
                <c:pt idx="174">
                  <c:v>0.10325710325710337</c:v>
                </c:pt>
                <c:pt idx="175">
                  <c:v>0.21282921282921294</c:v>
                </c:pt>
                <c:pt idx="176">
                  <c:v>0.12303012303012316</c:v>
                </c:pt>
                <c:pt idx="177">
                  <c:v>0.17189717189717199</c:v>
                </c:pt>
                <c:pt idx="178">
                  <c:v>0.1584421584421585</c:v>
                </c:pt>
                <c:pt idx="179">
                  <c:v>7.83060783060784E-2</c:v>
                </c:pt>
                <c:pt idx="180">
                  <c:v>0.11038811038811053</c:v>
                </c:pt>
                <c:pt idx="181">
                  <c:v>9.659109659109659E-2</c:v>
                </c:pt>
                <c:pt idx="182">
                  <c:v>0.17363417363417374</c:v>
                </c:pt>
                <c:pt idx="183">
                  <c:v>0.32979932979932991</c:v>
                </c:pt>
                <c:pt idx="184">
                  <c:v>0.31899931899931905</c:v>
                </c:pt>
                <c:pt idx="185">
                  <c:v>0.3282993282993284</c:v>
                </c:pt>
                <c:pt idx="186">
                  <c:v>0.21579921579921593</c:v>
                </c:pt>
                <c:pt idx="187">
                  <c:v>0.12459912459912463</c:v>
                </c:pt>
                <c:pt idx="188">
                  <c:v>0.29289929289929301</c:v>
                </c:pt>
                <c:pt idx="189">
                  <c:v>0.11949911949911957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05-41E8-A5B3-522593C01396}"/>
            </c:ext>
          </c:extLst>
        </c:ser>
        <c:ser>
          <c:idx val="1"/>
          <c:order val="1"/>
          <c:tx>
            <c:strRef>
              <c:f>'SICA_adjusted (2)'!$O$1</c:f>
              <c:strCache>
                <c:ptCount val="1"/>
                <c:pt idx="0">
                  <c:v>ESMS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4083772072869591E-2"/>
                  <c:y val="-0.367631393676438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D8C1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'SICA_adjusted (2)'!$L$2:$L$343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'SICA_adjusted (2)'!$O$2:$O$343</c:f>
              <c:numCache>
                <c:formatCode>General</c:formatCode>
                <c:ptCount val="342"/>
                <c:pt idx="190">
                  <c:v>0.25837825837825845</c:v>
                </c:pt>
                <c:pt idx="191">
                  <c:v>0.36250536250536258</c:v>
                </c:pt>
                <c:pt idx="192">
                  <c:v>0.22014622014622015</c:v>
                </c:pt>
                <c:pt idx="193">
                  <c:v>0.1317931317931319</c:v>
                </c:pt>
                <c:pt idx="194">
                  <c:v>0.16340416340416344</c:v>
                </c:pt>
                <c:pt idx="195">
                  <c:v>0.10337710337710337</c:v>
                </c:pt>
                <c:pt idx="196">
                  <c:v>0.22258222258222263</c:v>
                </c:pt>
                <c:pt idx="197">
                  <c:v>0.31978531978531982</c:v>
                </c:pt>
                <c:pt idx="198">
                  <c:v>0.20973620973620982</c:v>
                </c:pt>
                <c:pt idx="199">
                  <c:v>0.30717630717630728</c:v>
                </c:pt>
                <c:pt idx="200">
                  <c:v>0.27905127905127919</c:v>
                </c:pt>
                <c:pt idx="201">
                  <c:v>0.30697530697530706</c:v>
                </c:pt>
                <c:pt idx="202">
                  <c:v>0.13455913455913457</c:v>
                </c:pt>
                <c:pt idx="203">
                  <c:v>7.4910074910074981E-2</c:v>
                </c:pt>
                <c:pt idx="204">
                  <c:v>0.16990816990816995</c:v>
                </c:pt>
                <c:pt idx="205">
                  <c:v>0.26257226257226257</c:v>
                </c:pt>
                <c:pt idx="206">
                  <c:v>0.17667617667617683</c:v>
                </c:pt>
                <c:pt idx="207">
                  <c:v>0.33030033030033035</c:v>
                </c:pt>
                <c:pt idx="208">
                  <c:v>0.12861312861312871</c:v>
                </c:pt>
                <c:pt idx="209">
                  <c:v>0.11312111312111327</c:v>
                </c:pt>
                <c:pt idx="210">
                  <c:v>0.10810510810510818</c:v>
                </c:pt>
                <c:pt idx="211">
                  <c:v>0.17821217821217836</c:v>
                </c:pt>
                <c:pt idx="212">
                  <c:v>0.23441423441423451</c:v>
                </c:pt>
                <c:pt idx="213">
                  <c:v>0.22345222345222354</c:v>
                </c:pt>
                <c:pt idx="214">
                  <c:v>0.32388632388632399</c:v>
                </c:pt>
                <c:pt idx="215">
                  <c:v>0.14104214104214105</c:v>
                </c:pt>
                <c:pt idx="216">
                  <c:v>0.11504111504111514</c:v>
                </c:pt>
                <c:pt idx="217">
                  <c:v>0.20247320247320258</c:v>
                </c:pt>
                <c:pt idx="218">
                  <c:v>0.18697818697818702</c:v>
                </c:pt>
                <c:pt idx="219">
                  <c:v>0.13763113763113766</c:v>
                </c:pt>
                <c:pt idx="220">
                  <c:v>7.3737073737073749E-2</c:v>
                </c:pt>
                <c:pt idx="221">
                  <c:v>3.7203037203037234E-2</c:v>
                </c:pt>
                <c:pt idx="222">
                  <c:v>0.20415020415020416</c:v>
                </c:pt>
                <c:pt idx="223">
                  <c:v>0.19727719727719731</c:v>
                </c:pt>
                <c:pt idx="224">
                  <c:v>2.0073020073020163E-2</c:v>
                </c:pt>
                <c:pt idx="225">
                  <c:v>0.13100113100113109</c:v>
                </c:pt>
                <c:pt idx="226">
                  <c:v>0.20960420960420975</c:v>
                </c:pt>
                <c:pt idx="227">
                  <c:v>9.6078096078096101E-2</c:v>
                </c:pt>
                <c:pt idx="228">
                  <c:v>0.14110214110214123</c:v>
                </c:pt>
                <c:pt idx="229">
                  <c:v>1.4343014343014359E-2</c:v>
                </c:pt>
                <c:pt idx="230">
                  <c:v>0.13047913047913062</c:v>
                </c:pt>
                <c:pt idx="231">
                  <c:v>6.0534060534060692E-2</c:v>
                </c:pt>
                <c:pt idx="232">
                  <c:v>4.8807048807048822E-2</c:v>
                </c:pt>
                <c:pt idx="233">
                  <c:v>0.1012471012471013</c:v>
                </c:pt>
                <c:pt idx="234">
                  <c:v>0.10315210315210319</c:v>
                </c:pt>
                <c:pt idx="235">
                  <c:v>0.17132117132117139</c:v>
                </c:pt>
                <c:pt idx="236">
                  <c:v>0.15905415905415912</c:v>
                </c:pt>
                <c:pt idx="237">
                  <c:v>5.6358056358056359E-2</c:v>
                </c:pt>
                <c:pt idx="238">
                  <c:v>0.19703119703119709</c:v>
                </c:pt>
                <c:pt idx="239">
                  <c:v>0.15677415677415688</c:v>
                </c:pt>
                <c:pt idx="240">
                  <c:v>0.11691611691611702</c:v>
                </c:pt>
                <c:pt idx="241">
                  <c:v>0.14549114549114553</c:v>
                </c:pt>
                <c:pt idx="242">
                  <c:v>0.16092016092016104</c:v>
                </c:pt>
                <c:pt idx="243">
                  <c:v>0.12416112416112415</c:v>
                </c:pt>
                <c:pt idx="244">
                  <c:v>0.11270111270111272</c:v>
                </c:pt>
                <c:pt idx="245">
                  <c:v>0.14176814176814184</c:v>
                </c:pt>
                <c:pt idx="246">
                  <c:v>0.24393324393324403</c:v>
                </c:pt>
                <c:pt idx="247">
                  <c:v>7.855207855207863E-2</c:v>
                </c:pt>
                <c:pt idx="248">
                  <c:v>0.13231213231213243</c:v>
                </c:pt>
                <c:pt idx="249">
                  <c:v>8.1444081444081509E-2</c:v>
                </c:pt>
                <c:pt idx="250">
                  <c:v>0.19050319050319059</c:v>
                </c:pt>
                <c:pt idx="251">
                  <c:v>0.15411915411915425</c:v>
                </c:pt>
                <c:pt idx="252">
                  <c:v>0.27693627693627693</c:v>
                </c:pt>
                <c:pt idx="253">
                  <c:v>0.14572514572514586</c:v>
                </c:pt>
                <c:pt idx="254">
                  <c:v>0.10215010215010217</c:v>
                </c:pt>
                <c:pt idx="255">
                  <c:v>0.15085515085515092</c:v>
                </c:pt>
                <c:pt idx="256">
                  <c:v>0.1175791175791177</c:v>
                </c:pt>
                <c:pt idx="257">
                  <c:v>0.18104718104718118</c:v>
                </c:pt>
                <c:pt idx="258">
                  <c:v>7.0062070062070186E-2</c:v>
                </c:pt>
                <c:pt idx="259">
                  <c:v>7.4181074181074266E-2</c:v>
                </c:pt>
                <c:pt idx="260">
                  <c:v>0.14717714717714725</c:v>
                </c:pt>
                <c:pt idx="261">
                  <c:v>7.3629073629073644E-2</c:v>
                </c:pt>
                <c:pt idx="262">
                  <c:v>0.13739713739713749</c:v>
                </c:pt>
                <c:pt idx="263">
                  <c:v>8.94750894750896E-2</c:v>
                </c:pt>
                <c:pt idx="264">
                  <c:v>0.12066312066312067</c:v>
                </c:pt>
                <c:pt idx="265">
                  <c:v>0.2465672465672466</c:v>
                </c:pt>
                <c:pt idx="266">
                  <c:v>0.15322815322815328</c:v>
                </c:pt>
                <c:pt idx="267">
                  <c:v>0.26970926970926973</c:v>
                </c:pt>
                <c:pt idx="268">
                  <c:v>0.15381915381915387</c:v>
                </c:pt>
                <c:pt idx="269">
                  <c:v>0.25558525558525569</c:v>
                </c:pt>
                <c:pt idx="270">
                  <c:v>0.23082323082323089</c:v>
                </c:pt>
                <c:pt idx="271">
                  <c:v>0.20715320715320726</c:v>
                </c:pt>
                <c:pt idx="272">
                  <c:v>0.22769122769122782</c:v>
                </c:pt>
                <c:pt idx="273">
                  <c:v>0.22735822735822733</c:v>
                </c:pt>
                <c:pt idx="274">
                  <c:v>0.22098022098022105</c:v>
                </c:pt>
                <c:pt idx="275">
                  <c:v>0.23842223842223853</c:v>
                </c:pt>
                <c:pt idx="276">
                  <c:v>0.22718122718122727</c:v>
                </c:pt>
                <c:pt idx="277">
                  <c:v>0.2756972756972757</c:v>
                </c:pt>
                <c:pt idx="278">
                  <c:v>0.11672411672411676</c:v>
                </c:pt>
                <c:pt idx="279">
                  <c:v>0.11248811248811259</c:v>
                </c:pt>
                <c:pt idx="280">
                  <c:v>0.10500610500610502</c:v>
                </c:pt>
                <c:pt idx="281">
                  <c:v>6.7614067614067644E-2</c:v>
                </c:pt>
                <c:pt idx="282">
                  <c:v>9.0486090486090576E-2</c:v>
                </c:pt>
                <c:pt idx="283">
                  <c:v>9.0402090402090435E-2</c:v>
                </c:pt>
                <c:pt idx="284">
                  <c:v>0.14240414240414245</c:v>
                </c:pt>
                <c:pt idx="285">
                  <c:v>0.10371610371610372</c:v>
                </c:pt>
                <c:pt idx="286">
                  <c:v>8.8428088428088414E-2</c:v>
                </c:pt>
                <c:pt idx="287">
                  <c:v>9.7842097842097936E-2</c:v>
                </c:pt>
                <c:pt idx="288">
                  <c:v>0.20388920388920395</c:v>
                </c:pt>
                <c:pt idx="289">
                  <c:v>0.11933711933711949</c:v>
                </c:pt>
                <c:pt idx="290">
                  <c:v>0.14784014784014793</c:v>
                </c:pt>
                <c:pt idx="291">
                  <c:v>9.933009933009937E-2</c:v>
                </c:pt>
                <c:pt idx="292">
                  <c:v>6.1533061533061602E-2</c:v>
                </c:pt>
                <c:pt idx="293">
                  <c:v>5.2374052374052453E-2</c:v>
                </c:pt>
                <c:pt idx="294">
                  <c:v>0.11134211134211143</c:v>
                </c:pt>
                <c:pt idx="295">
                  <c:v>0.10250410250410251</c:v>
                </c:pt>
                <c:pt idx="296">
                  <c:v>0.18879918879918894</c:v>
                </c:pt>
                <c:pt idx="297">
                  <c:v>0.22381822381822394</c:v>
                </c:pt>
                <c:pt idx="298">
                  <c:v>0.18609018609018615</c:v>
                </c:pt>
                <c:pt idx="299">
                  <c:v>0.21418221418221417</c:v>
                </c:pt>
                <c:pt idx="300">
                  <c:v>7.2501072501072586E-2</c:v>
                </c:pt>
                <c:pt idx="301">
                  <c:v>2.9700029700043614E-4</c:v>
                </c:pt>
                <c:pt idx="302">
                  <c:v>4.6170046170047486E-3</c:v>
                </c:pt>
                <c:pt idx="303">
                  <c:v>0.15562515562515561</c:v>
                </c:pt>
                <c:pt idx="304">
                  <c:v>0.19969219969219973</c:v>
                </c:pt>
                <c:pt idx="305">
                  <c:v>0.12656412656412669</c:v>
                </c:pt>
                <c:pt idx="306">
                  <c:v>8.4090084090084172E-2</c:v>
                </c:pt>
                <c:pt idx="307">
                  <c:v>9.4743094743094794E-2</c:v>
                </c:pt>
                <c:pt idx="308">
                  <c:v>9.5298095298095353E-2</c:v>
                </c:pt>
                <c:pt idx="309">
                  <c:v>0</c:v>
                </c:pt>
                <c:pt idx="310">
                  <c:v>0.12028212028212043</c:v>
                </c:pt>
                <c:pt idx="311">
                  <c:v>0.21714321714321722</c:v>
                </c:pt>
                <c:pt idx="312">
                  <c:v>0.15693315693315701</c:v>
                </c:pt>
                <c:pt idx="313">
                  <c:v>0.22968922968922981</c:v>
                </c:pt>
                <c:pt idx="314">
                  <c:v>0.17288717288717292</c:v>
                </c:pt>
                <c:pt idx="315">
                  <c:v>0.21685821685821685</c:v>
                </c:pt>
                <c:pt idx="316">
                  <c:v>0.18166818166818177</c:v>
                </c:pt>
                <c:pt idx="317">
                  <c:v>0.18460218460218472</c:v>
                </c:pt>
                <c:pt idx="318">
                  <c:v>0.16716016716016724</c:v>
                </c:pt>
                <c:pt idx="319">
                  <c:v>0.18667518667518673</c:v>
                </c:pt>
                <c:pt idx="320">
                  <c:v>0.15051915051915052</c:v>
                </c:pt>
                <c:pt idx="321">
                  <c:v>0.1667881667881668</c:v>
                </c:pt>
                <c:pt idx="322">
                  <c:v>0.18057918057918068</c:v>
                </c:pt>
                <c:pt idx="323">
                  <c:v>0.16576516576516589</c:v>
                </c:pt>
                <c:pt idx="324">
                  <c:v>0.17192117192117196</c:v>
                </c:pt>
                <c:pt idx="325">
                  <c:v>0.14863514863514868</c:v>
                </c:pt>
                <c:pt idx="326">
                  <c:v>0.14769014769014774</c:v>
                </c:pt>
                <c:pt idx="327">
                  <c:v>0.1364881364881366</c:v>
                </c:pt>
                <c:pt idx="328">
                  <c:v>0.19389619389619389</c:v>
                </c:pt>
                <c:pt idx="329">
                  <c:v>0.17616017616017624</c:v>
                </c:pt>
                <c:pt idx="330">
                  <c:v>0.17464217464217463</c:v>
                </c:pt>
                <c:pt idx="331">
                  <c:v>0.18889218889218887</c:v>
                </c:pt>
                <c:pt idx="332">
                  <c:v>0.1958071958071958</c:v>
                </c:pt>
                <c:pt idx="333">
                  <c:v>4.8474048474048514E-2</c:v>
                </c:pt>
                <c:pt idx="334">
                  <c:v>0.18214518214518222</c:v>
                </c:pt>
                <c:pt idx="335">
                  <c:v>0.19021519021519029</c:v>
                </c:pt>
                <c:pt idx="336">
                  <c:v>0.26022326022326031</c:v>
                </c:pt>
                <c:pt idx="337">
                  <c:v>0.14310614310614325</c:v>
                </c:pt>
                <c:pt idx="338">
                  <c:v>0.22889722889722899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05-41E8-A5B3-522593C0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3088"/>
        <c:axId val="672332608"/>
      </c:scatterChart>
      <c:valAx>
        <c:axId val="67233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2608"/>
        <c:crosses val="autoZero"/>
        <c:crossBetween val="midCat"/>
      </c:valAx>
      <c:valAx>
        <c:axId val="672332608"/>
        <c:scaling>
          <c:orientation val="minMax"/>
          <c:max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ES</a:t>
                </a:r>
              </a:p>
            </c:rich>
          </c:tx>
          <c:layout>
            <c:manualLayout>
              <c:xMode val="edge"/>
              <c:yMode val="edge"/>
              <c:x val="0.28419182948490229"/>
              <c:y val="3.24105803090319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Lithium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4964370078740158"/>
                  <c:y val="-0.235173895945933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'Performance curves'!$E$2:$E$82</c:f>
              <c:numCache>
                <c:formatCode>General</c:formatCode>
                <c:ptCount val="81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0.19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</c:numCache>
            </c:numRef>
          </c:xVal>
          <c:yVal>
            <c:numRef>
              <c:f>'Performance curves'!$G$2:$G$82</c:f>
              <c:numCache>
                <c:formatCode>General</c:formatCode>
                <c:ptCount val="81"/>
                <c:pt idx="0">
                  <c:v>0.12800712800712813</c:v>
                </c:pt>
                <c:pt idx="1">
                  <c:v>7.9749079749079826E-2</c:v>
                </c:pt>
                <c:pt idx="2">
                  <c:v>0.16524016524016535</c:v>
                </c:pt>
                <c:pt idx="3">
                  <c:v>0.19913719913719918</c:v>
                </c:pt>
                <c:pt idx="4">
                  <c:v>2.1819021819021889E-2</c:v>
                </c:pt>
                <c:pt idx="5">
                  <c:v>0.17031617031617044</c:v>
                </c:pt>
                <c:pt idx="6">
                  <c:v>0.11291711291711294</c:v>
                </c:pt>
                <c:pt idx="7">
                  <c:v>3.7926037926038082E-2</c:v>
                </c:pt>
                <c:pt idx="8">
                  <c:v>0.15680415680415688</c:v>
                </c:pt>
                <c:pt idx="9">
                  <c:v>4.959004959005019E-3</c:v>
                </c:pt>
                <c:pt idx="10">
                  <c:v>0.16649416649416662</c:v>
                </c:pt>
                <c:pt idx="11">
                  <c:v>0.11266211266211275</c:v>
                </c:pt>
                <c:pt idx="12">
                  <c:v>5.2920052920053043E-2</c:v>
                </c:pt>
                <c:pt idx="13">
                  <c:v>2.2119022119022259E-2</c:v>
                </c:pt>
                <c:pt idx="14">
                  <c:v>7.5867075867075986E-2</c:v>
                </c:pt>
                <c:pt idx="15">
                  <c:v>0.11539511539511547</c:v>
                </c:pt>
                <c:pt idx="16">
                  <c:v>0.18041718041718044</c:v>
                </c:pt>
                <c:pt idx="17">
                  <c:v>2.3640023640023794E-2</c:v>
                </c:pt>
                <c:pt idx="18">
                  <c:v>0.18426918426918426</c:v>
                </c:pt>
                <c:pt idx="19">
                  <c:v>0.20885720885720893</c:v>
                </c:pt>
                <c:pt idx="20">
                  <c:v>0.1371691371691372</c:v>
                </c:pt>
                <c:pt idx="21">
                  <c:v>0.18929418929418931</c:v>
                </c:pt>
                <c:pt idx="22">
                  <c:v>0.13476613476613483</c:v>
                </c:pt>
                <c:pt idx="23">
                  <c:v>0.18343218343218343</c:v>
                </c:pt>
                <c:pt idx="24">
                  <c:v>0.17034317034317034</c:v>
                </c:pt>
                <c:pt idx="25">
                  <c:v>9.0012090012090068E-2</c:v>
                </c:pt>
                <c:pt idx="26">
                  <c:v>0.18559218559218568</c:v>
                </c:pt>
                <c:pt idx="27">
                  <c:v>0.12043512043512054</c:v>
                </c:pt>
                <c:pt idx="28">
                  <c:v>0.16009216009216018</c:v>
                </c:pt>
                <c:pt idx="29">
                  <c:v>6.7992067992068125E-2</c:v>
                </c:pt>
                <c:pt idx="30">
                  <c:v>0.11629211629211632</c:v>
                </c:pt>
                <c:pt idx="31">
                  <c:v>6.3222063222063252E-2</c:v>
                </c:pt>
                <c:pt idx="32">
                  <c:v>6.464406464406465E-2</c:v>
                </c:pt>
                <c:pt idx="33">
                  <c:v>0.12816612816612827</c:v>
                </c:pt>
                <c:pt idx="34">
                  <c:v>0.11077811077811091</c:v>
                </c:pt>
                <c:pt idx="35">
                  <c:v>6.9117069117069246E-2</c:v>
                </c:pt>
                <c:pt idx="36">
                  <c:v>8.5020085020085109E-2</c:v>
                </c:pt>
                <c:pt idx="37">
                  <c:v>0.11979311979311991</c:v>
                </c:pt>
                <c:pt idx="38">
                  <c:v>9.4314094314094446E-2</c:v>
                </c:pt>
                <c:pt idx="39">
                  <c:v>0.15705315705315703</c:v>
                </c:pt>
                <c:pt idx="40">
                  <c:v>7.9083079083079211E-2</c:v>
                </c:pt>
                <c:pt idx="41">
                  <c:v>9.0978090978091036E-2</c:v>
                </c:pt>
                <c:pt idx="42">
                  <c:v>0.13791013791013798</c:v>
                </c:pt>
                <c:pt idx="43">
                  <c:v>8.4546084546084588E-2</c:v>
                </c:pt>
                <c:pt idx="44">
                  <c:v>7.3362073362073385E-2</c:v>
                </c:pt>
                <c:pt idx="45">
                  <c:v>0.17003417003417018</c:v>
                </c:pt>
                <c:pt idx="46">
                  <c:v>9.7260097260097295E-2</c:v>
                </c:pt>
                <c:pt idx="47">
                  <c:v>0.14444114444114459</c:v>
                </c:pt>
                <c:pt idx="48">
                  <c:v>0.14603114603114609</c:v>
                </c:pt>
                <c:pt idx="49">
                  <c:v>0.12197412197412201</c:v>
                </c:pt>
                <c:pt idx="50">
                  <c:v>7.5276075276075397E-2</c:v>
                </c:pt>
                <c:pt idx="51">
                  <c:v>0.19237819237819245</c:v>
                </c:pt>
                <c:pt idx="52">
                  <c:v>0.22926922926922927</c:v>
                </c:pt>
                <c:pt idx="53">
                  <c:v>0.25654825654825658</c:v>
                </c:pt>
                <c:pt idx="54">
                  <c:v>0.21369021369021374</c:v>
                </c:pt>
                <c:pt idx="55">
                  <c:v>0.10111810111810116</c:v>
                </c:pt>
                <c:pt idx="56">
                  <c:v>3.3228033228033291E-2</c:v>
                </c:pt>
                <c:pt idx="57">
                  <c:v>0.1889131889131889</c:v>
                </c:pt>
                <c:pt idx="58">
                  <c:v>0.1218361218361219</c:v>
                </c:pt>
                <c:pt idx="59">
                  <c:v>9.9591099591099588E-2</c:v>
                </c:pt>
                <c:pt idx="60">
                  <c:v>0.17869517869517884</c:v>
                </c:pt>
                <c:pt idx="61">
                  <c:v>0.22195822195822207</c:v>
                </c:pt>
                <c:pt idx="62">
                  <c:v>0.20695520695520697</c:v>
                </c:pt>
                <c:pt idx="63">
                  <c:v>0.12630312630312629</c:v>
                </c:pt>
                <c:pt idx="64">
                  <c:v>0.1312471312471313</c:v>
                </c:pt>
                <c:pt idx="65">
                  <c:v>0.16843216843216843</c:v>
                </c:pt>
                <c:pt idx="66">
                  <c:v>0.19862119862119876</c:v>
                </c:pt>
                <c:pt idx="67">
                  <c:v>0.20203820203820202</c:v>
                </c:pt>
                <c:pt idx="68">
                  <c:v>0.21662721662721662</c:v>
                </c:pt>
                <c:pt idx="69">
                  <c:v>0.22974622974622988</c:v>
                </c:pt>
                <c:pt idx="70">
                  <c:v>0.21427221427221435</c:v>
                </c:pt>
                <c:pt idx="71">
                  <c:v>0.20742920742920751</c:v>
                </c:pt>
                <c:pt idx="72">
                  <c:v>0.24478524478524485</c:v>
                </c:pt>
                <c:pt idx="73">
                  <c:v>0.25155925155925157</c:v>
                </c:pt>
                <c:pt idx="74">
                  <c:v>0.16445416445416455</c:v>
                </c:pt>
                <c:pt idx="75">
                  <c:v>0.18346518346518353</c:v>
                </c:pt>
                <c:pt idx="76">
                  <c:v>0.17519717519717518</c:v>
                </c:pt>
                <c:pt idx="77">
                  <c:v>0.18216318216318217</c:v>
                </c:pt>
                <c:pt idx="78">
                  <c:v>0.17678417678417693</c:v>
                </c:pt>
                <c:pt idx="79">
                  <c:v>0.248886248886249</c:v>
                </c:pt>
                <c:pt idx="80">
                  <c:v>0.23805023805023809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F-4067-B0D8-B608357B4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925328"/>
        <c:axId val="774922928"/>
      </c:scatterChart>
      <c:valAx>
        <c:axId val="77492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4922928"/>
        <c:crosses val="autoZero"/>
        <c:crossBetween val="midCat"/>
      </c:valAx>
      <c:valAx>
        <c:axId val="77492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492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519501312335958"/>
                  <c:y val="-0.416488298591446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'Performance curves'!$D$83:$D$134</c:f>
              <c:numCache>
                <c:formatCode>General</c:formatCode>
                <c:ptCount val="52"/>
                <c:pt idx="0">
                  <c:v>7.9872908913822096</c:v>
                </c:pt>
                <c:pt idx="1">
                  <c:v>7.9872908913822096</c:v>
                </c:pt>
                <c:pt idx="2">
                  <c:v>7.9872908913822096</c:v>
                </c:pt>
                <c:pt idx="3">
                  <c:v>7.9872908913822096</c:v>
                </c:pt>
                <c:pt idx="4">
                  <c:v>7.9872908913822096</c:v>
                </c:pt>
                <c:pt idx="5">
                  <c:v>7.9872908913822096</c:v>
                </c:pt>
                <c:pt idx="6">
                  <c:v>7.9872908913822096</c:v>
                </c:pt>
                <c:pt idx="7">
                  <c:v>7.9872908913822096</c:v>
                </c:pt>
                <c:pt idx="8">
                  <c:v>7.9872908913822096</c:v>
                </c:pt>
                <c:pt idx="9">
                  <c:v>7.9872908913822096</c:v>
                </c:pt>
                <c:pt idx="10">
                  <c:v>7.9872908913822096</c:v>
                </c:pt>
                <c:pt idx="11">
                  <c:v>7.8924872150869803</c:v>
                </c:pt>
                <c:pt idx="12">
                  <c:v>7.8924872150869803</c:v>
                </c:pt>
                <c:pt idx="13">
                  <c:v>7.8924872150869803</c:v>
                </c:pt>
                <c:pt idx="14">
                  <c:v>7.8924872150869803</c:v>
                </c:pt>
                <c:pt idx="15">
                  <c:v>7.8924872150869803</c:v>
                </c:pt>
                <c:pt idx="16">
                  <c:v>7.8924872150869803</c:v>
                </c:pt>
                <c:pt idx="17">
                  <c:v>7.8924872150869803</c:v>
                </c:pt>
                <c:pt idx="18">
                  <c:v>7.8924872150869803</c:v>
                </c:pt>
                <c:pt idx="19">
                  <c:v>7.76297965907691</c:v>
                </c:pt>
                <c:pt idx="20">
                  <c:v>7.76297965907691</c:v>
                </c:pt>
                <c:pt idx="21">
                  <c:v>7.76297965907691</c:v>
                </c:pt>
                <c:pt idx="22">
                  <c:v>7.76297965907691</c:v>
                </c:pt>
                <c:pt idx="23">
                  <c:v>7.76297965907691</c:v>
                </c:pt>
                <c:pt idx="24">
                  <c:v>7.76297965907691</c:v>
                </c:pt>
                <c:pt idx="25">
                  <c:v>7.76297965907691</c:v>
                </c:pt>
                <c:pt idx="26">
                  <c:v>7.76297965907691</c:v>
                </c:pt>
                <c:pt idx="27">
                  <c:v>7.76297965907691</c:v>
                </c:pt>
                <c:pt idx="28">
                  <c:v>7.7010747831581998</c:v>
                </c:pt>
                <c:pt idx="29">
                  <c:v>7.7010747831581998</c:v>
                </c:pt>
                <c:pt idx="30">
                  <c:v>7.7010747831581998</c:v>
                </c:pt>
                <c:pt idx="31">
                  <c:v>7.7010747831581998</c:v>
                </c:pt>
                <c:pt idx="32">
                  <c:v>7.7010747831581998</c:v>
                </c:pt>
                <c:pt idx="33">
                  <c:v>7.7010747831581998</c:v>
                </c:pt>
                <c:pt idx="34">
                  <c:v>7.7010747831581998</c:v>
                </c:pt>
                <c:pt idx="35">
                  <c:v>7.7010747831581998</c:v>
                </c:pt>
                <c:pt idx="36">
                  <c:v>7.7010747831581998</c:v>
                </c:pt>
                <c:pt idx="37">
                  <c:v>7.7010747831581998</c:v>
                </c:pt>
                <c:pt idx="38">
                  <c:v>7.6451697401437899</c:v>
                </c:pt>
                <c:pt idx="39">
                  <c:v>7.6451697401437899</c:v>
                </c:pt>
                <c:pt idx="40">
                  <c:v>7.6451697401437899</c:v>
                </c:pt>
                <c:pt idx="41">
                  <c:v>7.6451697401437899</c:v>
                </c:pt>
                <c:pt idx="42">
                  <c:v>7.6451697401437899</c:v>
                </c:pt>
                <c:pt idx="43">
                  <c:v>7.6451697401437899</c:v>
                </c:pt>
                <c:pt idx="44">
                  <c:v>7.6451697401437899</c:v>
                </c:pt>
                <c:pt idx="45">
                  <c:v>7.6451697401437899</c:v>
                </c:pt>
                <c:pt idx="46">
                  <c:v>7.6451697401437899</c:v>
                </c:pt>
                <c:pt idx="47">
                  <c:v>7.6451697401437899</c:v>
                </c:pt>
                <c:pt idx="48">
                  <c:v>7.6451697401437899</c:v>
                </c:pt>
                <c:pt idx="49">
                  <c:v>7.6451697401437899</c:v>
                </c:pt>
                <c:pt idx="50">
                  <c:v>7.6451697401437899</c:v>
                </c:pt>
                <c:pt idx="51">
                  <c:v>7.6451697401437899</c:v>
                </c:pt>
              </c:numCache>
            </c:numRef>
          </c:xVal>
          <c:yVal>
            <c:numRef>
              <c:f>'Performance curves'!$G$83:$G$134</c:f>
              <c:numCache>
                <c:formatCode>General</c:formatCode>
                <c:ptCount val="52"/>
                <c:pt idx="0">
                  <c:v>7.0302070302070377E-2</c:v>
                </c:pt>
                <c:pt idx="1">
                  <c:v>7.7016077016077086E-2</c:v>
                </c:pt>
                <c:pt idx="2">
                  <c:v>0.15660015660015672</c:v>
                </c:pt>
                <c:pt idx="3">
                  <c:v>8.8863088863088968E-2</c:v>
                </c:pt>
                <c:pt idx="4">
                  <c:v>0.15013815013815027</c:v>
                </c:pt>
                <c:pt idx="5">
                  <c:v>0.19714519714519724</c:v>
                </c:pt>
                <c:pt idx="6">
                  <c:v>3.9420039420039549E-2</c:v>
                </c:pt>
                <c:pt idx="7">
                  <c:v>7.8120078120078179E-2</c:v>
                </c:pt>
                <c:pt idx="8">
                  <c:v>0.22653322653322658</c:v>
                </c:pt>
                <c:pt idx="9">
                  <c:v>0.17335217335217348</c:v>
                </c:pt>
                <c:pt idx="10">
                  <c:v>7.6245076245076301E-2</c:v>
                </c:pt>
                <c:pt idx="11">
                  <c:v>0.11988011988011998</c:v>
                </c:pt>
                <c:pt idx="12">
                  <c:v>9.9945099945100105E-2</c:v>
                </c:pt>
                <c:pt idx="13">
                  <c:v>2.6313026313026355E-2</c:v>
                </c:pt>
                <c:pt idx="14">
                  <c:v>0.11459711459711462</c:v>
                </c:pt>
                <c:pt idx="15">
                  <c:v>0.14822114822114832</c:v>
                </c:pt>
                <c:pt idx="16">
                  <c:v>0.11827211827211837</c:v>
                </c:pt>
                <c:pt idx="17">
                  <c:v>8.0295080295080423E-2</c:v>
                </c:pt>
                <c:pt idx="18">
                  <c:v>0.13963513963513968</c:v>
                </c:pt>
                <c:pt idx="19">
                  <c:v>9.0018090018090094E-2</c:v>
                </c:pt>
                <c:pt idx="20">
                  <c:v>6.7830067830067869E-2</c:v>
                </c:pt>
                <c:pt idx="21">
                  <c:v>0.12582012582012597</c:v>
                </c:pt>
                <c:pt idx="22">
                  <c:v>8.5638085638085781E-2</c:v>
                </c:pt>
                <c:pt idx="23">
                  <c:v>0.12505512505512506</c:v>
                </c:pt>
                <c:pt idx="24">
                  <c:v>0.11157611157611159</c:v>
                </c:pt>
                <c:pt idx="25">
                  <c:v>5.7864057864057891E-2</c:v>
                </c:pt>
                <c:pt idx="26">
                  <c:v>5.2425052425052486E-2</c:v>
                </c:pt>
                <c:pt idx="27">
                  <c:v>8.8752088752088759E-2</c:v>
                </c:pt>
                <c:pt idx="28">
                  <c:v>8.5953085953085984E-2</c:v>
                </c:pt>
                <c:pt idx="29">
                  <c:v>0.17851217851217854</c:v>
                </c:pt>
                <c:pt idx="30">
                  <c:v>9.2046092046092085E-2</c:v>
                </c:pt>
                <c:pt idx="31">
                  <c:v>0.22262722262722262</c:v>
                </c:pt>
                <c:pt idx="32">
                  <c:v>0.28587628587628594</c:v>
                </c:pt>
                <c:pt idx="33">
                  <c:v>0.36977136977136976</c:v>
                </c:pt>
                <c:pt idx="34">
                  <c:v>0.35826035826035829</c:v>
                </c:pt>
                <c:pt idx="35">
                  <c:v>0.30790230790230794</c:v>
                </c:pt>
                <c:pt idx="36">
                  <c:v>8.5824085824085836E-2</c:v>
                </c:pt>
                <c:pt idx="37">
                  <c:v>0.12098412098412106</c:v>
                </c:pt>
                <c:pt idx="38">
                  <c:v>0.205854205854206</c:v>
                </c:pt>
                <c:pt idx="39">
                  <c:v>0.17593517593517605</c:v>
                </c:pt>
                <c:pt idx="40">
                  <c:v>0.23281223281223293</c:v>
                </c:pt>
                <c:pt idx="41">
                  <c:v>0.1909771909771911</c:v>
                </c:pt>
                <c:pt idx="42">
                  <c:v>0.26901326901326916</c:v>
                </c:pt>
                <c:pt idx="43">
                  <c:v>0.14352014352014361</c:v>
                </c:pt>
                <c:pt idx="44">
                  <c:v>0.277023277023277</c:v>
                </c:pt>
                <c:pt idx="45">
                  <c:v>0.23099423099423111</c:v>
                </c:pt>
                <c:pt idx="46">
                  <c:v>0.21545121545121546</c:v>
                </c:pt>
                <c:pt idx="47">
                  <c:v>0.23685023685023696</c:v>
                </c:pt>
                <c:pt idx="48">
                  <c:v>0.24973524973524974</c:v>
                </c:pt>
                <c:pt idx="49">
                  <c:v>0.18558618558618564</c:v>
                </c:pt>
                <c:pt idx="50">
                  <c:v>0.28875328875328882</c:v>
                </c:pt>
                <c:pt idx="51">
                  <c:v>0.25128925128925139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2-4AE0-ACC2-C80C0559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705408"/>
        <c:axId val="799702048"/>
      </c:scatterChart>
      <c:valAx>
        <c:axId val="79970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99702048"/>
        <c:crosses val="autoZero"/>
        <c:crossBetween val="midCat"/>
      </c:valAx>
      <c:valAx>
        <c:axId val="79970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997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'Performance curves'!$C$135:$C$191</c:f>
              <c:numCache>
                <c:formatCode>General</c:formatCode>
                <c:ptCount val="57"/>
                <c:pt idx="0">
                  <c:v>12.3</c:v>
                </c:pt>
                <c:pt idx="1">
                  <c:v>12.3</c:v>
                </c:pt>
                <c:pt idx="2">
                  <c:v>12.3</c:v>
                </c:pt>
                <c:pt idx="3">
                  <c:v>12.3</c:v>
                </c:pt>
                <c:pt idx="4">
                  <c:v>12.3</c:v>
                </c:pt>
                <c:pt idx="5">
                  <c:v>12.3</c:v>
                </c:pt>
                <c:pt idx="6">
                  <c:v>12.3</c:v>
                </c:pt>
                <c:pt idx="7">
                  <c:v>12.3</c:v>
                </c:pt>
                <c:pt idx="8">
                  <c:v>12.3</c:v>
                </c:pt>
                <c:pt idx="9">
                  <c:v>12.3</c:v>
                </c:pt>
                <c:pt idx="10">
                  <c:v>12.3</c:v>
                </c:pt>
                <c:pt idx="11">
                  <c:v>12.3</c:v>
                </c:pt>
                <c:pt idx="12">
                  <c:v>15.9</c:v>
                </c:pt>
                <c:pt idx="13">
                  <c:v>15.9</c:v>
                </c:pt>
                <c:pt idx="14">
                  <c:v>15.9</c:v>
                </c:pt>
                <c:pt idx="15">
                  <c:v>15.9</c:v>
                </c:pt>
                <c:pt idx="16">
                  <c:v>15.9</c:v>
                </c:pt>
                <c:pt idx="17">
                  <c:v>15.9</c:v>
                </c:pt>
                <c:pt idx="18">
                  <c:v>15.9</c:v>
                </c:pt>
                <c:pt idx="19">
                  <c:v>15.9</c:v>
                </c:pt>
                <c:pt idx="20">
                  <c:v>15.9</c:v>
                </c:pt>
                <c:pt idx="21">
                  <c:v>15.9</c:v>
                </c:pt>
                <c:pt idx="22">
                  <c:v>15.9</c:v>
                </c:pt>
                <c:pt idx="23">
                  <c:v>15.9</c:v>
                </c:pt>
                <c:pt idx="24">
                  <c:v>19.7</c:v>
                </c:pt>
                <c:pt idx="25">
                  <c:v>19.7</c:v>
                </c:pt>
                <c:pt idx="26">
                  <c:v>19.7</c:v>
                </c:pt>
                <c:pt idx="27">
                  <c:v>19.7</c:v>
                </c:pt>
                <c:pt idx="28">
                  <c:v>19.7</c:v>
                </c:pt>
                <c:pt idx="29">
                  <c:v>19.7</c:v>
                </c:pt>
                <c:pt idx="30">
                  <c:v>19.7</c:v>
                </c:pt>
                <c:pt idx="31">
                  <c:v>19.7</c:v>
                </c:pt>
                <c:pt idx="32">
                  <c:v>19.7</c:v>
                </c:pt>
                <c:pt idx="33">
                  <c:v>19.7</c:v>
                </c:pt>
                <c:pt idx="34">
                  <c:v>19.7</c:v>
                </c:pt>
                <c:pt idx="35">
                  <c:v>19.7</c:v>
                </c:pt>
                <c:pt idx="36">
                  <c:v>19.7</c:v>
                </c:pt>
                <c:pt idx="37">
                  <c:v>19.7</c:v>
                </c:pt>
                <c:pt idx="38">
                  <c:v>19.7</c:v>
                </c:pt>
                <c:pt idx="39">
                  <c:v>19.7</c:v>
                </c:pt>
                <c:pt idx="40">
                  <c:v>25.1</c:v>
                </c:pt>
                <c:pt idx="41">
                  <c:v>25.1</c:v>
                </c:pt>
                <c:pt idx="42">
                  <c:v>25.1</c:v>
                </c:pt>
                <c:pt idx="43">
                  <c:v>25.1</c:v>
                </c:pt>
                <c:pt idx="44">
                  <c:v>25.1</c:v>
                </c:pt>
                <c:pt idx="45">
                  <c:v>25.1</c:v>
                </c:pt>
                <c:pt idx="46">
                  <c:v>25.1</c:v>
                </c:pt>
                <c:pt idx="47">
                  <c:v>25.1</c:v>
                </c:pt>
                <c:pt idx="48">
                  <c:v>25.1</c:v>
                </c:pt>
                <c:pt idx="49">
                  <c:v>25.1</c:v>
                </c:pt>
                <c:pt idx="50">
                  <c:v>30.2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30.2</c:v>
                </c:pt>
                <c:pt idx="55">
                  <c:v>30.2</c:v>
                </c:pt>
                <c:pt idx="56">
                  <c:v>30.2</c:v>
                </c:pt>
              </c:numCache>
            </c:numRef>
          </c:xVal>
          <c:yVal>
            <c:numRef>
              <c:f>'Performance curves'!$G$135:$G$191</c:f>
              <c:numCache>
                <c:formatCode>General</c:formatCode>
                <c:ptCount val="57"/>
                <c:pt idx="0">
                  <c:v>0.48698748698748695</c:v>
                </c:pt>
                <c:pt idx="1">
                  <c:v>0.42843642843642843</c:v>
                </c:pt>
                <c:pt idx="2">
                  <c:v>0.4558984558984559</c:v>
                </c:pt>
                <c:pt idx="3">
                  <c:v>0.41305241305241308</c:v>
                </c:pt>
                <c:pt idx="4">
                  <c:v>0.42921342921342925</c:v>
                </c:pt>
                <c:pt idx="5">
                  <c:v>0.46170346170346171</c:v>
                </c:pt>
                <c:pt idx="6">
                  <c:v>0.40313740313740315</c:v>
                </c:pt>
                <c:pt idx="7">
                  <c:v>0.40715440715440715</c:v>
                </c:pt>
                <c:pt idx="8">
                  <c:v>0.44755544755544752</c:v>
                </c:pt>
                <c:pt idx="9">
                  <c:v>0.47937647937647943</c:v>
                </c:pt>
                <c:pt idx="10">
                  <c:v>0.4563994563994565</c:v>
                </c:pt>
                <c:pt idx="11">
                  <c:v>0.45899145899145899</c:v>
                </c:pt>
                <c:pt idx="12">
                  <c:v>0.10250410250410251</c:v>
                </c:pt>
                <c:pt idx="13">
                  <c:v>6.3549063549063686E-2</c:v>
                </c:pt>
                <c:pt idx="14">
                  <c:v>4.2606042606042768E-2</c:v>
                </c:pt>
                <c:pt idx="15">
                  <c:v>0.12865212865212869</c:v>
                </c:pt>
                <c:pt idx="16">
                  <c:v>9.0783090783090853E-2</c:v>
                </c:pt>
                <c:pt idx="17">
                  <c:v>6.9741069741069778E-2</c:v>
                </c:pt>
                <c:pt idx="18">
                  <c:v>3.6132036132036249E-2</c:v>
                </c:pt>
                <c:pt idx="19">
                  <c:v>0.18434718434718436</c:v>
                </c:pt>
                <c:pt idx="20">
                  <c:v>3.4062034062034188E-2</c:v>
                </c:pt>
                <c:pt idx="21">
                  <c:v>0.10909510909510911</c:v>
                </c:pt>
                <c:pt idx="22">
                  <c:v>0.12196512196512205</c:v>
                </c:pt>
                <c:pt idx="23">
                  <c:v>9.5691095691095823E-2</c:v>
                </c:pt>
                <c:pt idx="24">
                  <c:v>0.1656691656691657</c:v>
                </c:pt>
                <c:pt idx="25">
                  <c:v>0.11066111066111066</c:v>
                </c:pt>
                <c:pt idx="26">
                  <c:v>8.7324087324087335E-2</c:v>
                </c:pt>
                <c:pt idx="27">
                  <c:v>0.13644313644313658</c:v>
                </c:pt>
                <c:pt idx="28">
                  <c:v>3.3822033822033824E-2</c:v>
                </c:pt>
                <c:pt idx="29">
                  <c:v>0.14568314568314578</c:v>
                </c:pt>
                <c:pt idx="30">
                  <c:v>8.9760089760089798E-2</c:v>
                </c:pt>
                <c:pt idx="31">
                  <c:v>0.13192213192213206</c:v>
                </c:pt>
                <c:pt idx="32">
                  <c:v>0.1171411171411172</c:v>
                </c:pt>
                <c:pt idx="33">
                  <c:v>9.7017097017097001E-2</c:v>
                </c:pt>
                <c:pt idx="34">
                  <c:v>0.1142911142911144</c:v>
                </c:pt>
                <c:pt idx="35">
                  <c:v>0.11204411204411208</c:v>
                </c:pt>
                <c:pt idx="36">
                  <c:v>0.12794112794112808</c:v>
                </c:pt>
                <c:pt idx="37">
                  <c:v>3.9654039654039706E-2</c:v>
                </c:pt>
                <c:pt idx="38">
                  <c:v>9.6456096456096582E-2</c:v>
                </c:pt>
                <c:pt idx="39">
                  <c:v>8.4594084594084698E-2</c:v>
                </c:pt>
                <c:pt idx="40">
                  <c:v>0.23499323499323502</c:v>
                </c:pt>
                <c:pt idx="41">
                  <c:v>0.10325710325710337</c:v>
                </c:pt>
                <c:pt idx="42">
                  <c:v>0.21282921282921294</c:v>
                </c:pt>
                <c:pt idx="43">
                  <c:v>0.12303012303012316</c:v>
                </c:pt>
                <c:pt idx="44">
                  <c:v>0.17189717189717199</c:v>
                </c:pt>
                <c:pt idx="45">
                  <c:v>0.1584421584421585</c:v>
                </c:pt>
                <c:pt idx="46">
                  <c:v>7.83060783060784E-2</c:v>
                </c:pt>
                <c:pt idx="47">
                  <c:v>0.11038811038811053</c:v>
                </c:pt>
                <c:pt idx="48">
                  <c:v>9.659109659109659E-2</c:v>
                </c:pt>
                <c:pt idx="49">
                  <c:v>0.17363417363417374</c:v>
                </c:pt>
                <c:pt idx="50">
                  <c:v>0.32979932979932991</c:v>
                </c:pt>
                <c:pt idx="51">
                  <c:v>0.31899931899931905</c:v>
                </c:pt>
                <c:pt idx="52">
                  <c:v>0.3282993282993284</c:v>
                </c:pt>
                <c:pt idx="53">
                  <c:v>0.21579921579921593</c:v>
                </c:pt>
                <c:pt idx="54">
                  <c:v>0.12459912459912463</c:v>
                </c:pt>
                <c:pt idx="55">
                  <c:v>0.29289929289929301</c:v>
                </c:pt>
                <c:pt idx="56">
                  <c:v>0.11949911949911957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9-4676-BF67-11955829D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528752"/>
        <c:axId val="813537872"/>
      </c:scatterChart>
      <c:valAx>
        <c:axId val="81352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13537872"/>
        <c:crosses val="autoZero"/>
        <c:crossBetween val="midCat"/>
      </c:valAx>
      <c:valAx>
        <c:axId val="81353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1352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'Different mode of action'!$M$1</c:f>
              <c:strCache>
                <c:ptCount val="1"/>
                <c:pt idx="0">
                  <c:v>Esobs_Li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'Different mode of action'!$L$2:$L$343</c:f>
              <c:numCache>
                <c:formatCode>General</c:formatCode>
                <c:ptCount val="342"/>
                <c:pt idx="0">
                  <c:v>0.27574909514727153</c:v>
                </c:pt>
                <c:pt idx="1">
                  <c:v>0.27574909514727153</c:v>
                </c:pt>
                <c:pt idx="2">
                  <c:v>0.27574909514727153</c:v>
                </c:pt>
                <c:pt idx="3">
                  <c:v>0.27574909514727153</c:v>
                </c:pt>
                <c:pt idx="4">
                  <c:v>0.27574909514727153</c:v>
                </c:pt>
                <c:pt idx="5">
                  <c:v>0.27574909514727153</c:v>
                </c:pt>
                <c:pt idx="6">
                  <c:v>0.27574909514727153</c:v>
                </c:pt>
                <c:pt idx="7">
                  <c:v>0.27574909514727153</c:v>
                </c:pt>
                <c:pt idx="8">
                  <c:v>0.27574909514727153</c:v>
                </c:pt>
                <c:pt idx="9">
                  <c:v>0.27574909514727153</c:v>
                </c:pt>
                <c:pt idx="10">
                  <c:v>0.27574909514727153</c:v>
                </c:pt>
                <c:pt idx="11">
                  <c:v>0.27574909514727153</c:v>
                </c:pt>
                <c:pt idx="12">
                  <c:v>0.27574909514727153</c:v>
                </c:pt>
                <c:pt idx="13">
                  <c:v>0.27574909514727153</c:v>
                </c:pt>
                <c:pt idx="14">
                  <c:v>0.27574909514727153</c:v>
                </c:pt>
                <c:pt idx="15">
                  <c:v>0.27574909514727153</c:v>
                </c:pt>
                <c:pt idx="16">
                  <c:v>0.27574909514727153</c:v>
                </c:pt>
                <c:pt idx="17">
                  <c:v>0.27574909514727153</c:v>
                </c:pt>
                <c:pt idx="18">
                  <c:v>0.27574909514727153</c:v>
                </c:pt>
                <c:pt idx="19">
                  <c:v>0.27574909514727153</c:v>
                </c:pt>
                <c:pt idx="20">
                  <c:v>0.27870101061683977</c:v>
                </c:pt>
                <c:pt idx="21">
                  <c:v>0.27870101061683977</c:v>
                </c:pt>
                <c:pt idx="22">
                  <c:v>0.27870101061683977</c:v>
                </c:pt>
                <c:pt idx="23">
                  <c:v>0.27870101061683977</c:v>
                </c:pt>
                <c:pt idx="24">
                  <c:v>0.27870101061683977</c:v>
                </c:pt>
                <c:pt idx="25">
                  <c:v>0.27870101061683977</c:v>
                </c:pt>
                <c:pt idx="26">
                  <c:v>0.27870101061683977</c:v>
                </c:pt>
                <c:pt idx="27">
                  <c:v>0.27870101061683977</c:v>
                </c:pt>
                <c:pt idx="28">
                  <c:v>0.27870101061683977</c:v>
                </c:pt>
                <c:pt idx="29">
                  <c:v>0.27870101061683977</c:v>
                </c:pt>
                <c:pt idx="30">
                  <c:v>0.27870101061683977</c:v>
                </c:pt>
                <c:pt idx="31">
                  <c:v>0.27870101061683977</c:v>
                </c:pt>
                <c:pt idx="32">
                  <c:v>0.27870101061683977</c:v>
                </c:pt>
                <c:pt idx="33">
                  <c:v>0.27870101061683977</c:v>
                </c:pt>
                <c:pt idx="34">
                  <c:v>0.2785002537377248</c:v>
                </c:pt>
                <c:pt idx="35">
                  <c:v>0.2785002537377248</c:v>
                </c:pt>
                <c:pt idx="36">
                  <c:v>0.2785002537377248</c:v>
                </c:pt>
                <c:pt idx="37">
                  <c:v>0.2785002537377248</c:v>
                </c:pt>
                <c:pt idx="38">
                  <c:v>0.2785002537377248</c:v>
                </c:pt>
                <c:pt idx="39">
                  <c:v>0.2785002537377248</c:v>
                </c:pt>
                <c:pt idx="40">
                  <c:v>0.2785002537377248</c:v>
                </c:pt>
                <c:pt idx="41">
                  <c:v>0.2785002537377248</c:v>
                </c:pt>
                <c:pt idx="42">
                  <c:v>0.2785002537377248</c:v>
                </c:pt>
                <c:pt idx="43">
                  <c:v>0.2785002537377248</c:v>
                </c:pt>
                <c:pt idx="44">
                  <c:v>0.2785002537377248</c:v>
                </c:pt>
                <c:pt idx="45">
                  <c:v>0.2785002537377248</c:v>
                </c:pt>
                <c:pt idx="46">
                  <c:v>0.29067594397532592</c:v>
                </c:pt>
                <c:pt idx="47">
                  <c:v>0.29067594397532592</c:v>
                </c:pt>
                <c:pt idx="48">
                  <c:v>0.29067594397532592</c:v>
                </c:pt>
                <c:pt idx="49">
                  <c:v>0.29067594397532592</c:v>
                </c:pt>
                <c:pt idx="50">
                  <c:v>0.29067594397532592</c:v>
                </c:pt>
                <c:pt idx="51">
                  <c:v>0.29067594397532592</c:v>
                </c:pt>
                <c:pt idx="52">
                  <c:v>0.29067594397532592</c:v>
                </c:pt>
                <c:pt idx="53">
                  <c:v>0.29067594397532592</c:v>
                </c:pt>
                <c:pt idx="54">
                  <c:v>0.29067594397532592</c:v>
                </c:pt>
                <c:pt idx="55">
                  <c:v>0.29067594397532592</c:v>
                </c:pt>
                <c:pt idx="56">
                  <c:v>0.29067594397532592</c:v>
                </c:pt>
                <c:pt idx="57">
                  <c:v>0.29067594397532592</c:v>
                </c:pt>
                <c:pt idx="58">
                  <c:v>0.29067594397532592</c:v>
                </c:pt>
                <c:pt idx="59">
                  <c:v>0.29067594397532592</c:v>
                </c:pt>
                <c:pt idx="60">
                  <c:v>0.34100462200196036</c:v>
                </c:pt>
                <c:pt idx="61">
                  <c:v>0.34100462200196036</c:v>
                </c:pt>
                <c:pt idx="62">
                  <c:v>0.34100462200196036</c:v>
                </c:pt>
                <c:pt idx="63">
                  <c:v>0.34100462200196036</c:v>
                </c:pt>
                <c:pt idx="64">
                  <c:v>0.34100462200196036</c:v>
                </c:pt>
                <c:pt idx="65">
                  <c:v>0.34100462200196036</c:v>
                </c:pt>
                <c:pt idx="66">
                  <c:v>0.34100462200196036</c:v>
                </c:pt>
                <c:pt idx="67">
                  <c:v>0.34100462200196036</c:v>
                </c:pt>
                <c:pt idx="68">
                  <c:v>0.34100462200196036</c:v>
                </c:pt>
                <c:pt idx="69">
                  <c:v>0.34100462200196036</c:v>
                </c:pt>
                <c:pt idx="70">
                  <c:v>0.34100462200196036</c:v>
                </c:pt>
                <c:pt idx="71">
                  <c:v>0.34100462200196036</c:v>
                </c:pt>
                <c:pt idx="72">
                  <c:v>0.34100462200196036</c:v>
                </c:pt>
                <c:pt idx="73">
                  <c:v>0.34100462200196036</c:v>
                </c:pt>
                <c:pt idx="74">
                  <c:v>0.34100462200196036</c:v>
                </c:pt>
                <c:pt idx="75">
                  <c:v>0.34100462200196036</c:v>
                </c:pt>
                <c:pt idx="76">
                  <c:v>0.34100462200196036</c:v>
                </c:pt>
                <c:pt idx="77">
                  <c:v>0.34100462200196036</c:v>
                </c:pt>
                <c:pt idx="78">
                  <c:v>0.34100462200196036</c:v>
                </c:pt>
                <c:pt idx="79">
                  <c:v>0.34100462200196036</c:v>
                </c:pt>
                <c:pt idx="80">
                  <c:v>0.34100462200196036</c:v>
                </c:pt>
                <c:pt idx="81">
                  <c:v>0.27823954147326585</c:v>
                </c:pt>
                <c:pt idx="82">
                  <c:v>0.27823954147326585</c:v>
                </c:pt>
                <c:pt idx="83">
                  <c:v>0.27823954147326585</c:v>
                </c:pt>
                <c:pt idx="84">
                  <c:v>0.27823954147326585</c:v>
                </c:pt>
                <c:pt idx="85">
                  <c:v>0.27823954147326585</c:v>
                </c:pt>
                <c:pt idx="86">
                  <c:v>0.27823954147326585</c:v>
                </c:pt>
                <c:pt idx="87">
                  <c:v>0.27823954147326585</c:v>
                </c:pt>
                <c:pt idx="88">
                  <c:v>0.27823954147326585</c:v>
                </c:pt>
                <c:pt idx="89">
                  <c:v>0.27823954147326585</c:v>
                </c:pt>
                <c:pt idx="90">
                  <c:v>0.27823954147326585</c:v>
                </c:pt>
                <c:pt idx="91">
                  <c:v>0.27823954147326585</c:v>
                </c:pt>
                <c:pt idx="92">
                  <c:v>0.25164809708231323</c:v>
                </c:pt>
                <c:pt idx="93">
                  <c:v>0.25164809708231323</c:v>
                </c:pt>
                <c:pt idx="94">
                  <c:v>0.25164809708231323</c:v>
                </c:pt>
                <c:pt idx="95">
                  <c:v>0.25164809708231323</c:v>
                </c:pt>
                <c:pt idx="96">
                  <c:v>0.25164809708231323</c:v>
                </c:pt>
                <c:pt idx="97">
                  <c:v>0.25164809708231323</c:v>
                </c:pt>
                <c:pt idx="98">
                  <c:v>0.25164809708231323</c:v>
                </c:pt>
                <c:pt idx="99">
                  <c:v>0.25164809708231323</c:v>
                </c:pt>
                <c:pt idx="100">
                  <c:v>0.27961784538251339</c:v>
                </c:pt>
                <c:pt idx="101">
                  <c:v>0.27961784538251339</c:v>
                </c:pt>
                <c:pt idx="102">
                  <c:v>0.27961784538251339</c:v>
                </c:pt>
                <c:pt idx="103">
                  <c:v>0.27961784538251339</c:v>
                </c:pt>
                <c:pt idx="104">
                  <c:v>0.27961784538251339</c:v>
                </c:pt>
                <c:pt idx="105">
                  <c:v>0.27961784538251339</c:v>
                </c:pt>
                <c:pt idx="106">
                  <c:v>0.27961784538251339</c:v>
                </c:pt>
                <c:pt idx="107">
                  <c:v>0.27961784538251339</c:v>
                </c:pt>
                <c:pt idx="108">
                  <c:v>0.27961784538251339</c:v>
                </c:pt>
                <c:pt idx="109">
                  <c:v>0.31921740159101319</c:v>
                </c:pt>
                <c:pt idx="110">
                  <c:v>0.31921740159101319</c:v>
                </c:pt>
                <c:pt idx="111">
                  <c:v>0.31921740159101319</c:v>
                </c:pt>
                <c:pt idx="112">
                  <c:v>0.31921740159101319</c:v>
                </c:pt>
                <c:pt idx="113">
                  <c:v>0.31921740159101319</c:v>
                </c:pt>
                <c:pt idx="114">
                  <c:v>0.31921740159101319</c:v>
                </c:pt>
                <c:pt idx="115">
                  <c:v>0.31921740159101319</c:v>
                </c:pt>
                <c:pt idx="116">
                  <c:v>0.31921740159101319</c:v>
                </c:pt>
                <c:pt idx="117">
                  <c:v>0.31921740159101319</c:v>
                </c:pt>
                <c:pt idx="118">
                  <c:v>0.31921740159101319</c:v>
                </c:pt>
                <c:pt idx="119">
                  <c:v>0.36956485003252837</c:v>
                </c:pt>
                <c:pt idx="120">
                  <c:v>0.36956485003252837</c:v>
                </c:pt>
                <c:pt idx="121">
                  <c:v>0.36956485003252837</c:v>
                </c:pt>
                <c:pt idx="122">
                  <c:v>0.36956485003252837</c:v>
                </c:pt>
                <c:pt idx="123">
                  <c:v>0.36956485003252837</c:v>
                </c:pt>
                <c:pt idx="124">
                  <c:v>0.36956485003252837</c:v>
                </c:pt>
                <c:pt idx="125">
                  <c:v>0.36956485003252837</c:v>
                </c:pt>
                <c:pt idx="126">
                  <c:v>0.36956485003252837</c:v>
                </c:pt>
                <c:pt idx="127">
                  <c:v>0.36956485003252837</c:v>
                </c:pt>
                <c:pt idx="128">
                  <c:v>0.36956485003252837</c:v>
                </c:pt>
                <c:pt idx="129">
                  <c:v>0.36956485003252837</c:v>
                </c:pt>
                <c:pt idx="130">
                  <c:v>0.36956485003252837</c:v>
                </c:pt>
                <c:pt idx="131">
                  <c:v>0.36956485003252837</c:v>
                </c:pt>
                <c:pt idx="132">
                  <c:v>0.36956485003252837</c:v>
                </c:pt>
                <c:pt idx="133">
                  <c:v>0.54008632391988021</c:v>
                </c:pt>
                <c:pt idx="134">
                  <c:v>0.54008632391988021</c:v>
                </c:pt>
                <c:pt idx="135">
                  <c:v>0.54008632391988021</c:v>
                </c:pt>
                <c:pt idx="136">
                  <c:v>0.54008632391988021</c:v>
                </c:pt>
                <c:pt idx="137">
                  <c:v>0.54008632391988021</c:v>
                </c:pt>
                <c:pt idx="138">
                  <c:v>0.54008632391988021</c:v>
                </c:pt>
                <c:pt idx="139">
                  <c:v>0.54008632391988021</c:v>
                </c:pt>
                <c:pt idx="140">
                  <c:v>0.54008632391988021</c:v>
                </c:pt>
                <c:pt idx="141">
                  <c:v>0.54008632391988021</c:v>
                </c:pt>
                <c:pt idx="142">
                  <c:v>0.54008632391988021</c:v>
                </c:pt>
                <c:pt idx="143">
                  <c:v>0.54008632391988021</c:v>
                </c:pt>
                <c:pt idx="144">
                  <c:v>0.54008632391988021</c:v>
                </c:pt>
                <c:pt idx="145">
                  <c:v>0.37767936636706045</c:v>
                </c:pt>
                <c:pt idx="146">
                  <c:v>0.37767936636706045</c:v>
                </c:pt>
                <c:pt idx="147">
                  <c:v>0.37767936636706045</c:v>
                </c:pt>
                <c:pt idx="148">
                  <c:v>0.37767936636706045</c:v>
                </c:pt>
                <c:pt idx="149">
                  <c:v>0.37767936636706045</c:v>
                </c:pt>
                <c:pt idx="150">
                  <c:v>0.37767936636706045</c:v>
                </c:pt>
                <c:pt idx="151">
                  <c:v>0.37767936636706045</c:v>
                </c:pt>
                <c:pt idx="152">
                  <c:v>0.37767936636706045</c:v>
                </c:pt>
                <c:pt idx="153">
                  <c:v>0.37767936636706045</c:v>
                </c:pt>
                <c:pt idx="154">
                  <c:v>0.37767936636706045</c:v>
                </c:pt>
                <c:pt idx="155">
                  <c:v>0.37767936636706045</c:v>
                </c:pt>
                <c:pt idx="156">
                  <c:v>0.37767936636706045</c:v>
                </c:pt>
                <c:pt idx="157">
                  <c:v>0.29235944997235125</c:v>
                </c:pt>
                <c:pt idx="158">
                  <c:v>0.29235944997235125</c:v>
                </c:pt>
                <c:pt idx="159">
                  <c:v>0.29235944997235125</c:v>
                </c:pt>
                <c:pt idx="160">
                  <c:v>0.29235944997235125</c:v>
                </c:pt>
                <c:pt idx="161">
                  <c:v>0.29235944997235125</c:v>
                </c:pt>
                <c:pt idx="162">
                  <c:v>0.29235944997235125</c:v>
                </c:pt>
                <c:pt idx="163">
                  <c:v>0.29235944997235125</c:v>
                </c:pt>
                <c:pt idx="164">
                  <c:v>0.29235944997235125</c:v>
                </c:pt>
                <c:pt idx="165">
                  <c:v>0.29235944997235125</c:v>
                </c:pt>
                <c:pt idx="166">
                  <c:v>0.29235944997235125</c:v>
                </c:pt>
                <c:pt idx="167">
                  <c:v>0.29235944997235125</c:v>
                </c:pt>
                <c:pt idx="168">
                  <c:v>0.29235944997235125</c:v>
                </c:pt>
                <c:pt idx="169">
                  <c:v>0.29235944997235125</c:v>
                </c:pt>
                <c:pt idx="170">
                  <c:v>0.29235944997235125</c:v>
                </c:pt>
                <c:pt idx="171">
                  <c:v>0.29235944997235125</c:v>
                </c:pt>
                <c:pt idx="172">
                  <c:v>0.29235944997235125</c:v>
                </c:pt>
                <c:pt idx="173">
                  <c:v>0.28842270016699367</c:v>
                </c:pt>
                <c:pt idx="174">
                  <c:v>0.28842270016699367</c:v>
                </c:pt>
                <c:pt idx="175">
                  <c:v>0.28842270016699367</c:v>
                </c:pt>
                <c:pt idx="176">
                  <c:v>0.28842270016699367</c:v>
                </c:pt>
                <c:pt idx="177">
                  <c:v>0.28842270016699367</c:v>
                </c:pt>
                <c:pt idx="178">
                  <c:v>0.28842270016699367</c:v>
                </c:pt>
                <c:pt idx="179">
                  <c:v>0.28842270016699367</c:v>
                </c:pt>
                <c:pt idx="180">
                  <c:v>0.28842270016699367</c:v>
                </c:pt>
                <c:pt idx="181">
                  <c:v>0.28842270016699367</c:v>
                </c:pt>
                <c:pt idx="182">
                  <c:v>0.28842270016699367</c:v>
                </c:pt>
                <c:pt idx="183">
                  <c:v>0.4492573635182851</c:v>
                </c:pt>
                <c:pt idx="184">
                  <c:v>0.4492573635182851</c:v>
                </c:pt>
                <c:pt idx="185">
                  <c:v>0.4492573635182851</c:v>
                </c:pt>
                <c:pt idx="186">
                  <c:v>0.4492573635182851</c:v>
                </c:pt>
                <c:pt idx="187">
                  <c:v>0.4492573635182851</c:v>
                </c:pt>
                <c:pt idx="188">
                  <c:v>0.4492573635182851</c:v>
                </c:pt>
                <c:pt idx="189">
                  <c:v>0.4492573635182851</c:v>
                </c:pt>
                <c:pt idx="190">
                  <c:v>0.33113395141874158</c:v>
                </c:pt>
                <c:pt idx="191">
                  <c:v>0.33113395141874158</c:v>
                </c:pt>
                <c:pt idx="192">
                  <c:v>0.33113395141874158</c:v>
                </c:pt>
                <c:pt idx="193">
                  <c:v>0.33113395141874158</c:v>
                </c:pt>
                <c:pt idx="194">
                  <c:v>0.33113395141874158</c:v>
                </c:pt>
                <c:pt idx="195">
                  <c:v>0.33113395141874158</c:v>
                </c:pt>
                <c:pt idx="196">
                  <c:v>0.33113395141874158</c:v>
                </c:pt>
                <c:pt idx="197">
                  <c:v>0.33113395141874158</c:v>
                </c:pt>
                <c:pt idx="198">
                  <c:v>0.33113395141874158</c:v>
                </c:pt>
                <c:pt idx="199">
                  <c:v>0.33113395141874158</c:v>
                </c:pt>
                <c:pt idx="200">
                  <c:v>0.33113395141874158</c:v>
                </c:pt>
                <c:pt idx="201">
                  <c:v>0.32945546256198532</c:v>
                </c:pt>
                <c:pt idx="202">
                  <c:v>0.32945546256198532</c:v>
                </c:pt>
                <c:pt idx="203">
                  <c:v>0.32945546256198532</c:v>
                </c:pt>
                <c:pt idx="204">
                  <c:v>0.32945546256198532</c:v>
                </c:pt>
                <c:pt idx="205">
                  <c:v>0.26176496240599917</c:v>
                </c:pt>
                <c:pt idx="206">
                  <c:v>0.26176496240599917</c:v>
                </c:pt>
                <c:pt idx="207">
                  <c:v>0.26176496240599917</c:v>
                </c:pt>
                <c:pt idx="208">
                  <c:v>0.26176496240599917</c:v>
                </c:pt>
                <c:pt idx="209">
                  <c:v>0.26176496240599917</c:v>
                </c:pt>
                <c:pt idx="210">
                  <c:v>0.26176496240599917</c:v>
                </c:pt>
                <c:pt idx="211">
                  <c:v>0.26176496240599917</c:v>
                </c:pt>
                <c:pt idx="212">
                  <c:v>0.26176496240599917</c:v>
                </c:pt>
                <c:pt idx="213">
                  <c:v>0.26176496240599917</c:v>
                </c:pt>
                <c:pt idx="214">
                  <c:v>0.26176496240599917</c:v>
                </c:pt>
                <c:pt idx="215">
                  <c:v>0.26439338765423237</c:v>
                </c:pt>
                <c:pt idx="216">
                  <c:v>0.26439338765423237</c:v>
                </c:pt>
                <c:pt idx="217">
                  <c:v>0.26439338765423237</c:v>
                </c:pt>
                <c:pt idx="218">
                  <c:v>0.26439338765423237</c:v>
                </c:pt>
                <c:pt idx="219">
                  <c:v>0.26439338765423237</c:v>
                </c:pt>
                <c:pt idx="220">
                  <c:v>0.26439338765423237</c:v>
                </c:pt>
                <c:pt idx="221">
                  <c:v>0.26439338765423237</c:v>
                </c:pt>
                <c:pt idx="222">
                  <c:v>0.26439338765423237</c:v>
                </c:pt>
                <c:pt idx="223">
                  <c:v>0.29259890357074891</c:v>
                </c:pt>
                <c:pt idx="224">
                  <c:v>0.29259890357074891</c:v>
                </c:pt>
                <c:pt idx="225">
                  <c:v>0.29259890357074891</c:v>
                </c:pt>
                <c:pt idx="226">
                  <c:v>0.29259890357074891</c:v>
                </c:pt>
                <c:pt idx="227">
                  <c:v>0.29259890357074891</c:v>
                </c:pt>
                <c:pt idx="228">
                  <c:v>0.29259890357074891</c:v>
                </c:pt>
                <c:pt idx="229">
                  <c:v>0.29259890357074891</c:v>
                </c:pt>
                <c:pt idx="230">
                  <c:v>0.29259890357074891</c:v>
                </c:pt>
                <c:pt idx="231">
                  <c:v>0.29259890357074891</c:v>
                </c:pt>
                <c:pt idx="232">
                  <c:v>0.29259890357074891</c:v>
                </c:pt>
                <c:pt idx="233">
                  <c:v>0.29259890357074891</c:v>
                </c:pt>
                <c:pt idx="234">
                  <c:v>0.29259890357074891</c:v>
                </c:pt>
                <c:pt idx="235">
                  <c:v>0.28744525931547577</c:v>
                </c:pt>
                <c:pt idx="236">
                  <c:v>0.28744525931547577</c:v>
                </c:pt>
                <c:pt idx="237">
                  <c:v>0.28744525931547577</c:v>
                </c:pt>
                <c:pt idx="238">
                  <c:v>0.28744525931547577</c:v>
                </c:pt>
                <c:pt idx="239">
                  <c:v>0.28744525931547577</c:v>
                </c:pt>
                <c:pt idx="240">
                  <c:v>0.28744525931547577</c:v>
                </c:pt>
                <c:pt idx="241">
                  <c:v>0.28744525931547577</c:v>
                </c:pt>
                <c:pt idx="242">
                  <c:v>0.28744525931547577</c:v>
                </c:pt>
                <c:pt idx="243">
                  <c:v>0.28744525931547577</c:v>
                </c:pt>
                <c:pt idx="244">
                  <c:v>0.28744525931547577</c:v>
                </c:pt>
                <c:pt idx="245">
                  <c:v>0.28744525931547577</c:v>
                </c:pt>
                <c:pt idx="246">
                  <c:v>0.28744525931547577</c:v>
                </c:pt>
                <c:pt idx="247">
                  <c:v>0.28744525931547577</c:v>
                </c:pt>
                <c:pt idx="248">
                  <c:v>0.28744525931547577</c:v>
                </c:pt>
                <c:pt idx="249">
                  <c:v>0.28744525931547577</c:v>
                </c:pt>
                <c:pt idx="250">
                  <c:v>0.28017286818849851</c:v>
                </c:pt>
                <c:pt idx="251">
                  <c:v>0.28017286818849851</c:v>
                </c:pt>
                <c:pt idx="252">
                  <c:v>0.28017286818849851</c:v>
                </c:pt>
                <c:pt idx="253">
                  <c:v>0.28017286818849851</c:v>
                </c:pt>
                <c:pt idx="254">
                  <c:v>0.28017286818849851</c:v>
                </c:pt>
                <c:pt idx="255">
                  <c:v>0.28017286818849851</c:v>
                </c:pt>
                <c:pt idx="256">
                  <c:v>0.28017286818849851</c:v>
                </c:pt>
                <c:pt idx="257">
                  <c:v>0.28017286818849851</c:v>
                </c:pt>
                <c:pt idx="258">
                  <c:v>0.28017286818849851</c:v>
                </c:pt>
                <c:pt idx="259">
                  <c:v>0.28017286818849851</c:v>
                </c:pt>
                <c:pt idx="260">
                  <c:v>0.28017286818849851</c:v>
                </c:pt>
                <c:pt idx="261">
                  <c:v>0.27941901301520705</c:v>
                </c:pt>
                <c:pt idx="262">
                  <c:v>0.27941901301520705</c:v>
                </c:pt>
                <c:pt idx="263">
                  <c:v>0.27941901301520705</c:v>
                </c:pt>
                <c:pt idx="264">
                  <c:v>0.27941901301520705</c:v>
                </c:pt>
                <c:pt idx="265">
                  <c:v>0.27941901301520705</c:v>
                </c:pt>
                <c:pt idx="266">
                  <c:v>0.27941901301520705</c:v>
                </c:pt>
                <c:pt idx="267">
                  <c:v>0.27941901301520705</c:v>
                </c:pt>
                <c:pt idx="268">
                  <c:v>0.27941901301520705</c:v>
                </c:pt>
                <c:pt idx="269">
                  <c:v>0.25445648159670609</c:v>
                </c:pt>
                <c:pt idx="270">
                  <c:v>0.25445648159670609</c:v>
                </c:pt>
                <c:pt idx="271">
                  <c:v>0.25445648159670609</c:v>
                </c:pt>
                <c:pt idx="272">
                  <c:v>0.25445648159670609</c:v>
                </c:pt>
                <c:pt idx="273">
                  <c:v>0.25445648159670609</c:v>
                </c:pt>
                <c:pt idx="274">
                  <c:v>0.25445648159670609</c:v>
                </c:pt>
                <c:pt idx="275">
                  <c:v>0.25445648159670609</c:v>
                </c:pt>
                <c:pt idx="276">
                  <c:v>0.25445648159670609</c:v>
                </c:pt>
                <c:pt idx="277">
                  <c:v>0.25445648159670609</c:v>
                </c:pt>
                <c:pt idx="278">
                  <c:v>0.25965395300443544</c:v>
                </c:pt>
                <c:pt idx="279">
                  <c:v>0.25965395300443544</c:v>
                </c:pt>
                <c:pt idx="280">
                  <c:v>0.25965395300443544</c:v>
                </c:pt>
                <c:pt idx="281">
                  <c:v>0.25965395300443544</c:v>
                </c:pt>
                <c:pt idx="282">
                  <c:v>0.25965395300443544</c:v>
                </c:pt>
                <c:pt idx="283">
                  <c:v>0.25965395300443544</c:v>
                </c:pt>
                <c:pt idx="284">
                  <c:v>0.25965395300443544</c:v>
                </c:pt>
                <c:pt idx="285">
                  <c:v>0.25965395300443544</c:v>
                </c:pt>
                <c:pt idx="286">
                  <c:v>0.25965395300443544</c:v>
                </c:pt>
                <c:pt idx="287">
                  <c:v>0.25965395300443544</c:v>
                </c:pt>
                <c:pt idx="288">
                  <c:v>0.3277137148926923</c:v>
                </c:pt>
                <c:pt idx="289">
                  <c:v>0.3277137148926923</c:v>
                </c:pt>
                <c:pt idx="290">
                  <c:v>0.3277137148926923</c:v>
                </c:pt>
                <c:pt idx="291">
                  <c:v>0.3277137148926923</c:v>
                </c:pt>
                <c:pt idx="292">
                  <c:v>0.3277137148926923</c:v>
                </c:pt>
                <c:pt idx="293">
                  <c:v>0.3277137148926923</c:v>
                </c:pt>
                <c:pt idx="294">
                  <c:v>0.33169330726751367</c:v>
                </c:pt>
                <c:pt idx="295">
                  <c:v>0.33169330726751367</c:v>
                </c:pt>
                <c:pt idx="296">
                  <c:v>0.33169330726751367</c:v>
                </c:pt>
                <c:pt idx="297">
                  <c:v>0.33169330726751367</c:v>
                </c:pt>
                <c:pt idx="298">
                  <c:v>0.33169330726751367</c:v>
                </c:pt>
                <c:pt idx="299">
                  <c:v>0.33169330726751367</c:v>
                </c:pt>
                <c:pt idx="300">
                  <c:v>0.33169330726751367</c:v>
                </c:pt>
                <c:pt idx="301">
                  <c:v>0.27756846574363497</c:v>
                </c:pt>
                <c:pt idx="302">
                  <c:v>0.27756846574363497</c:v>
                </c:pt>
                <c:pt idx="303">
                  <c:v>0.27756846574363497</c:v>
                </c:pt>
                <c:pt idx="304">
                  <c:v>0.27756846574363497</c:v>
                </c:pt>
                <c:pt idx="305">
                  <c:v>0.27756846574363497</c:v>
                </c:pt>
                <c:pt idx="306">
                  <c:v>0.27756846574363497</c:v>
                </c:pt>
                <c:pt idx="307">
                  <c:v>0.27756846574363497</c:v>
                </c:pt>
                <c:pt idx="308">
                  <c:v>0.27756846574363497</c:v>
                </c:pt>
                <c:pt idx="309">
                  <c:v>0.27756846574363497</c:v>
                </c:pt>
                <c:pt idx="310">
                  <c:v>0.27756846574363497</c:v>
                </c:pt>
                <c:pt idx="311">
                  <c:v>0.27728653022111754</c:v>
                </c:pt>
                <c:pt idx="312">
                  <c:v>0.27728653022111754</c:v>
                </c:pt>
                <c:pt idx="313">
                  <c:v>0.27728653022111754</c:v>
                </c:pt>
                <c:pt idx="314">
                  <c:v>0.27728653022111754</c:v>
                </c:pt>
                <c:pt idx="315">
                  <c:v>0.27728653022111754</c:v>
                </c:pt>
                <c:pt idx="316">
                  <c:v>0.27728653022111754</c:v>
                </c:pt>
                <c:pt idx="317">
                  <c:v>0.27728653022111754</c:v>
                </c:pt>
                <c:pt idx="318">
                  <c:v>0.27728653022111754</c:v>
                </c:pt>
                <c:pt idx="319">
                  <c:v>0.27728653022111754</c:v>
                </c:pt>
                <c:pt idx="320">
                  <c:v>0.27728653022111754</c:v>
                </c:pt>
                <c:pt idx="321">
                  <c:v>0.2905224260869092</c:v>
                </c:pt>
                <c:pt idx="322">
                  <c:v>0.2905224260869092</c:v>
                </c:pt>
                <c:pt idx="323">
                  <c:v>0.2905224260869092</c:v>
                </c:pt>
                <c:pt idx="324">
                  <c:v>0.2905224260869092</c:v>
                </c:pt>
                <c:pt idx="325">
                  <c:v>0.2905224260869092</c:v>
                </c:pt>
                <c:pt idx="326">
                  <c:v>0.2905224260869092</c:v>
                </c:pt>
                <c:pt idx="327">
                  <c:v>0.2905224260869092</c:v>
                </c:pt>
                <c:pt idx="328">
                  <c:v>0.2905224260869092</c:v>
                </c:pt>
                <c:pt idx="329">
                  <c:v>0.2905224260869092</c:v>
                </c:pt>
                <c:pt idx="330">
                  <c:v>0.2905224260869092</c:v>
                </c:pt>
                <c:pt idx="331">
                  <c:v>0.29934650408997288</c:v>
                </c:pt>
                <c:pt idx="332">
                  <c:v>0.29934650408997288</c:v>
                </c:pt>
                <c:pt idx="333">
                  <c:v>0.29934650408997288</c:v>
                </c:pt>
                <c:pt idx="334">
                  <c:v>0.29934650408997288</c:v>
                </c:pt>
                <c:pt idx="335">
                  <c:v>0.29934650408997288</c:v>
                </c:pt>
                <c:pt idx="336">
                  <c:v>0.29934650408997288</c:v>
                </c:pt>
                <c:pt idx="337">
                  <c:v>0.29934650408997288</c:v>
                </c:pt>
                <c:pt idx="338">
                  <c:v>0.29934650408997288</c:v>
                </c:pt>
              </c:numCache>
            </c:numRef>
          </c:xVal>
          <c:yVal>
            <c:numRef>
              <c:f>'Different mode of action'!$M$2:$M$343</c:f>
              <c:numCache>
                <c:formatCode>General</c:formatCode>
                <c:ptCount val="342"/>
                <c:pt idx="0">
                  <c:v>0.12800712800712813</c:v>
                </c:pt>
                <c:pt idx="1">
                  <c:v>7.9749079749079826E-2</c:v>
                </c:pt>
                <c:pt idx="2">
                  <c:v>0.16524016524016535</c:v>
                </c:pt>
                <c:pt idx="3">
                  <c:v>0.19913719913719918</c:v>
                </c:pt>
                <c:pt idx="4">
                  <c:v>2.1819021819021889E-2</c:v>
                </c:pt>
                <c:pt idx="5">
                  <c:v>0.17031617031617044</c:v>
                </c:pt>
                <c:pt idx="6">
                  <c:v>0.11291711291711294</c:v>
                </c:pt>
                <c:pt idx="7">
                  <c:v>3.7926037926038082E-2</c:v>
                </c:pt>
                <c:pt idx="8">
                  <c:v>0.15680415680415688</c:v>
                </c:pt>
                <c:pt idx="9">
                  <c:v>4.959004959005019E-3</c:v>
                </c:pt>
                <c:pt idx="10">
                  <c:v>0.16649416649416662</c:v>
                </c:pt>
                <c:pt idx="11">
                  <c:v>0.11266211266211275</c:v>
                </c:pt>
                <c:pt idx="12">
                  <c:v>5.2920052920053043E-2</c:v>
                </c:pt>
                <c:pt idx="13">
                  <c:v>2.2119022119022259E-2</c:v>
                </c:pt>
                <c:pt idx="14">
                  <c:v>7.5867075867075986E-2</c:v>
                </c:pt>
                <c:pt idx="15">
                  <c:v>0.11539511539511547</c:v>
                </c:pt>
                <c:pt idx="16">
                  <c:v>0.18041718041718044</c:v>
                </c:pt>
                <c:pt idx="17">
                  <c:v>2.3640023640023794E-2</c:v>
                </c:pt>
                <c:pt idx="18">
                  <c:v>0.18426918426918426</c:v>
                </c:pt>
                <c:pt idx="19">
                  <c:v>0.20885720885720893</c:v>
                </c:pt>
                <c:pt idx="20">
                  <c:v>0.1371691371691372</c:v>
                </c:pt>
                <c:pt idx="21">
                  <c:v>0.18929418929418931</c:v>
                </c:pt>
                <c:pt idx="22">
                  <c:v>0.13476613476613483</c:v>
                </c:pt>
                <c:pt idx="23">
                  <c:v>0.18343218343218343</c:v>
                </c:pt>
                <c:pt idx="24">
                  <c:v>0.17034317034317034</c:v>
                </c:pt>
                <c:pt idx="25">
                  <c:v>9.0012090012090068E-2</c:v>
                </c:pt>
                <c:pt idx="26">
                  <c:v>0.18559218559218568</c:v>
                </c:pt>
                <c:pt idx="27">
                  <c:v>0.12043512043512054</c:v>
                </c:pt>
                <c:pt idx="28">
                  <c:v>0.16009216009216018</c:v>
                </c:pt>
                <c:pt idx="29">
                  <c:v>6.7992067992068125E-2</c:v>
                </c:pt>
                <c:pt idx="30">
                  <c:v>0.11629211629211632</c:v>
                </c:pt>
                <c:pt idx="31">
                  <c:v>6.3222063222063252E-2</c:v>
                </c:pt>
                <c:pt idx="32">
                  <c:v>6.464406464406465E-2</c:v>
                </c:pt>
                <c:pt idx="33">
                  <c:v>0.12816612816612827</c:v>
                </c:pt>
                <c:pt idx="34">
                  <c:v>0.11077811077811091</c:v>
                </c:pt>
                <c:pt idx="35">
                  <c:v>6.9117069117069246E-2</c:v>
                </c:pt>
                <c:pt idx="36">
                  <c:v>8.5020085020085109E-2</c:v>
                </c:pt>
                <c:pt idx="37">
                  <c:v>0.11979311979311991</c:v>
                </c:pt>
                <c:pt idx="38">
                  <c:v>9.4314094314094446E-2</c:v>
                </c:pt>
                <c:pt idx="39">
                  <c:v>0.15705315705315703</c:v>
                </c:pt>
                <c:pt idx="40">
                  <c:v>7.9083079083079211E-2</c:v>
                </c:pt>
                <c:pt idx="41">
                  <c:v>9.0978090978091036E-2</c:v>
                </c:pt>
                <c:pt idx="42">
                  <c:v>0.13791013791013798</c:v>
                </c:pt>
                <c:pt idx="43">
                  <c:v>8.4546084546084588E-2</c:v>
                </c:pt>
                <c:pt idx="44">
                  <c:v>7.3362073362073385E-2</c:v>
                </c:pt>
                <c:pt idx="45">
                  <c:v>0.17003417003417018</c:v>
                </c:pt>
                <c:pt idx="46">
                  <c:v>9.7260097260097295E-2</c:v>
                </c:pt>
                <c:pt idx="47">
                  <c:v>0.14444114444114459</c:v>
                </c:pt>
                <c:pt idx="48">
                  <c:v>0.14603114603114609</c:v>
                </c:pt>
                <c:pt idx="49">
                  <c:v>0.12197412197412201</c:v>
                </c:pt>
                <c:pt idx="50">
                  <c:v>7.5276075276075397E-2</c:v>
                </c:pt>
                <c:pt idx="51">
                  <c:v>0.19237819237819245</c:v>
                </c:pt>
                <c:pt idx="52">
                  <c:v>0.22926922926922927</c:v>
                </c:pt>
                <c:pt idx="53">
                  <c:v>0.25654825654825658</c:v>
                </c:pt>
                <c:pt idx="54">
                  <c:v>0.21369021369021374</c:v>
                </c:pt>
                <c:pt idx="55">
                  <c:v>0.10111810111810116</c:v>
                </c:pt>
                <c:pt idx="56">
                  <c:v>3.3228033228033291E-2</c:v>
                </c:pt>
                <c:pt idx="57">
                  <c:v>0.1889131889131889</c:v>
                </c:pt>
                <c:pt idx="58">
                  <c:v>0.1218361218361219</c:v>
                </c:pt>
                <c:pt idx="59">
                  <c:v>9.9591099591099588E-2</c:v>
                </c:pt>
                <c:pt idx="60">
                  <c:v>0.17869517869517884</c:v>
                </c:pt>
                <c:pt idx="61">
                  <c:v>0.22195822195822207</c:v>
                </c:pt>
                <c:pt idx="62">
                  <c:v>0.20695520695520697</c:v>
                </c:pt>
                <c:pt idx="63">
                  <c:v>0.12630312630312629</c:v>
                </c:pt>
                <c:pt idx="64">
                  <c:v>0.1312471312471313</c:v>
                </c:pt>
                <c:pt idx="65">
                  <c:v>0.16843216843216843</c:v>
                </c:pt>
                <c:pt idx="66">
                  <c:v>0.19862119862119876</c:v>
                </c:pt>
                <c:pt idx="67">
                  <c:v>0.20203820203820202</c:v>
                </c:pt>
                <c:pt idx="68">
                  <c:v>0.21662721662721662</c:v>
                </c:pt>
                <c:pt idx="69">
                  <c:v>0.22974622974622988</c:v>
                </c:pt>
                <c:pt idx="70">
                  <c:v>0.21427221427221435</c:v>
                </c:pt>
                <c:pt idx="71">
                  <c:v>0.20742920742920751</c:v>
                </c:pt>
                <c:pt idx="72">
                  <c:v>0.24478524478524485</c:v>
                </c:pt>
                <c:pt idx="73">
                  <c:v>0.25155925155925157</c:v>
                </c:pt>
                <c:pt idx="74">
                  <c:v>0.16445416445416455</c:v>
                </c:pt>
                <c:pt idx="75">
                  <c:v>0.18346518346518353</c:v>
                </c:pt>
                <c:pt idx="76">
                  <c:v>0.17519717519717518</c:v>
                </c:pt>
                <c:pt idx="77">
                  <c:v>0.18216318216318217</c:v>
                </c:pt>
                <c:pt idx="78">
                  <c:v>0.17678417678417693</c:v>
                </c:pt>
                <c:pt idx="79">
                  <c:v>0.248886248886249</c:v>
                </c:pt>
                <c:pt idx="80">
                  <c:v>0.23805023805023809</c:v>
                </c:pt>
                <c:pt idx="341">
                  <c:v>0.25654825654825658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1-43AE-8097-21DE51067EDC}"/>
            </c:ext>
          </c:extLst>
        </c:ser>
        <c:ser>
          <c:idx val="1"/>
          <c:order val="1"/>
          <c:tx>
            <c:strRef>
              <c:f>'Different mode of action'!$N$1</c:f>
              <c:strCache>
                <c:ptCount val="1"/>
                <c:pt idx="0">
                  <c:v>Esobs_pH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'Different mode of action'!$L$2:$L$343</c:f>
              <c:numCache>
                <c:formatCode>General</c:formatCode>
                <c:ptCount val="342"/>
                <c:pt idx="0">
                  <c:v>0.27574909514727153</c:v>
                </c:pt>
                <c:pt idx="1">
                  <c:v>0.27574909514727153</c:v>
                </c:pt>
                <c:pt idx="2">
                  <c:v>0.27574909514727153</c:v>
                </c:pt>
                <c:pt idx="3">
                  <c:v>0.27574909514727153</c:v>
                </c:pt>
                <c:pt idx="4">
                  <c:v>0.27574909514727153</c:v>
                </c:pt>
                <c:pt idx="5">
                  <c:v>0.27574909514727153</c:v>
                </c:pt>
                <c:pt idx="6">
                  <c:v>0.27574909514727153</c:v>
                </c:pt>
                <c:pt idx="7">
                  <c:v>0.27574909514727153</c:v>
                </c:pt>
                <c:pt idx="8">
                  <c:v>0.27574909514727153</c:v>
                </c:pt>
                <c:pt idx="9">
                  <c:v>0.27574909514727153</c:v>
                </c:pt>
                <c:pt idx="10">
                  <c:v>0.27574909514727153</c:v>
                </c:pt>
                <c:pt idx="11">
                  <c:v>0.27574909514727153</c:v>
                </c:pt>
                <c:pt idx="12">
                  <c:v>0.27574909514727153</c:v>
                </c:pt>
                <c:pt idx="13">
                  <c:v>0.27574909514727153</c:v>
                </c:pt>
                <c:pt idx="14">
                  <c:v>0.27574909514727153</c:v>
                </c:pt>
                <c:pt idx="15">
                  <c:v>0.27574909514727153</c:v>
                </c:pt>
                <c:pt idx="16">
                  <c:v>0.27574909514727153</c:v>
                </c:pt>
                <c:pt idx="17">
                  <c:v>0.27574909514727153</c:v>
                </c:pt>
                <c:pt idx="18">
                  <c:v>0.27574909514727153</c:v>
                </c:pt>
                <c:pt idx="19">
                  <c:v>0.27574909514727153</c:v>
                </c:pt>
                <c:pt idx="20">
                  <c:v>0.27870101061683977</c:v>
                </c:pt>
                <c:pt idx="21">
                  <c:v>0.27870101061683977</c:v>
                </c:pt>
                <c:pt idx="22">
                  <c:v>0.27870101061683977</c:v>
                </c:pt>
                <c:pt idx="23">
                  <c:v>0.27870101061683977</c:v>
                </c:pt>
                <c:pt idx="24">
                  <c:v>0.27870101061683977</c:v>
                </c:pt>
                <c:pt idx="25">
                  <c:v>0.27870101061683977</c:v>
                </c:pt>
                <c:pt idx="26">
                  <c:v>0.27870101061683977</c:v>
                </c:pt>
                <c:pt idx="27">
                  <c:v>0.27870101061683977</c:v>
                </c:pt>
                <c:pt idx="28">
                  <c:v>0.27870101061683977</c:v>
                </c:pt>
                <c:pt idx="29">
                  <c:v>0.27870101061683977</c:v>
                </c:pt>
                <c:pt idx="30">
                  <c:v>0.27870101061683977</c:v>
                </c:pt>
                <c:pt idx="31">
                  <c:v>0.27870101061683977</c:v>
                </c:pt>
                <c:pt idx="32">
                  <c:v>0.27870101061683977</c:v>
                </c:pt>
                <c:pt idx="33">
                  <c:v>0.27870101061683977</c:v>
                </c:pt>
                <c:pt idx="34">
                  <c:v>0.2785002537377248</c:v>
                </c:pt>
                <c:pt idx="35">
                  <c:v>0.2785002537377248</c:v>
                </c:pt>
                <c:pt idx="36">
                  <c:v>0.2785002537377248</c:v>
                </c:pt>
                <c:pt idx="37">
                  <c:v>0.2785002537377248</c:v>
                </c:pt>
                <c:pt idx="38">
                  <c:v>0.2785002537377248</c:v>
                </c:pt>
                <c:pt idx="39">
                  <c:v>0.2785002537377248</c:v>
                </c:pt>
                <c:pt idx="40">
                  <c:v>0.2785002537377248</c:v>
                </c:pt>
                <c:pt idx="41">
                  <c:v>0.2785002537377248</c:v>
                </c:pt>
                <c:pt idx="42">
                  <c:v>0.2785002537377248</c:v>
                </c:pt>
                <c:pt idx="43">
                  <c:v>0.2785002537377248</c:v>
                </c:pt>
                <c:pt idx="44">
                  <c:v>0.2785002537377248</c:v>
                </c:pt>
                <c:pt idx="45">
                  <c:v>0.2785002537377248</c:v>
                </c:pt>
                <c:pt idx="46">
                  <c:v>0.29067594397532592</c:v>
                </c:pt>
                <c:pt idx="47">
                  <c:v>0.29067594397532592</c:v>
                </c:pt>
                <c:pt idx="48">
                  <c:v>0.29067594397532592</c:v>
                </c:pt>
                <c:pt idx="49">
                  <c:v>0.29067594397532592</c:v>
                </c:pt>
                <c:pt idx="50">
                  <c:v>0.29067594397532592</c:v>
                </c:pt>
                <c:pt idx="51">
                  <c:v>0.29067594397532592</c:v>
                </c:pt>
                <c:pt idx="52">
                  <c:v>0.29067594397532592</c:v>
                </c:pt>
                <c:pt idx="53">
                  <c:v>0.29067594397532592</c:v>
                </c:pt>
                <c:pt idx="54">
                  <c:v>0.29067594397532592</c:v>
                </c:pt>
                <c:pt idx="55">
                  <c:v>0.29067594397532592</c:v>
                </c:pt>
                <c:pt idx="56">
                  <c:v>0.29067594397532592</c:v>
                </c:pt>
                <c:pt idx="57">
                  <c:v>0.29067594397532592</c:v>
                </c:pt>
                <c:pt idx="58">
                  <c:v>0.29067594397532592</c:v>
                </c:pt>
                <c:pt idx="59">
                  <c:v>0.29067594397532592</c:v>
                </c:pt>
                <c:pt idx="60">
                  <c:v>0.34100462200196036</c:v>
                </c:pt>
                <c:pt idx="61">
                  <c:v>0.34100462200196036</c:v>
                </c:pt>
                <c:pt idx="62">
                  <c:v>0.34100462200196036</c:v>
                </c:pt>
                <c:pt idx="63">
                  <c:v>0.34100462200196036</c:v>
                </c:pt>
                <c:pt idx="64">
                  <c:v>0.34100462200196036</c:v>
                </c:pt>
                <c:pt idx="65">
                  <c:v>0.34100462200196036</c:v>
                </c:pt>
                <c:pt idx="66">
                  <c:v>0.34100462200196036</c:v>
                </c:pt>
                <c:pt idx="67">
                  <c:v>0.34100462200196036</c:v>
                </c:pt>
                <c:pt idx="68">
                  <c:v>0.34100462200196036</c:v>
                </c:pt>
                <c:pt idx="69">
                  <c:v>0.34100462200196036</c:v>
                </c:pt>
                <c:pt idx="70">
                  <c:v>0.34100462200196036</c:v>
                </c:pt>
                <c:pt idx="71">
                  <c:v>0.34100462200196036</c:v>
                </c:pt>
                <c:pt idx="72">
                  <c:v>0.34100462200196036</c:v>
                </c:pt>
                <c:pt idx="73">
                  <c:v>0.34100462200196036</c:v>
                </c:pt>
                <c:pt idx="74">
                  <c:v>0.34100462200196036</c:v>
                </c:pt>
                <c:pt idx="75">
                  <c:v>0.34100462200196036</c:v>
                </c:pt>
                <c:pt idx="76">
                  <c:v>0.34100462200196036</c:v>
                </c:pt>
                <c:pt idx="77">
                  <c:v>0.34100462200196036</c:v>
                </c:pt>
                <c:pt idx="78">
                  <c:v>0.34100462200196036</c:v>
                </c:pt>
                <c:pt idx="79">
                  <c:v>0.34100462200196036</c:v>
                </c:pt>
                <c:pt idx="80">
                  <c:v>0.34100462200196036</c:v>
                </c:pt>
                <c:pt idx="81">
                  <c:v>0.27823954147326585</c:v>
                </c:pt>
                <c:pt idx="82">
                  <c:v>0.27823954147326585</c:v>
                </c:pt>
                <c:pt idx="83">
                  <c:v>0.27823954147326585</c:v>
                </c:pt>
                <c:pt idx="84">
                  <c:v>0.27823954147326585</c:v>
                </c:pt>
                <c:pt idx="85">
                  <c:v>0.27823954147326585</c:v>
                </c:pt>
                <c:pt idx="86">
                  <c:v>0.27823954147326585</c:v>
                </c:pt>
                <c:pt idx="87">
                  <c:v>0.27823954147326585</c:v>
                </c:pt>
                <c:pt idx="88">
                  <c:v>0.27823954147326585</c:v>
                </c:pt>
                <c:pt idx="89">
                  <c:v>0.27823954147326585</c:v>
                </c:pt>
                <c:pt idx="90">
                  <c:v>0.27823954147326585</c:v>
                </c:pt>
                <c:pt idx="91">
                  <c:v>0.27823954147326585</c:v>
                </c:pt>
                <c:pt idx="92">
                  <c:v>0.25164809708231323</c:v>
                </c:pt>
                <c:pt idx="93">
                  <c:v>0.25164809708231323</c:v>
                </c:pt>
                <c:pt idx="94">
                  <c:v>0.25164809708231323</c:v>
                </c:pt>
                <c:pt idx="95">
                  <c:v>0.25164809708231323</c:v>
                </c:pt>
                <c:pt idx="96">
                  <c:v>0.25164809708231323</c:v>
                </c:pt>
                <c:pt idx="97">
                  <c:v>0.25164809708231323</c:v>
                </c:pt>
                <c:pt idx="98">
                  <c:v>0.25164809708231323</c:v>
                </c:pt>
                <c:pt idx="99">
                  <c:v>0.25164809708231323</c:v>
                </c:pt>
                <c:pt idx="100">
                  <c:v>0.27961784538251339</c:v>
                </c:pt>
                <c:pt idx="101">
                  <c:v>0.27961784538251339</c:v>
                </c:pt>
                <c:pt idx="102">
                  <c:v>0.27961784538251339</c:v>
                </c:pt>
                <c:pt idx="103">
                  <c:v>0.27961784538251339</c:v>
                </c:pt>
                <c:pt idx="104">
                  <c:v>0.27961784538251339</c:v>
                </c:pt>
                <c:pt idx="105">
                  <c:v>0.27961784538251339</c:v>
                </c:pt>
                <c:pt idx="106">
                  <c:v>0.27961784538251339</c:v>
                </c:pt>
                <c:pt idx="107">
                  <c:v>0.27961784538251339</c:v>
                </c:pt>
                <c:pt idx="108">
                  <c:v>0.27961784538251339</c:v>
                </c:pt>
                <c:pt idx="109">
                  <c:v>0.31921740159101319</c:v>
                </c:pt>
                <c:pt idx="110">
                  <c:v>0.31921740159101319</c:v>
                </c:pt>
                <c:pt idx="111">
                  <c:v>0.31921740159101319</c:v>
                </c:pt>
                <c:pt idx="112">
                  <c:v>0.31921740159101319</c:v>
                </c:pt>
                <c:pt idx="113">
                  <c:v>0.31921740159101319</c:v>
                </c:pt>
                <c:pt idx="114">
                  <c:v>0.31921740159101319</c:v>
                </c:pt>
                <c:pt idx="115">
                  <c:v>0.31921740159101319</c:v>
                </c:pt>
                <c:pt idx="116">
                  <c:v>0.31921740159101319</c:v>
                </c:pt>
                <c:pt idx="117">
                  <c:v>0.31921740159101319</c:v>
                </c:pt>
                <c:pt idx="118">
                  <c:v>0.31921740159101319</c:v>
                </c:pt>
                <c:pt idx="119">
                  <c:v>0.36956485003252837</c:v>
                </c:pt>
                <c:pt idx="120">
                  <c:v>0.36956485003252837</c:v>
                </c:pt>
                <c:pt idx="121">
                  <c:v>0.36956485003252837</c:v>
                </c:pt>
                <c:pt idx="122">
                  <c:v>0.36956485003252837</c:v>
                </c:pt>
                <c:pt idx="123">
                  <c:v>0.36956485003252837</c:v>
                </c:pt>
                <c:pt idx="124">
                  <c:v>0.36956485003252837</c:v>
                </c:pt>
                <c:pt idx="125">
                  <c:v>0.36956485003252837</c:v>
                </c:pt>
                <c:pt idx="126">
                  <c:v>0.36956485003252837</c:v>
                </c:pt>
                <c:pt idx="127">
                  <c:v>0.36956485003252837</c:v>
                </c:pt>
                <c:pt idx="128">
                  <c:v>0.36956485003252837</c:v>
                </c:pt>
                <c:pt idx="129">
                  <c:v>0.36956485003252837</c:v>
                </c:pt>
                <c:pt idx="130">
                  <c:v>0.36956485003252837</c:v>
                </c:pt>
                <c:pt idx="131">
                  <c:v>0.36956485003252837</c:v>
                </c:pt>
                <c:pt idx="132">
                  <c:v>0.36956485003252837</c:v>
                </c:pt>
                <c:pt idx="133">
                  <c:v>0.54008632391988021</c:v>
                </c:pt>
                <c:pt idx="134">
                  <c:v>0.54008632391988021</c:v>
                </c:pt>
                <c:pt idx="135">
                  <c:v>0.54008632391988021</c:v>
                </c:pt>
                <c:pt idx="136">
                  <c:v>0.54008632391988021</c:v>
                </c:pt>
                <c:pt idx="137">
                  <c:v>0.54008632391988021</c:v>
                </c:pt>
                <c:pt idx="138">
                  <c:v>0.54008632391988021</c:v>
                </c:pt>
                <c:pt idx="139">
                  <c:v>0.54008632391988021</c:v>
                </c:pt>
                <c:pt idx="140">
                  <c:v>0.54008632391988021</c:v>
                </c:pt>
                <c:pt idx="141">
                  <c:v>0.54008632391988021</c:v>
                </c:pt>
                <c:pt idx="142">
                  <c:v>0.54008632391988021</c:v>
                </c:pt>
                <c:pt idx="143">
                  <c:v>0.54008632391988021</c:v>
                </c:pt>
                <c:pt idx="144">
                  <c:v>0.54008632391988021</c:v>
                </c:pt>
                <c:pt idx="145">
                  <c:v>0.37767936636706045</c:v>
                </c:pt>
                <c:pt idx="146">
                  <c:v>0.37767936636706045</c:v>
                </c:pt>
                <c:pt idx="147">
                  <c:v>0.37767936636706045</c:v>
                </c:pt>
                <c:pt idx="148">
                  <c:v>0.37767936636706045</c:v>
                </c:pt>
                <c:pt idx="149">
                  <c:v>0.37767936636706045</c:v>
                </c:pt>
                <c:pt idx="150">
                  <c:v>0.37767936636706045</c:v>
                </c:pt>
                <c:pt idx="151">
                  <c:v>0.37767936636706045</c:v>
                </c:pt>
                <c:pt idx="152">
                  <c:v>0.37767936636706045</c:v>
                </c:pt>
                <c:pt idx="153">
                  <c:v>0.37767936636706045</c:v>
                </c:pt>
                <c:pt idx="154">
                  <c:v>0.37767936636706045</c:v>
                </c:pt>
                <c:pt idx="155">
                  <c:v>0.37767936636706045</c:v>
                </c:pt>
                <c:pt idx="156">
                  <c:v>0.37767936636706045</c:v>
                </c:pt>
                <c:pt idx="157">
                  <c:v>0.29235944997235125</c:v>
                </c:pt>
                <c:pt idx="158">
                  <c:v>0.29235944997235125</c:v>
                </c:pt>
                <c:pt idx="159">
                  <c:v>0.29235944997235125</c:v>
                </c:pt>
                <c:pt idx="160">
                  <c:v>0.29235944997235125</c:v>
                </c:pt>
                <c:pt idx="161">
                  <c:v>0.29235944997235125</c:v>
                </c:pt>
                <c:pt idx="162">
                  <c:v>0.29235944997235125</c:v>
                </c:pt>
                <c:pt idx="163">
                  <c:v>0.29235944997235125</c:v>
                </c:pt>
                <c:pt idx="164">
                  <c:v>0.29235944997235125</c:v>
                </c:pt>
                <c:pt idx="165">
                  <c:v>0.29235944997235125</c:v>
                </c:pt>
                <c:pt idx="166">
                  <c:v>0.29235944997235125</c:v>
                </c:pt>
                <c:pt idx="167">
                  <c:v>0.29235944997235125</c:v>
                </c:pt>
                <c:pt idx="168">
                  <c:v>0.29235944997235125</c:v>
                </c:pt>
                <c:pt idx="169">
                  <c:v>0.29235944997235125</c:v>
                </c:pt>
                <c:pt idx="170">
                  <c:v>0.29235944997235125</c:v>
                </c:pt>
                <c:pt idx="171">
                  <c:v>0.29235944997235125</c:v>
                </c:pt>
                <c:pt idx="172">
                  <c:v>0.29235944997235125</c:v>
                </c:pt>
                <c:pt idx="173">
                  <c:v>0.28842270016699367</c:v>
                </c:pt>
                <c:pt idx="174">
                  <c:v>0.28842270016699367</c:v>
                </c:pt>
                <c:pt idx="175">
                  <c:v>0.28842270016699367</c:v>
                </c:pt>
                <c:pt idx="176">
                  <c:v>0.28842270016699367</c:v>
                </c:pt>
                <c:pt idx="177">
                  <c:v>0.28842270016699367</c:v>
                </c:pt>
                <c:pt idx="178">
                  <c:v>0.28842270016699367</c:v>
                </c:pt>
                <c:pt idx="179">
                  <c:v>0.28842270016699367</c:v>
                </c:pt>
                <c:pt idx="180">
                  <c:v>0.28842270016699367</c:v>
                </c:pt>
                <c:pt idx="181">
                  <c:v>0.28842270016699367</c:v>
                </c:pt>
                <c:pt idx="182">
                  <c:v>0.28842270016699367</c:v>
                </c:pt>
                <c:pt idx="183">
                  <c:v>0.4492573635182851</c:v>
                </c:pt>
                <c:pt idx="184">
                  <c:v>0.4492573635182851</c:v>
                </c:pt>
                <c:pt idx="185">
                  <c:v>0.4492573635182851</c:v>
                </c:pt>
                <c:pt idx="186">
                  <c:v>0.4492573635182851</c:v>
                </c:pt>
                <c:pt idx="187">
                  <c:v>0.4492573635182851</c:v>
                </c:pt>
                <c:pt idx="188">
                  <c:v>0.4492573635182851</c:v>
                </c:pt>
                <c:pt idx="189">
                  <c:v>0.4492573635182851</c:v>
                </c:pt>
                <c:pt idx="190">
                  <c:v>0.33113395141874158</c:v>
                </c:pt>
                <c:pt idx="191">
                  <c:v>0.33113395141874158</c:v>
                </c:pt>
                <c:pt idx="192">
                  <c:v>0.33113395141874158</c:v>
                </c:pt>
                <c:pt idx="193">
                  <c:v>0.33113395141874158</c:v>
                </c:pt>
                <c:pt idx="194">
                  <c:v>0.33113395141874158</c:v>
                </c:pt>
                <c:pt idx="195">
                  <c:v>0.33113395141874158</c:v>
                </c:pt>
                <c:pt idx="196">
                  <c:v>0.33113395141874158</c:v>
                </c:pt>
                <c:pt idx="197">
                  <c:v>0.33113395141874158</c:v>
                </c:pt>
                <c:pt idx="198">
                  <c:v>0.33113395141874158</c:v>
                </c:pt>
                <c:pt idx="199">
                  <c:v>0.33113395141874158</c:v>
                </c:pt>
                <c:pt idx="200">
                  <c:v>0.33113395141874158</c:v>
                </c:pt>
                <c:pt idx="201">
                  <c:v>0.32945546256198532</c:v>
                </c:pt>
                <c:pt idx="202">
                  <c:v>0.32945546256198532</c:v>
                </c:pt>
                <c:pt idx="203">
                  <c:v>0.32945546256198532</c:v>
                </c:pt>
                <c:pt idx="204">
                  <c:v>0.32945546256198532</c:v>
                </c:pt>
                <c:pt idx="205">
                  <c:v>0.26176496240599917</c:v>
                </c:pt>
                <c:pt idx="206">
                  <c:v>0.26176496240599917</c:v>
                </c:pt>
                <c:pt idx="207">
                  <c:v>0.26176496240599917</c:v>
                </c:pt>
                <c:pt idx="208">
                  <c:v>0.26176496240599917</c:v>
                </c:pt>
                <c:pt idx="209">
                  <c:v>0.26176496240599917</c:v>
                </c:pt>
                <c:pt idx="210">
                  <c:v>0.26176496240599917</c:v>
                </c:pt>
                <c:pt idx="211">
                  <c:v>0.26176496240599917</c:v>
                </c:pt>
                <c:pt idx="212">
                  <c:v>0.26176496240599917</c:v>
                </c:pt>
                <c:pt idx="213">
                  <c:v>0.26176496240599917</c:v>
                </c:pt>
                <c:pt idx="214">
                  <c:v>0.26176496240599917</c:v>
                </c:pt>
                <c:pt idx="215">
                  <c:v>0.26439338765423237</c:v>
                </c:pt>
                <c:pt idx="216">
                  <c:v>0.26439338765423237</c:v>
                </c:pt>
                <c:pt idx="217">
                  <c:v>0.26439338765423237</c:v>
                </c:pt>
                <c:pt idx="218">
                  <c:v>0.26439338765423237</c:v>
                </c:pt>
                <c:pt idx="219">
                  <c:v>0.26439338765423237</c:v>
                </c:pt>
                <c:pt idx="220">
                  <c:v>0.26439338765423237</c:v>
                </c:pt>
                <c:pt idx="221">
                  <c:v>0.26439338765423237</c:v>
                </c:pt>
                <c:pt idx="222">
                  <c:v>0.26439338765423237</c:v>
                </c:pt>
                <c:pt idx="223">
                  <c:v>0.29259890357074891</c:v>
                </c:pt>
                <c:pt idx="224">
                  <c:v>0.29259890357074891</c:v>
                </c:pt>
                <c:pt idx="225">
                  <c:v>0.29259890357074891</c:v>
                </c:pt>
                <c:pt idx="226">
                  <c:v>0.29259890357074891</c:v>
                </c:pt>
                <c:pt idx="227">
                  <c:v>0.29259890357074891</c:v>
                </c:pt>
                <c:pt idx="228">
                  <c:v>0.29259890357074891</c:v>
                </c:pt>
                <c:pt idx="229">
                  <c:v>0.29259890357074891</c:v>
                </c:pt>
                <c:pt idx="230">
                  <c:v>0.29259890357074891</c:v>
                </c:pt>
                <c:pt idx="231">
                  <c:v>0.29259890357074891</c:v>
                </c:pt>
                <c:pt idx="232">
                  <c:v>0.29259890357074891</c:v>
                </c:pt>
                <c:pt idx="233">
                  <c:v>0.29259890357074891</c:v>
                </c:pt>
                <c:pt idx="234">
                  <c:v>0.29259890357074891</c:v>
                </c:pt>
                <c:pt idx="235">
                  <c:v>0.28744525931547577</c:v>
                </c:pt>
                <c:pt idx="236">
                  <c:v>0.28744525931547577</c:v>
                </c:pt>
                <c:pt idx="237">
                  <c:v>0.28744525931547577</c:v>
                </c:pt>
                <c:pt idx="238">
                  <c:v>0.28744525931547577</c:v>
                </c:pt>
                <c:pt idx="239">
                  <c:v>0.28744525931547577</c:v>
                </c:pt>
                <c:pt idx="240">
                  <c:v>0.28744525931547577</c:v>
                </c:pt>
                <c:pt idx="241">
                  <c:v>0.28744525931547577</c:v>
                </c:pt>
                <c:pt idx="242">
                  <c:v>0.28744525931547577</c:v>
                </c:pt>
                <c:pt idx="243">
                  <c:v>0.28744525931547577</c:v>
                </c:pt>
                <c:pt idx="244">
                  <c:v>0.28744525931547577</c:v>
                </c:pt>
                <c:pt idx="245">
                  <c:v>0.28744525931547577</c:v>
                </c:pt>
                <c:pt idx="246">
                  <c:v>0.28744525931547577</c:v>
                </c:pt>
                <c:pt idx="247">
                  <c:v>0.28744525931547577</c:v>
                </c:pt>
                <c:pt idx="248">
                  <c:v>0.28744525931547577</c:v>
                </c:pt>
                <c:pt idx="249">
                  <c:v>0.28744525931547577</c:v>
                </c:pt>
                <c:pt idx="250">
                  <c:v>0.28017286818849851</c:v>
                </c:pt>
                <c:pt idx="251">
                  <c:v>0.28017286818849851</c:v>
                </c:pt>
                <c:pt idx="252">
                  <c:v>0.28017286818849851</c:v>
                </c:pt>
                <c:pt idx="253">
                  <c:v>0.28017286818849851</c:v>
                </c:pt>
                <c:pt idx="254">
                  <c:v>0.28017286818849851</c:v>
                </c:pt>
                <c:pt idx="255">
                  <c:v>0.28017286818849851</c:v>
                </c:pt>
                <c:pt idx="256">
                  <c:v>0.28017286818849851</c:v>
                </c:pt>
                <c:pt idx="257">
                  <c:v>0.28017286818849851</c:v>
                </c:pt>
                <c:pt idx="258">
                  <c:v>0.28017286818849851</c:v>
                </c:pt>
                <c:pt idx="259">
                  <c:v>0.28017286818849851</c:v>
                </c:pt>
                <c:pt idx="260">
                  <c:v>0.28017286818849851</c:v>
                </c:pt>
                <c:pt idx="261">
                  <c:v>0.27941901301520705</c:v>
                </c:pt>
                <c:pt idx="262">
                  <c:v>0.27941901301520705</c:v>
                </c:pt>
                <c:pt idx="263">
                  <c:v>0.27941901301520705</c:v>
                </c:pt>
                <c:pt idx="264">
                  <c:v>0.27941901301520705</c:v>
                </c:pt>
                <c:pt idx="265">
                  <c:v>0.27941901301520705</c:v>
                </c:pt>
                <c:pt idx="266">
                  <c:v>0.27941901301520705</c:v>
                </c:pt>
                <c:pt idx="267">
                  <c:v>0.27941901301520705</c:v>
                </c:pt>
                <c:pt idx="268">
                  <c:v>0.27941901301520705</c:v>
                </c:pt>
                <c:pt idx="269">
                  <c:v>0.25445648159670609</c:v>
                </c:pt>
                <c:pt idx="270">
                  <c:v>0.25445648159670609</c:v>
                </c:pt>
                <c:pt idx="271">
                  <c:v>0.25445648159670609</c:v>
                </c:pt>
                <c:pt idx="272">
                  <c:v>0.25445648159670609</c:v>
                </c:pt>
                <c:pt idx="273">
                  <c:v>0.25445648159670609</c:v>
                </c:pt>
                <c:pt idx="274">
                  <c:v>0.25445648159670609</c:v>
                </c:pt>
                <c:pt idx="275">
                  <c:v>0.25445648159670609</c:v>
                </c:pt>
                <c:pt idx="276">
                  <c:v>0.25445648159670609</c:v>
                </c:pt>
                <c:pt idx="277">
                  <c:v>0.25445648159670609</c:v>
                </c:pt>
                <c:pt idx="278">
                  <c:v>0.25965395300443544</c:v>
                </c:pt>
                <c:pt idx="279">
                  <c:v>0.25965395300443544</c:v>
                </c:pt>
                <c:pt idx="280">
                  <c:v>0.25965395300443544</c:v>
                </c:pt>
                <c:pt idx="281">
                  <c:v>0.25965395300443544</c:v>
                </c:pt>
                <c:pt idx="282">
                  <c:v>0.25965395300443544</c:v>
                </c:pt>
                <c:pt idx="283">
                  <c:v>0.25965395300443544</c:v>
                </c:pt>
                <c:pt idx="284">
                  <c:v>0.25965395300443544</c:v>
                </c:pt>
                <c:pt idx="285">
                  <c:v>0.25965395300443544</c:v>
                </c:pt>
                <c:pt idx="286">
                  <c:v>0.25965395300443544</c:v>
                </c:pt>
                <c:pt idx="287">
                  <c:v>0.25965395300443544</c:v>
                </c:pt>
                <c:pt idx="288">
                  <c:v>0.3277137148926923</c:v>
                </c:pt>
                <c:pt idx="289">
                  <c:v>0.3277137148926923</c:v>
                </c:pt>
                <c:pt idx="290">
                  <c:v>0.3277137148926923</c:v>
                </c:pt>
                <c:pt idx="291">
                  <c:v>0.3277137148926923</c:v>
                </c:pt>
                <c:pt idx="292">
                  <c:v>0.3277137148926923</c:v>
                </c:pt>
                <c:pt idx="293">
                  <c:v>0.3277137148926923</c:v>
                </c:pt>
                <c:pt idx="294">
                  <c:v>0.33169330726751367</c:v>
                </c:pt>
                <c:pt idx="295">
                  <c:v>0.33169330726751367</c:v>
                </c:pt>
                <c:pt idx="296">
                  <c:v>0.33169330726751367</c:v>
                </c:pt>
                <c:pt idx="297">
                  <c:v>0.33169330726751367</c:v>
                </c:pt>
                <c:pt idx="298">
                  <c:v>0.33169330726751367</c:v>
                </c:pt>
                <c:pt idx="299">
                  <c:v>0.33169330726751367</c:v>
                </c:pt>
                <c:pt idx="300">
                  <c:v>0.33169330726751367</c:v>
                </c:pt>
                <c:pt idx="301">
                  <c:v>0.27756846574363497</c:v>
                </c:pt>
                <c:pt idx="302">
                  <c:v>0.27756846574363497</c:v>
                </c:pt>
                <c:pt idx="303">
                  <c:v>0.27756846574363497</c:v>
                </c:pt>
                <c:pt idx="304">
                  <c:v>0.27756846574363497</c:v>
                </c:pt>
                <c:pt idx="305">
                  <c:v>0.27756846574363497</c:v>
                </c:pt>
                <c:pt idx="306">
                  <c:v>0.27756846574363497</c:v>
                </c:pt>
                <c:pt idx="307">
                  <c:v>0.27756846574363497</c:v>
                </c:pt>
                <c:pt idx="308">
                  <c:v>0.27756846574363497</c:v>
                </c:pt>
                <c:pt idx="309">
                  <c:v>0.27756846574363497</c:v>
                </c:pt>
                <c:pt idx="310">
                  <c:v>0.27756846574363497</c:v>
                </c:pt>
                <c:pt idx="311">
                  <c:v>0.27728653022111754</c:v>
                </c:pt>
                <c:pt idx="312">
                  <c:v>0.27728653022111754</c:v>
                </c:pt>
                <c:pt idx="313">
                  <c:v>0.27728653022111754</c:v>
                </c:pt>
                <c:pt idx="314">
                  <c:v>0.27728653022111754</c:v>
                </c:pt>
                <c:pt idx="315">
                  <c:v>0.27728653022111754</c:v>
                </c:pt>
                <c:pt idx="316">
                  <c:v>0.27728653022111754</c:v>
                </c:pt>
                <c:pt idx="317">
                  <c:v>0.27728653022111754</c:v>
                </c:pt>
                <c:pt idx="318">
                  <c:v>0.27728653022111754</c:v>
                </c:pt>
                <c:pt idx="319">
                  <c:v>0.27728653022111754</c:v>
                </c:pt>
                <c:pt idx="320">
                  <c:v>0.27728653022111754</c:v>
                </c:pt>
                <c:pt idx="321">
                  <c:v>0.2905224260869092</c:v>
                </c:pt>
                <c:pt idx="322">
                  <c:v>0.2905224260869092</c:v>
                </c:pt>
                <c:pt idx="323">
                  <c:v>0.2905224260869092</c:v>
                </c:pt>
                <c:pt idx="324">
                  <c:v>0.2905224260869092</c:v>
                </c:pt>
                <c:pt idx="325">
                  <c:v>0.2905224260869092</c:v>
                </c:pt>
                <c:pt idx="326">
                  <c:v>0.2905224260869092</c:v>
                </c:pt>
                <c:pt idx="327">
                  <c:v>0.2905224260869092</c:v>
                </c:pt>
                <c:pt idx="328">
                  <c:v>0.2905224260869092</c:v>
                </c:pt>
                <c:pt idx="329">
                  <c:v>0.2905224260869092</c:v>
                </c:pt>
                <c:pt idx="330">
                  <c:v>0.2905224260869092</c:v>
                </c:pt>
                <c:pt idx="331">
                  <c:v>0.29934650408997288</c:v>
                </c:pt>
                <c:pt idx="332">
                  <c:v>0.29934650408997288</c:v>
                </c:pt>
                <c:pt idx="333">
                  <c:v>0.29934650408997288</c:v>
                </c:pt>
                <c:pt idx="334">
                  <c:v>0.29934650408997288</c:v>
                </c:pt>
                <c:pt idx="335">
                  <c:v>0.29934650408997288</c:v>
                </c:pt>
                <c:pt idx="336">
                  <c:v>0.29934650408997288</c:v>
                </c:pt>
                <c:pt idx="337">
                  <c:v>0.29934650408997288</c:v>
                </c:pt>
                <c:pt idx="338">
                  <c:v>0.29934650408997288</c:v>
                </c:pt>
              </c:numCache>
            </c:numRef>
          </c:xVal>
          <c:yVal>
            <c:numRef>
              <c:f>'Different mode of action'!$N$2:$N$343</c:f>
              <c:numCache>
                <c:formatCode>General</c:formatCode>
                <c:ptCount val="342"/>
                <c:pt idx="81">
                  <c:v>7.0302070302070377E-2</c:v>
                </c:pt>
                <c:pt idx="82">
                  <c:v>7.7016077016077086E-2</c:v>
                </c:pt>
                <c:pt idx="83">
                  <c:v>0.15660015660015672</c:v>
                </c:pt>
                <c:pt idx="84">
                  <c:v>8.8863088863088968E-2</c:v>
                </c:pt>
                <c:pt idx="85">
                  <c:v>0.15013815013815027</c:v>
                </c:pt>
                <c:pt idx="86">
                  <c:v>0.19714519714519724</c:v>
                </c:pt>
                <c:pt idx="87">
                  <c:v>3.9420039420039549E-2</c:v>
                </c:pt>
                <c:pt idx="88">
                  <c:v>7.8120078120078179E-2</c:v>
                </c:pt>
                <c:pt idx="89">
                  <c:v>0.22653322653322658</c:v>
                </c:pt>
                <c:pt idx="90">
                  <c:v>0.17335217335217348</c:v>
                </c:pt>
                <c:pt idx="91">
                  <c:v>7.6245076245076301E-2</c:v>
                </c:pt>
                <c:pt idx="92">
                  <c:v>0.11988011988011998</c:v>
                </c:pt>
                <c:pt idx="93">
                  <c:v>9.9945099945100105E-2</c:v>
                </c:pt>
                <c:pt idx="94">
                  <c:v>2.6313026313026355E-2</c:v>
                </c:pt>
                <c:pt idx="95">
                  <c:v>0.11459711459711462</c:v>
                </c:pt>
                <c:pt idx="96">
                  <c:v>0.14822114822114832</c:v>
                </c:pt>
                <c:pt idx="97">
                  <c:v>0.11827211827211837</c:v>
                </c:pt>
                <c:pt idx="98">
                  <c:v>8.0295080295080423E-2</c:v>
                </c:pt>
                <c:pt idx="99">
                  <c:v>0.13963513963513968</c:v>
                </c:pt>
                <c:pt idx="100">
                  <c:v>9.0018090018090094E-2</c:v>
                </c:pt>
                <c:pt idx="101">
                  <c:v>6.7830067830067869E-2</c:v>
                </c:pt>
                <c:pt idx="102">
                  <c:v>0.12582012582012597</c:v>
                </c:pt>
                <c:pt idx="103">
                  <c:v>8.5638085638085781E-2</c:v>
                </c:pt>
                <c:pt idx="104">
                  <c:v>0.12505512505512506</c:v>
                </c:pt>
                <c:pt idx="105">
                  <c:v>0.11157611157611159</c:v>
                </c:pt>
                <c:pt idx="106">
                  <c:v>5.7864057864057891E-2</c:v>
                </c:pt>
                <c:pt idx="107">
                  <c:v>5.2425052425052486E-2</c:v>
                </c:pt>
                <c:pt idx="108">
                  <c:v>8.8752088752088759E-2</c:v>
                </c:pt>
                <c:pt idx="109">
                  <c:v>8.5953085953085984E-2</c:v>
                </c:pt>
                <c:pt idx="110">
                  <c:v>0.17851217851217854</c:v>
                </c:pt>
                <c:pt idx="111">
                  <c:v>9.2046092046092085E-2</c:v>
                </c:pt>
                <c:pt idx="112">
                  <c:v>0.22262722262722262</c:v>
                </c:pt>
                <c:pt idx="113">
                  <c:v>0.28587628587628594</c:v>
                </c:pt>
                <c:pt idx="114">
                  <c:v>0.36977136977136976</c:v>
                </c:pt>
                <c:pt idx="115">
                  <c:v>0.35826035826035829</c:v>
                </c:pt>
                <c:pt idx="116">
                  <c:v>0.30790230790230794</c:v>
                </c:pt>
                <c:pt idx="117">
                  <c:v>8.5824085824085836E-2</c:v>
                </c:pt>
                <c:pt idx="118">
                  <c:v>0.12098412098412106</c:v>
                </c:pt>
                <c:pt idx="119">
                  <c:v>0.205854205854206</c:v>
                </c:pt>
                <c:pt idx="120">
                  <c:v>0.17593517593517605</c:v>
                </c:pt>
                <c:pt idx="121">
                  <c:v>0.23281223281223293</c:v>
                </c:pt>
                <c:pt idx="122">
                  <c:v>0.1909771909771911</c:v>
                </c:pt>
                <c:pt idx="123">
                  <c:v>0.26901326901326916</c:v>
                </c:pt>
                <c:pt idx="124">
                  <c:v>0.14352014352014361</c:v>
                </c:pt>
                <c:pt idx="125">
                  <c:v>0.277023277023277</c:v>
                </c:pt>
                <c:pt idx="126">
                  <c:v>0.23099423099423111</c:v>
                </c:pt>
                <c:pt idx="127">
                  <c:v>0.21545121545121546</c:v>
                </c:pt>
                <c:pt idx="128">
                  <c:v>0.23685023685023696</c:v>
                </c:pt>
                <c:pt idx="129">
                  <c:v>0.24973524973524974</c:v>
                </c:pt>
                <c:pt idx="130">
                  <c:v>0.18558618558618564</c:v>
                </c:pt>
                <c:pt idx="131">
                  <c:v>0.28875328875328882</c:v>
                </c:pt>
                <c:pt idx="132">
                  <c:v>0.25128925128925139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D1-43AE-8097-21DE51067EDC}"/>
            </c:ext>
          </c:extLst>
        </c:ser>
        <c:ser>
          <c:idx val="2"/>
          <c:order val="2"/>
          <c:tx>
            <c:strRef>
              <c:f>'Different mode of action'!$O$1</c:f>
              <c:strCache>
                <c:ptCount val="1"/>
                <c:pt idx="0">
                  <c:v>Esobs_temp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'Different mode of action'!$L$2:$L$343</c:f>
              <c:numCache>
                <c:formatCode>General</c:formatCode>
                <c:ptCount val="342"/>
                <c:pt idx="0">
                  <c:v>0.27574909514727153</c:v>
                </c:pt>
                <c:pt idx="1">
                  <c:v>0.27574909514727153</c:v>
                </c:pt>
                <c:pt idx="2">
                  <c:v>0.27574909514727153</c:v>
                </c:pt>
                <c:pt idx="3">
                  <c:v>0.27574909514727153</c:v>
                </c:pt>
                <c:pt idx="4">
                  <c:v>0.27574909514727153</c:v>
                </c:pt>
                <c:pt idx="5">
                  <c:v>0.27574909514727153</c:v>
                </c:pt>
                <c:pt idx="6">
                  <c:v>0.27574909514727153</c:v>
                </c:pt>
                <c:pt idx="7">
                  <c:v>0.27574909514727153</c:v>
                </c:pt>
                <c:pt idx="8">
                  <c:v>0.27574909514727153</c:v>
                </c:pt>
                <c:pt idx="9">
                  <c:v>0.27574909514727153</c:v>
                </c:pt>
                <c:pt idx="10">
                  <c:v>0.27574909514727153</c:v>
                </c:pt>
                <c:pt idx="11">
                  <c:v>0.27574909514727153</c:v>
                </c:pt>
                <c:pt idx="12">
                  <c:v>0.27574909514727153</c:v>
                </c:pt>
                <c:pt idx="13">
                  <c:v>0.27574909514727153</c:v>
                </c:pt>
                <c:pt idx="14">
                  <c:v>0.27574909514727153</c:v>
                </c:pt>
                <c:pt idx="15">
                  <c:v>0.27574909514727153</c:v>
                </c:pt>
                <c:pt idx="16">
                  <c:v>0.27574909514727153</c:v>
                </c:pt>
                <c:pt idx="17">
                  <c:v>0.27574909514727153</c:v>
                </c:pt>
                <c:pt idx="18">
                  <c:v>0.27574909514727153</c:v>
                </c:pt>
                <c:pt idx="19">
                  <c:v>0.27574909514727153</c:v>
                </c:pt>
                <c:pt idx="20">
                  <c:v>0.27870101061683977</c:v>
                </c:pt>
                <c:pt idx="21">
                  <c:v>0.27870101061683977</c:v>
                </c:pt>
                <c:pt idx="22">
                  <c:v>0.27870101061683977</c:v>
                </c:pt>
                <c:pt idx="23">
                  <c:v>0.27870101061683977</c:v>
                </c:pt>
                <c:pt idx="24">
                  <c:v>0.27870101061683977</c:v>
                </c:pt>
                <c:pt idx="25">
                  <c:v>0.27870101061683977</c:v>
                </c:pt>
                <c:pt idx="26">
                  <c:v>0.27870101061683977</c:v>
                </c:pt>
                <c:pt idx="27">
                  <c:v>0.27870101061683977</c:v>
                </c:pt>
                <c:pt idx="28">
                  <c:v>0.27870101061683977</c:v>
                </c:pt>
                <c:pt idx="29">
                  <c:v>0.27870101061683977</c:v>
                </c:pt>
                <c:pt idx="30">
                  <c:v>0.27870101061683977</c:v>
                </c:pt>
                <c:pt idx="31">
                  <c:v>0.27870101061683977</c:v>
                </c:pt>
                <c:pt idx="32">
                  <c:v>0.27870101061683977</c:v>
                </c:pt>
                <c:pt idx="33">
                  <c:v>0.27870101061683977</c:v>
                </c:pt>
                <c:pt idx="34">
                  <c:v>0.2785002537377248</c:v>
                </c:pt>
                <c:pt idx="35">
                  <c:v>0.2785002537377248</c:v>
                </c:pt>
                <c:pt idx="36">
                  <c:v>0.2785002537377248</c:v>
                </c:pt>
                <c:pt idx="37">
                  <c:v>0.2785002537377248</c:v>
                </c:pt>
                <c:pt idx="38">
                  <c:v>0.2785002537377248</c:v>
                </c:pt>
                <c:pt idx="39">
                  <c:v>0.2785002537377248</c:v>
                </c:pt>
                <c:pt idx="40">
                  <c:v>0.2785002537377248</c:v>
                </c:pt>
                <c:pt idx="41">
                  <c:v>0.2785002537377248</c:v>
                </c:pt>
                <c:pt idx="42">
                  <c:v>0.2785002537377248</c:v>
                </c:pt>
                <c:pt idx="43">
                  <c:v>0.2785002537377248</c:v>
                </c:pt>
                <c:pt idx="44">
                  <c:v>0.2785002537377248</c:v>
                </c:pt>
                <c:pt idx="45">
                  <c:v>0.2785002537377248</c:v>
                </c:pt>
                <c:pt idx="46">
                  <c:v>0.29067594397532592</c:v>
                </c:pt>
                <c:pt idx="47">
                  <c:v>0.29067594397532592</c:v>
                </c:pt>
                <c:pt idx="48">
                  <c:v>0.29067594397532592</c:v>
                </c:pt>
                <c:pt idx="49">
                  <c:v>0.29067594397532592</c:v>
                </c:pt>
                <c:pt idx="50">
                  <c:v>0.29067594397532592</c:v>
                </c:pt>
                <c:pt idx="51">
                  <c:v>0.29067594397532592</c:v>
                </c:pt>
                <c:pt idx="52">
                  <c:v>0.29067594397532592</c:v>
                </c:pt>
                <c:pt idx="53">
                  <c:v>0.29067594397532592</c:v>
                </c:pt>
                <c:pt idx="54">
                  <c:v>0.29067594397532592</c:v>
                </c:pt>
                <c:pt idx="55">
                  <c:v>0.29067594397532592</c:v>
                </c:pt>
                <c:pt idx="56">
                  <c:v>0.29067594397532592</c:v>
                </c:pt>
                <c:pt idx="57">
                  <c:v>0.29067594397532592</c:v>
                </c:pt>
                <c:pt idx="58">
                  <c:v>0.29067594397532592</c:v>
                </c:pt>
                <c:pt idx="59">
                  <c:v>0.29067594397532592</c:v>
                </c:pt>
                <c:pt idx="60">
                  <c:v>0.34100462200196036</c:v>
                </c:pt>
                <c:pt idx="61">
                  <c:v>0.34100462200196036</c:v>
                </c:pt>
                <c:pt idx="62">
                  <c:v>0.34100462200196036</c:v>
                </c:pt>
                <c:pt idx="63">
                  <c:v>0.34100462200196036</c:v>
                </c:pt>
                <c:pt idx="64">
                  <c:v>0.34100462200196036</c:v>
                </c:pt>
                <c:pt idx="65">
                  <c:v>0.34100462200196036</c:v>
                </c:pt>
                <c:pt idx="66">
                  <c:v>0.34100462200196036</c:v>
                </c:pt>
                <c:pt idx="67">
                  <c:v>0.34100462200196036</c:v>
                </c:pt>
                <c:pt idx="68">
                  <c:v>0.34100462200196036</c:v>
                </c:pt>
                <c:pt idx="69">
                  <c:v>0.34100462200196036</c:v>
                </c:pt>
                <c:pt idx="70">
                  <c:v>0.34100462200196036</c:v>
                </c:pt>
                <c:pt idx="71">
                  <c:v>0.34100462200196036</c:v>
                </c:pt>
                <c:pt idx="72">
                  <c:v>0.34100462200196036</c:v>
                </c:pt>
                <c:pt idx="73">
                  <c:v>0.34100462200196036</c:v>
                </c:pt>
                <c:pt idx="74">
                  <c:v>0.34100462200196036</c:v>
                </c:pt>
                <c:pt idx="75">
                  <c:v>0.34100462200196036</c:v>
                </c:pt>
                <c:pt idx="76">
                  <c:v>0.34100462200196036</c:v>
                </c:pt>
                <c:pt idx="77">
                  <c:v>0.34100462200196036</c:v>
                </c:pt>
                <c:pt idx="78">
                  <c:v>0.34100462200196036</c:v>
                </c:pt>
                <c:pt idx="79">
                  <c:v>0.34100462200196036</c:v>
                </c:pt>
                <c:pt idx="80">
                  <c:v>0.34100462200196036</c:v>
                </c:pt>
                <c:pt idx="81">
                  <c:v>0.27823954147326585</c:v>
                </c:pt>
                <c:pt idx="82">
                  <c:v>0.27823954147326585</c:v>
                </c:pt>
                <c:pt idx="83">
                  <c:v>0.27823954147326585</c:v>
                </c:pt>
                <c:pt idx="84">
                  <c:v>0.27823954147326585</c:v>
                </c:pt>
                <c:pt idx="85">
                  <c:v>0.27823954147326585</c:v>
                </c:pt>
                <c:pt idx="86">
                  <c:v>0.27823954147326585</c:v>
                </c:pt>
                <c:pt idx="87">
                  <c:v>0.27823954147326585</c:v>
                </c:pt>
                <c:pt idx="88">
                  <c:v>0.27823954147326585</c:v>
                </c:pt>
                <c:pt idx="89">
                  <c:v>0.27823954147326585</c:v>
                </c:pt>
                <c:pt idx="90">
                  <c:v>0.27823954147326585</c:v>
                </c:pt>
                <c:pt idx="91">
                  <c:v>0.27823954147326585</c:v>
                </c:pt>
                <c:pt idx="92">
                  <c:v>0.25164809708231323</c:v>
                </c:pt>
                <c:pt idx="93">
                  <c:v>0.25164809708231323</c:v>
                </c:pt>
                <c:pt idx="94">
                  <c:v>0.25164809708231323</c:v>
                </c:pt>
                <c:pt idx="95">
                  <c:v>0.25164809708231323</c:v>
                </c:pt>
                <c:pt idx="96">
                  <c:v>0.25164809708231323</c:v>
                </c:pt>
                <c:pt idx="97">
                  <c:v>0.25164809708231323</c:v>
                </c:pt>
                <c:pt idx="98">
                  <c:v>0.25164809708231323</c:v>
                </c:pt>
                <c:pt idx="99">
                  <c:v>0.25164809708231323</c:v>
                </c:pt>
                <c:pt idx="100">
                  <c:v>0.27961784538251339</c:v>
                </c:pt>
                <c:pt idx="101">
                  <c:v>0.27961784538251339</c:v>
                </c:pt>
                <c:pt idx="102">
                  <c:v>0.27961784538251339</c:v>
                </c:pt>
                <c:pt idx="103">
                  <c:v>0.27961784538251339</c:v>
                </c:pt>
                <c:pt idx="104">
                  <c:v>0.27961784538251339</c:v>
                </c:pt>
                <c:pt idx="105">
                  <c:v>0.27961784538251339</c:v>
                </c:pt>
                <c:pt idx="106">
                  <c:v>0.27961784538251339</c:v>
                </c:pt>
                <c:pt idx="107">
                  <c:v>0.27961784538251339</c:v>
                </c:pt>
                <c:pt idx="108">
                  <c:v>0.27961784538251339</c:v>
                </c:pt>
                <c:pt idx="109">
                  <c:v>0.31921740159101319</c:v>
                </c:pt>
                <c:pt idx="110">
                  <c:v>0.31921740159101319</c:v>
                </c:pt>
                <c:pt idx="111">
                  <c:v>0.31921740159101319</c:v>
                </c:pt>
                <c:pt idx="112">
                  <c:v>0.31921740159101319</c:v>
                </c:pt>
                <c:pt idx="113">
                  <c:v>0.31921740159101319</c:v>
                </c:pt>
                <c:pt idx="114">
                  <c:v>0.31921740159101319</c:v>
                </c:pt>
                <c:pt idx="115">
                  <c:v>0.31921740159101319</c:v>
                </c:pt>
                <c:pt idx="116">
                  <c:v>0.31921740159101319</c:v>
                </c:pt>
                <c:pt idx="117">
                  <c:v>0.31921740159101319</c:v>
                </c:pt>
                <c:pt idx="118">
                  <c:v>0.31921740159101319</c:v>
                </c:pt>
                <c:pt idx="119">
                  <c:v>0.36956485003252837</c:v>
                </c:pt>
                <c:pt idx="120">
                  <c:v>0.36956485003252837</c:v>
                </c:pt>
                <c:pt idx="121">
                  <c:v>0.36956485003252837</c:v>
                </c:pt>
                <c:pt idx="122">
                  <c:v>0.36956485003252837</c:v>
                </c:pt>
                <c:pt idx="123">
                  <c:v>0.36956485003252837</c:v>
                </c:pt>
                <c:pt idx="124">
                  <c:v>0.36956485003252837</c:v>
                </c:pt>
                <c:pt idx="125">
                  <c:v>0.36956485003252837</c:v>
                </c:pt>
                <c:pt idx="126">
                  <c:v>0.36956485003252837</c:v>
                </c:pt>
                <c:pt idx="127">
                  <c:v>0.36956485003252837</c:v>
                </c:pt>
                <c:pt idx="128">
                  <c:v>0.36956485003252837</c:v>
                </c:pt>
                <c:pt idx="129">
                  <c:v>0.36956485003252837</c:v>
                </c:pt>
                <c:pt idx="130">
                  <c:v>0.36956485003252837</c:v>
                </c:pt>
                <c:pt idx="131">
                  <c:v>0.36956485003252837</c:v>
                </c:pt>
                <c:pt idx="132">
                  <c:v>0.36956485003252837</c:v>
                </c:pt>
                <c:pt idx="133">
                  <c:v>0.54008632391988021</c:v>
                </c:pt>
                <c:pt idx="134">
                  <c:v>0.54008632391988021</c:v>
                </c:pt>
                <c:pt idx="135">
                  <c:v>0.54008632391988021</c:v>
                </c:pt>
                <c:pt idx="136">
                  <c:v>0.54008632391988021</c:v>
                </c:pt>
                <c:pt idx="137">
                  <c:v>0.54008632391988021</c:v>
                </c:pt>
                <c:pt idx="138">
                  <c:v>0.54008632391988021</c:v>
                </c:pt>
                <c:pt idx="139">
                  <c:v>0.54008632391988021</c:v>
                </c:pt>
                <c:pt idx="140">
                  <c:v>0.54008632391988021</c:v>
                </c:pt>
                <c:pt idx="141">
                  <c:v>0.54008632391988021</c:v>
                </c:pt>
                <c:pt idx="142">
                  <c:v>0.54008632391988021</c:v>
                </c:pt>
                <c:pt idx="143">
                  <c:v>0.54008632391988021</c:v>
                </c:pt>
                <c:pt idx="144">
                  <c:v>0.54008632391988021</c:v>
                </c:pt>
                <c:pt idx="145">
                  <c:v>0.37767936636706045</c:v>
                </c:pt>
                <c:pt idx="146">
                  <c:v>0.37767936636706045</c:v>
                </c:pt>
                <c:pt idx="147">
                  <c:v>0.37767936636706045</c:v>
                </c:pt>
                <c:pt idx="148">
                  <c:v>0.37767936636706045</c:v>
                </c:pt>
                <c:pt idx="149">
                  <c:v>0.37767936636706045</c:v>
                </c:pt>
                <c:pt idx="150">
                  <c:v>0.37767936636706045</c:v>
                </c:pt>
                <c:pt idx="151">
                  <c:v>0.37767936636706045</c:v>
                </c:pt>
                <c:pt idx="152">
                  <c:v>0.37767936636706045</c:v>
                </c:pt>
                <c:pt idx="153">
                  <c:v>0.37767936636706045</c:v>
                </c:pt>
                <c:pt idx="154">
                  <c:v>0.37767936636706045</c:v>
                </c:pt>
                <c:pt idx="155">
                  <c:v>0.37767936636706045</c:v>
                </c:pt>
                <c:pt idx="156">
                  <c:v>0.37767936636706045</c:v>
                </c:pt>
                <c:pt idx="157">
                  <c:v>0.29235944997235125</c:v>
                </c:pt>
                <c:pt idx="158">
                  <c:v>0.29235944997235125</c:v>
                </c:pt>
                <c:pt idx="159">
                  <c:v>0.29235944997235125</c:v>
                </c:pt>
                <c:pt idx="160">
                  <c:v>0.29235944997235125</c:v>
                </c:pt>
                <c:pt idx="161">
                  <c:v>0.29235944997235125</c:v>
                </c:pt>
                <c:pt idx="162">
                  <c:v>0.29235944997235125</c:v>
                </c:pt>
                <c:pt idx="163">
                  <c:v>0.29235944997235125</c:v>
                </c:pt>
                <c:pt idx="164">
                  <c:v>0.29235944997235125</c:v>
                </c:pt>
                <c:pt idx="165">
                  <c:v>0.29235944997235125</c:v>
                </c:pt>
                <c:pt idx="166">
                  <c:v>0.29235944997235125</c:v>
                </c:pt>
                <c:pt idx="167">
                  <c:v>0.29235944997235125</c:v>
                </c:pt>
                <c:pt idx="168">
                  <c:v>0.29235944997235125</c:v>
                </c:pt>
                <c:pt idx="169">
                  <c:v>0.29235944997235125</c:v>
                </c:pt>
                <c:pt idx="170">
                  <c:v>0.29235944997235125</c:v>
                </c:pt>
                <c:pt idx="171">
                  <c:v>0.29235944997235125</c:v>
                </c:pt>
                <c:pt idx="172">
                  <c:v>0.29235944997235125</c:v>
                </c:pt>
                <c:pt idx="173">
                  <c:v>0.28842270016699367</c:v>
                </c:pt>
                <c:pt idx="174">
                  <c:v>0.28842270016699367</c:v>
                </c:pt>
                <c:pt idx="175">
                  <c:v>0.28842270016699367</c:v>
                </c:pt>
                <c:pt idx="176">
                  <c:v>0.28842270016699367</c:v>
                </c:pt>
                <c:pt idx="177">
                  <c:v>0.28842270016699367</c:v>
                </c:pt>
                <c:pt idx="178">
                  <c:v>0.28842270016699367</c:v>
                </c:pt>
                <c:pt idx="179">
                  <c:v>0.28842270016699367</c:v>
                </c:pt>
                <c:pt idx="180">
                  <c:v>0.28842270016699367</c:v>
                </c:pt>
                <c:pt idx="181">
                  <c:v>0.28842270016699367</c:v>
                </c:pt>
                <c:pt idx="182">
                  <c:v>0.28842270016699367</c:v>
                </c:pt>
                <c:pt idx="183">
                  <c:v>0.4492573635182851</c:v>
                </c:pt>
                <c:pt idx="184">
                  <c:v>0.4492573635182851</c:v>
                </c:pt>
                <c:pt idx="185">
                  <c:v>0.4492573635182851</c:v>
                </c:pt>
                <c:pt idx="186">
                  <c:v>0.4492573635182851</c:v>
                </c:pt>
                <c:pt idx="187">
                  <c:v>0.4492573635182851</c:v>
                </c:pt>
                <c:pt idx="188">
                  <c:v>0.4492573635182851</c:v>
                </c:pt>
                <c:pt idx="189">
                  <c:v>0.4492573635182851</c:v>
                </c:pt>
                <c:pt idx="190">
                  <c:v>0.33113395141874158</c:v>
                </c:pt>
                <c:pt idx="191">
                  <c:v>0.33113395141874158</c:v>
                </c:pt>
                <c:pt idx="192">
                  <c:v>0.33113395141874158</c:v>
                </c:pt>
                <c:pt idx="193">
                  <c:v>0.33113395141874158</c:v>
                </c:pt>
                <c:pt idx="194">
                  <c:v>0.33113395141874158</c:v>
                </c:pt>
                <c:pt idx="195">
                  <c:v>0.33113395141874158</c:v>
                </c:pt>
                <c:pt idx="196">
                  <c:v>0.33113395141874158</c:v>
                </c:pt>
                <c:pt idx="197">
                  <c:v>0.33113395141874158</c:v>
                </c:pt>
                <c:pt idx="198">
                  <c:v>0.33113395141874158</c:v>
                </c:pt>
                <c:pt idx="199">
                  <c:v>0.33113395141874158</c:v>
                </c:pt>
                <c:pt idx="200">
                  <c:v>0.33113395141874158</c:v>
                </c:pt>
                <c:pt idx="201">
                  <c:v>0.32945546256198532</c:v>
                </c:pt>
                <c:pt idx="202">
                  <c:v>0.32945546256198532</c:v>
                </c:pt>
                <c:pt idx="203">
                  <c:v>0.32945546256198532</c:v>
                </c:pt>
                <c:pt idx="204">
                  <c:v>0.32945546256198532</c:v>
                </c:pt>
                <c:pt idx="205">
                  <c:v>0.26176496240599917</c:v>
                </c:pt>
                <c:pt idx="206">
                  <c:v>0.26176496240599917</c:v>
                </c:pt>
                <c:pt idx="207">
                  <c:v>0.26176496240599917</c:v>
                </c:pt>
                <c:pt idx="208">
                  <c:v>0.26176496240599917</c:v>
                </c:pt>
                <c:pt idx="209">
                  <c:v>0.26176496240599917</c:v>
                </c:pt>
                <c:pt idx="210">
                  <c:v>0.26176496240599917</c:v>
                </c:pt>
                <c:pt idx="211">
                  <c:v>0.26176496240599917</c:v>
                </c:pt>
                <c:pt idx="212">
                  <c:v>0.26176496240599917</c:v>
                </c:pt>
                <c:pt idx="213">
                  <c:v>0.26176496240599917</c:v>
                </c:pt>
                <c:pt idx="214">
                  <c:v>0.26176496240599917</c:v>
                </c:pt>
                <c:pt idx="215">
                  <c:v>0.26439338765423237</c:v>
                </c:pt>
                <c:pt idx="216">
                  <c:v>0.26439338765423237</c:v>
                </c:pt>
                <c:pt idx="217">
                  <c:v>0.26439338765423237</c:v>
                </c:pt>
                <c:pt idx="218">
                  <c:v>0.26439338765423237</c:v>
                </c:pt>
                <c:pt idx="219">
                  <c:v>0.26439338765423237</c:v>
                </c:pt>
                <c:pt idx="220">
                  <c:v>0.26439338765423237</c:v>
                </c:pt>
                <c:pt idx="221">
                  <c:v>0.26439338765423237</c:v>
                </c:pt>
                <c:pt idx="222">
                  <c:v>0.26439338765423237</c:v>
                </c:pt>
                <c:pt idx="223">
                  <c:v>0.29259890357074891</c:v>
                </c:pt>
                <c:pt idx="224">
                  <c:v>0.29259890357074891</c:v>
                </c:pt>
                <c:pt idx="225">
                  <c:v>0.29259890357074891</c:v>
                </c:pt>
                <c:pt idx="226">
                  <c:v>0.29259890357074891</c:v>
                </c:pt>
                <c:pt idx="227">
                  <c:v>0.29259890357074891</c:v>
                </c:pt>
                <c:pt idx="228">
                  <c:v>0.29259890357074891</c:v>
                </c:pt>
                <c:pt idx="229">
                  <c:v>0.29259890357074891</c:v>
                </c:pt>
                <c:pt idx="230">
                  <c:v>0.29259890357074891</c:v>
                </c:pt>
                <c:pt idx="231">
                  <c:v>0.29259890357074891</c:v>
                </c:pt>
                <c:pt idx="232">
                  <c:v>0.29259890357074891</c:v>
                </c:pt>
                <c:pt idx="233">
                  <c:v>0.29259890357074891</c:v>
                </c:pt>
                <c:pt idx="234">
                  <c:v>0.29259890357074891</c:v>
                </c:pt>
                <c:pt idx="235">
                  <c:v>0.28744525931547577</c:v>
                </c:pt>
                <c:pt idx="236">
                  <c:v>0.28744525931547577</c:v>
                </c:pt>
                <c:pt idx="237">
                  <c:v>0.28744525931547577</c:v>
                </c:pt>
                <c:pt idx="238">
                  <c:v>0.28744525931547577</c:v>
                </c:pt>
                <c:pt idx="239">
                  <c:v>0.28744525931547577</c:v>
                </c:pt>
                <c:pt idx="240">
                  <c:v>0.28744525931547577</c:v>
                </c:pt>
                <c:pt idx="241">
                  <c:v>0.28744525931547577</c:v>
                </c:pt>
                <c:pt idx="242">
                  <c:v>0.28744525931547577</c:v>
                </c:pt>
                <c:pt idx="243">
                  <c:v>0.28744525931547577</c:v>
                </c:pt>
                <c:pt idx="244">
                  <c:v>0.28744525931547577</c:v>
                </c:pt>
                <c:pt idx="245">
                  <c:v>0.28744525931547577</c:v>
                </c:pt>
                <c:pt idx="246">
                  <c:v>0.28744525931547577</c:v>
                </c:pt>
                <c:pt idx="247">
                  <c:v>0.28744525931547577</c:v>
                </c:pt>
                <c:pt idx="248">
                  <c:v>0.28744525931547577</c:v>
                </c:pt>
                <c:pt idx="249">
                  <c:v>0.28744525931547577</c:v>
                </c:pt>
                <c:pt idx="250">
                  <c:v>0.28017286818849851</c:v>
                </c:pt>
                <c:pt idx="251">
                  <c:v>0.28017286818849851</c:v>
                </c:pt>
                <c:pt idx="252">
                  <c:v>0.28017286818849851</c:v>
                </c:pt>
                <c:pt idx="253">
                  <c:v>0.28017286818849851</c:v>
                </c:pt>
                <c:pt idx="254">
                  <c:v>0.28017286818849851</c:v>
                </c:pt>
                <c:pt idx="255">
                  <c:v>0.28017286818849851</c:v>
                </c:pt>
                <c:pt idx="256">
                  <c:v>0.28017286818849851</c:v>
                </c:pt>
                <c:pt idx="257">
                  <c:v>0.28017286818849851</c:v>
                </c:pt>
                <c:pt idx="258">
                  <c:v>0.28017286818849851</c:v>
                </c:pt>
                <c:pt idx="259">
                  <c:v>0.28017286818849851</c:v>
                </c:pt>
                <c:pt idx="260">
                  <c:v>0.28017286818849851</c:v>
                </c:pt>
                <c:pt idx="261">
                  <c:v>0.27941901301520705</c:v>
                </c:pt>
                <c:pt idx="262">
                  <c:v>0.27941901301520705</c:v>
                </c:pt>
                <c:pt idx="263">
                  <c:v>0.27941901301520705</c:v>
                </c:pt>
                <c:pt idx="264">
                  <c:v>0.27941901301520705</c:v>
                </c:pt>
                <c:pt idx="265">
                  <c:v>0.27941901301520705</c:v>
                </c:pt>
                <c:pt idx="266">
                  <c:v>0.27941901301520705</c:v>
                </c:pt>
                <c:pt idx="267">
                  <c:v>0.27941901301520705</c:v>
                </c:pt>
                <c:pt idx="268">
                  <c:v>0.27941901301520705</c:v>
                </c:pt>
                <c:pt idx="269">
                  <c:v>0.25445648159670609</c:v>
                </c:pt>
                <c:pt idx="270">
                  <c:v>0.25445648159670609</c:v>
                </c:pt>
                <c:pt idx="271">
                  <c:v>0.25445648159670609</c:v>
                </c:pt>
                <c:pt idx="272">
                  <c:v>0.25445648159670609</c:v>
                </c:pt>
                <c:pt idx="273">
                  <c:v>0.25445648159670609</c:v>
                </c:pt>
                <c:pt idx="274">
                  <c:v>0.25445648159670609</c:v>
                </c:pt>
                <c:pt idx="275">
                  <c:v>0.25445648159670609</c:v>
                </c:pt>
                <c:pt idx="276">
                  <c:v>0.25445648159670609</c:v>
                </c:pt>
                <c:pt idx="277">
                  <c:v>0.25445648159670609</c:v>
                </c:pt>
                <c:pt idx="278">
                  <c:v>0.25965395300443544</c:v>
                </c:pt>
                <c:pt idx="279">
                  <c:v>0.25965395300443544</c:v>
                </c:pt>
                <c:pt idx="280">
                  <c:v>0.25965395300443544</c:v>
                </c:pt>
                <c:pt idx="281">
                  <c:v>0.25965395300443544</c:v>
                </c:pt>
                <c:pt idx="282">
                  <c:v>0.25965395300443544</c:v>
                </c:pt>
                <c:pt idx="283">
                  <c:v>0.25965395300443544</c:v>
                </c:pt>
                <c:pt idx="284">
                  <c:v>0.25965395300443544</c:v>
                </c:pt>
                <c:pt idx="285">
                  <c:v>0.25965395300443544</c:v>
                </c:pt>
                <c:pt idx="286">
                  <c:v>0.25965395300443544</c:v>
                </c:pt>
                <c:pt idx="287">
                  <c:v>0.25965395300443544</c:v>
                </c:pt>
                <c:pt idx="288">
                  <c:v>0.3277137148926923</c:v>
                </c:pt>
                <c:pt idx="289">
                  <c:v>0.3277137148926923</c:v>
                </c:pt>
                <c:pt idx="290">
                  <c:v>0.3277137148926923</c:v>
                </c:pt>
                <c:pt idx="291">
                  <c:v>0.3277137148926923</c:v>
                </c:pt>
                <c:pt idx="292">
                  <c:v>0.3277137148926923</c:v>
                </c:pt>
                <c:pt idx="293">
                  <c:v>0.3277137148926923</c:v>
                </c:pt>
                <c:pt idx="294">
                  <c:v>0.33169330726751367</c:v>
                </c:pt>
                <c:pt idx="295">
                  <c:v>0.33169330726751367</c:v>
                </c:pt>
                <c:pt idx="296">
                  <c:v>0.33169330726751367</c:v>
                </c:pt>
                <c:pt idx="297">
                  <c:v>0.33169330726751367</c:v>
                </c:pt>
                <c:pt idx="298">
                  <c:v>0.33169330726751367</c:v>
                </c:pt>
                <c:pt idx="299">
                  <c:v>0.33169330726751367</c:v>
                </c:pt>
                <c:pt idx="300">
                  <c:v>0.33169330726751367</c:v>
                </c:pt>
                <c:pt idx="301">
                  <c:v>0.27756846574363497</c:v>
                </c:pt>
                <c:pt idx="302">
                  <c:v>0.27756846574363497</c:v>
                </c:pt>
                <c:pt idx="303">
                  <c:v>0.27756846574363497</c:v>
                </c:pt>
                <c:pt idx="304">
                  <c:v>0.27756846574363497</c:v>
                </c:pt>
                <c:pt idx="305">
                  <c:v>0.27756846574363497</c:v>
                </c:pt>
                <c:pt idx="306">
                  <c:v>0.27756846574363497</c:v>
                </c:pt>
                <c:pt idx="307">
                  <c:v>0.27756846574363497</c:v>
                </c:pt>
                <c:pt idx="308">
                  <c:v>0.27756846574363497</c:v>
                </c:pt>
                <c:pt idx="309">
                  <c:v>0.27756846574363497</c:v>
                </c:pt>
                <c:pt idx="310">
                  <c:v>0.27756846574363497</c:v>
                </c:pt>
                <c:pt idx="311">
                  <c:v>0.27728653022111754</c:v>
                </c:pt>
                <c:pt idx="312">
                  <c:v>0.27728653022111754</c:v>
                </c:pt>
                <c:pt idx="313">
                  <c:v>0.27728653022111754</c:v>
                </c:pt>
                <c:pt idx="314">
                  <c:v>0.27728653022111754</c:v>
                </c:pt>
                <c:pt idx="315">
                  <c:v>0.27728653022111754</c:v>
                </c:pt>
                <c:pt idx="316">
                  <c:v>0.27728653022111754</c:v>
                </c:pt>
                <c:pt idx="317">
                  <c:v>0.27728653022111754</c:v>
                </c:pt>
                <c:pt idx="318">
                  <c:v>0.27728653022111754</c:v>
                </c:pt>
                <c:pt idx="319">
                  <c:v>0.27728653022111754</c:v>
                </c:pt>
                <c:pt idx="320">
                  <c:v>0.27728653022111754</c:v>
                </c:pt>
                <c:pt idx="321">
                  <c:v>0.2905224260869092</c:v>
                </c:pt>
                <c:pt idx="322">
                  <c:v>0.2905224260869092</c:v>
                </c:pt>
                <c:pt idx="323">
                  <c:v>0.2905224260869092</c:v>
                </c:pt>
                <c:pt idx="324">
                  <c:v>0.2905224260869092</c:v>
                </c:pt>
                <c:pt idx="325">
                  <c:v>0.2905224260869092</c:v>
                </c:pt>
                <c:pt idx="326">
                  <c:v>0.2905224260869092</c:v>
                </c:pt>
                <c:pt idx="327">
                  <c:v>0.2905224260869092</c:v>
                </c:pt>
                <c:pt idx="328">
                  <c:v>0.2905224260869092</c:v>
                </c:pt>
                <c:pt idx="329">
                  <c:v>0.2905224260869092</c:v>
                </c:pt>
                <c:pt idx="330">
                  <c:v>0.2905224260869092</c:v>
                </c:pt>
                <c:pt idx="331">
                  <c:v>0.29934650408997288</c:v>
                </c:pt>
                <c:pt idx="332">
                  <c:v>0.29934650408997288</c:v>
                </c:pt>
                <c:pt idx="333">
                  <c:v>0.29934650408997288</c:v>
                </c:pt>
                <c:pt idx="334">
                  <c:v>0.29934650408997288</c:v>
                </c:pt>
                <c:pt idx="335">
                  <c:v>0.29934650408997288</c:v>
                </c:pt>
                <c:pt idx="336">
                  <c:v>0.29934650408997288</c:v>
                </c:pt>
                <c:pt idx="337">
                  <c:v>0.29934650408997288</c:v>
                </c:pt>
                <c:pt idx="338">
                  <c:v>0.29934650408997288</c:v>
                </c:pt>
              </c:numCache>
            </c:numRef>
          </c:xVal>
          <c:yVal>
            <c:numRef>
              <c:f>'Different mode of action'!$O$2:$O$343</c:f>
              <c:numCache>
                <c:formatCode>General</c:formatCode>
                <c:ptCount val="342"/>
                <c:pt idx="133">
                  <c:v>0.48698748698748695</c:v>
                </c:pt>
                <c:pt idx="134">
                  <c:v>0.42843642843642843</c:v>
                </c:pt>
                <c:pt idx="135">
                  <c:v>0.4558984558984559</c:v>
                </c:pt>
                <c:pt idx="136">
                  <c:v>0.41305241305241308</c:v>
                </c:pt>
                <c:pt idx="137">
                  <c:v>0.42921342921342925</c:v>
                </c:pt>
                <c:pt idx="138">
                  <c:v>0.46170346170346171</c:v>
                </c:pt>
                <c:pt idx="139">
                  <c:v>0.40313740313740315</c:v>
                </c:pt>
                <c:pt idx="140">
                  <c:v>0.40715440715440715</c:v>
                </c:pt>
                <c:pt idx="141">
                  <c:v>0.44755544755544752</c:v>
                </c:pt>
                <c:pt idx="142">
                  <c:v>0.47937647937647943</c:v>
                </c:pt>
                <c:pt idx="143">
                  <c:v>0.4563994563994565</c:v>
                </c:pt>
                <c:pt idx="144">
                  <c:v>0.45899145899145899</c:v>
                </c:pt>
                <c:pt idx="145">
                  <c:v>0.10250410250410251</c:v>
                </c:pt>
                <c:pt idx="146">
                  <c:v>6.3549063549063686E-2</c:v>
                </c:pt>
                <c:pt idx="147">
                  <c:v>4.2606042606042768E-2</c:v>
                </c:pt>
                <c:pt idx="148">
                  <c:v>0.12865212865212869</c:v>
                </c:pt>
                <c:pt idx="149">
                  <c:v>9.0783090783090853E-2</c:v>
                </c:pt>
                <c:pt idx="150">
                  <c:v>6.9741069741069778E-2</c:v>
                </c:pt>
                <c:pt idx="151">
                  <c:v>3.6132036132036249E-2</c:v>
                </c:pt>
                <c:pt idx="152">
                  <c:v>0.18434718434718436</c:v>
                </c:pt>
                <c:pt idx="153">
                  <c:v>3.4062034062034188E-2</c:v>
                </c:pt>
                <c:pt idx="154">
                  <c:v>0.10909510909510911</c:v>
                </c:pt>
                <c:pt idx="155">
                  <c:v>0.12196512196512205</c:v>
                </c:pt>
                <c:pt idx="156">
                  <c:v>9.5691095691095823E-2</c:v>
                </c:pt>
                <c:pt idx="157">
                  <c:v>0.1656691656691657</c:v>
                </c:pt>
                <c:pt idx="158">
                  <c:v>0.11066111066111066</c:v>
                </c:pt>
                <c:pt idx="159">
                  <c:v>8.7324087324087335E-2</c:v>
                </c:pt>
                <c:pt idx="160">
                  <c:v>0.13644313644313658</c:v>
                </c:pt>
                <c:pt idx="161">
                  <c:v>3.3822033822033824E-2</c:v>
                </c:pt>
                <c:pt idx="162">
                  <c:v>0.14568314568314578</c:v>
                </c:pt>
                <c:pt idx="163">
                  <c:v>8.9760089760089798E-2</c:v>
                </c:pt>
                <c:pt idx="164">
                  <c:v>0.13192213192213206</c:v>
                </c:pt>
                <c:pt idx="165">
                  <c:v>0.1171411171411172</c:v>
                </c:pt>
                <c:pt idx="166">
                  <c:v>9.7017097017097001E-2</c:v>
                </c:pt>
                <c:pt idx="167">
                  <c:v>0.1142911142911144</c:v>
                </c:pt>
                <c:pt idx="168">
                  <c:v>0.11204411204411208</c:v>
                </c:pt>
                <c:pt idx="169">
                  <c:v>0.12794112794112808</c:v>
                </c:pt>
                <c:pt idx="170">
                  <c:v>3.9654039654039706E-2</c:v>
                </c:pt>
                <c:pt idx="171">
                  <c:v>9.6456096456096582E-2</c:v>
                </c:pt>
                <c:pt idx="172">
                  <c:v>8.4594084594084698E-2</c:v>
                </c:pt>
                <c:pt idx="173">
                  <c:v>0.23499323499323502</c:v>
                </c:pt>
                <c:pt idx="174">
                  <c:v>0.10325710325710337</c:v>
                </c:pt>
                <c:pt idx="175">
                  <c:v>0.21282921282921294</c:v>
                </c:pt>
                <c:pt idx="176">
                  <c:v>0.12303012303012316</c:v>
                </c:pt>
                <c:pt idx="177">
                  <c:v>0.17189717189717199</c:v>
                </c:pt>
                <c:pt idx="178">
                  <c:v>0.1584421584421585</c:v>
                </c:pt>
                <c:pt idx="179">
                  <c:v>7.83060783060784E-2</c:v>
                </c:pt>
                <c:pt idx="180">
                  <c:v>0.11038811038811053</c:v>
                </c:pt>
                <c:pt idx="181">
                  <c:v>9.659109659109659E-2</c:v>
                </c:pt>
                <c:pt idx="182">
                  <c:v>0.17363417363417374</c:v>
                </c:pt>
                <c:pt idx="183">
                  <c:v>0.32979932979932991</c:v>
                </c:pt>
                <c:pt idx="184">
                  <c:v>0.31899931899931905</c:v>
                </c:pt>
                <c:pt idx="185">
                  <c:v>0.3282993282993284</c:v>
                </c:pt>
                <c:pt idx="186">
                  <c:v>0.21579921579921593</c:v>
                </c:pt>
                <c:pt idx="187">
                  <c:v>0.12459912459912463</c:v>
                </c:pt>
                <c:pt idx="188">
                  <c:v>0.29289929289929301</c:v>
                </c:pt>
                <c:pt idx="189">
                  <c:v>0.11949911949911957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D1-43AE-8097-21DE51067EDC}"/>
            </c:ext>
          </c:extLst>
        </c:ser>
        <c:ser>
          <c:idx val="3"/>
          <c:order val="3"/>
          <c:tx>
            <c:strRef>
              <c:f>'Different mode of action'!$P$1</c:f>
              <c:strCache>
                <c:ptCount val="1"/>
                <c:pt idx="0">
                  <c:v>Esobs_MS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'Different mode of action'!$L$2:$L$343</c:f>
              <c:numCache>
                <c:formatCode>General</c:formatCode>
                <c:ptCount val="342"/>
                <c:pt idx="0">
                  <c:v>0.27574909514727153</c:v>
                </c:pt>
                <c:pt idx="1">
                  <c:v>0.27574909514727153</c:v>
                </c:pt>
                <c:pt idx="2">
                  <c:v>0.27574909514727153</c:v>
                </c:pt>
                <c:pt idx="3">
                  <c:v>0.27574909514727153</c:v>
                </c:pt>
                <c:pt idx="4">
                  <c:v>0.27574909514727153</c:v>
                </c:pt>
                <c:pt idx="5">
                  <c:v>0.27574909514727153</c:v>
                </c:pt>
                <c:pt idx="6">
                  <c:v>0.27574909514727153</c:v>
                </c:pt>
                <c:pt idx="7">
                  <c:v>0.27574909514727153</c:v>
                </c:pt>
                <c:pt idx="8">
                  <c:v>0.27574909514727153</c:v>
                </c:pt>
                <c:pt idx="9">
                  <c:v>0.27574909514727153</c:v>
                </c:pt>
                <c:pt idx="10">
                  <c:v>0.27574909514727153</c:v>
                </c:pt>
                <c:pt idx="11">
                  <c:v>0.27574909514727153</c:v>
                </c:pt>
                <c:pt idx="12">
                  <c:v>0.27574909514727153</c:v>
                </c:pt>
                <c:pt idx="13">
                  <c:v>0.27574909514727153</c:v>
                </c:pt>
                <c:pt idx="14">
                  <c:v>0.27574909514727153</c:v>
                </c:pt>
                <c:pt idx="15">
                  <c:v>0.27574909514727153</c:v>
                </c:pt>
                <c:pt idx="16">
                  <c:v>0.27574909514727153</c:v>
                </c:pt>
                <c:pt idx="17">
                  <c:v>0.27574909514727153</c:v>
                </c:pt>
                <c:pt idx="18">
                  <c:v>0.27574909514727153</c:v>
                </c:pt>
                <c:pt idx="19">
                  <c:v>0.27574909514727153</c:v>
                </c:pt>
                <c:pt idx="20">
                  <c:v>0.27870101061683977</c:v>
                </c:pt>
                <c:pt idx="21">
                  <c:v>0.27870101061683977</c:v>
                </c:pt>
                <c:pt idx="22">
                  <c:v>0.27870101061683977</c:v>
                </c:pt>
                <c:pt idx="23">
                  <c:v>0.27870101061683977</c:v>
                </c:pt>
                <c:pt idx="24">
                  <c:v>0.27870101061683977</c:v>
                </c:pt>
                <c:pt idx="25">
                  <c:v>0.27870101061683977</c:v>
                </c:pt>
                <c:pt idx="26">
                  <c:v>0.27870101061683977</c:v>
                </c:pt>
                <c:pt idx="27">
                  <c:v>0.27870101061683977</c:v>
                </c:pt>
                <c:pt idx="28">
                  <c:v>0.27870101061683977</c:v>
                </c:pt>
                <c:pt idx="29">
                  <c:v>0.27870101061683977</c:v>
                </c:pt>
                <c:pt idx="30">
                  <c:v>0.27870101061683977</c:v>
                </c:pt>
                <c:pt idx="31">
                  <c:v>0.27870101061683977</c:v>
                </c:pt>
                <c:pt idx="32">
                  <c:v>0.27870101061683977</c:v>
                </c:pt>
                <c:pt idx="33">
                  <c:v>0.27870101061683977</c:v>
                </c:pt>
                <c:pt idx="34">
                  <c:v>0.2785002537377248</c:v>
                </c:pt>
                <c:pt idx="35">
                  <c:v>0.2785002537377248</c:v>
                </c:pt>
                <c:pt idx="36">
                  <c:v>0.2785002537377248</c:v>
                </c:pt>
                <c:pt idx="37">
                  <c:v>0.2785002537377248</c:v>
                </c:pt>
                <c:pt idx="38">
                  <c:v>0.2785002537377248</c:v>
                </c:pt>
                <c:pt idx="39">
                  <c:v>0.2785002537377248</c:v>
                </c:pt>
                <c:pt idx="40">
                  <c:v>0.2785002537377248</c:v>
                </c:pt>
                <c:pt idx="41">
                  <c:v>0.2785002537377248</c:v>
                </c:pt>
                <c:pt idx="42">
                  <c:v>0.2785002537377248</c:v>
                </c:pt>
                <c:pt idx="43">
                  <c:v>0.2785002537377248</c:v>
                </c:pt>
                <c:pt idx="44">
                  <c:v>0.2785002537377248</c:v>
                </c:pt>
                <c:pt idx="45">
                  <c:v>0.2785002537377248</c:v>
                </c:pt>
                <c:pt idx="46">
                  <c:v>0.29067594397532592</c:v>
                </c:pt>
                <c:pt idx="47">
                  <c:v>0.29067594397532592</c:v>
                </c:pt>
                <c:pt idx="48">
                  <c:v>0.29067594397532592</c:v>
                </c:pt>
                <c:pt idx="49">
                  <c:v>0.29067594397532592</c:v>
                </c:pt>
                <c:pt idx="50">
                  <c:v>0.29067594397532592</c:v>
                </c:pt>
                <c:pt idx="51">
                  <c:v>0.29067594397532592</c:v>
                </c:pt>
                <c:pt idx="52">
                  <c:v>0.29067594397532592</c:v>
                </c:pt>
                <c:pt idx="53">
                  <c:v>0.29067594397532592</c:v>
                </c:pt>
                <c:pt idx="54">
                  <c:v>0.29067594397532592</c:v>
                </c:pt>
                <c:pt idx="55">
                  <c:v>0.29067594397532592</c:v>
                </c:pt>
                <c:pt idx="56">
                  <c:v>0.29067594397532592</c:v>
                </c:pt>
                <c:pt idx="57">
                  <c:v>0.29067594397532592</c:v>
                </c:pt>
                <c:pt idx="58">
                  <c:v>0.29067594397532592</c:v>
                </c:pt>
                <c:pt idx="59">
                  <c:v>0.29067594397532592</c:v>
                </c:pt>
                <c:pt idx="60">
                  <c:v>0.34100462200196036</c:v>
                </c:pt>
                <c:pt idx="61">
                  <c:v>0.34100462200196036</c:v>
                </c:pt>
                <c:pt idx="62">
                  <c:v>0.34100462200196036</c:v>
                </c:pt>
                <c:pt idx="63">
                  <c:v>0.34100462200196036</c:v>
                </c:pt>
                <c:pt idx="64">
                  <c:v>0.34100462200196036</c:v>
                </c:pt>
                <c:pt idx="65">
                  <c:v>0.34100462200196036</c:v>
                </c:pt>
                <c:pt idx="66">
                  <c:v>0.34100462200196036</c:v>
                </c:pt>
                <c:pt idx="67">
                  <c:v>0.34100462200196036</c:v>
                </c:pt>
                <c:pt idx="68">
                  <c:v>0.34100462200196036</c:v>
                </c:pt>
                <c:pt idx="69">
                  <c:v>0.34100462200196036</c:v>
                </c:pt>
                <c:pt idx="70">
                  <c:v>0.34100462200196036</c:v>
                </c:pt>
                <c:pt idx="71">
                  <c:v>0.34100462200196036</c:v>
                </c:pt>
                <c:pt idx="72">
                  <c:v>0.34100462200196036</c:v>
                </c:pt>
                <c:pt idx="73">
                  <c:v>0.34100462200196036</c:v>
                </c:pt>
                <c:pt idx="74">
                  <c:v>0.34100462200196036</c:v>
                </c:pt>
                <c:pt idx="75">
                  <c:v>0.34100462200196036</c:v>
                </c:pt>
                <c:pt idx="76">
                  <c:v>0.34100462200196036</c:v>
                </c:pt>
                <c:pt idx="77">
                  <c:v>0.34100462200196036</c:v>
                </c:pt>
                <c:pt idx="78">
                  <c:v>0.34100462200196036</c:v>
                </c:pt>
                <c:pt idx="79">
                  <c:v>0.34100462200196036</c:v>
                </c:pt>
                <c:pt idx="80">
                  <c:v>0.34100462200196036</c:v>
                </c:pt>
                <c:pt idx="81">
                  <c:v>0.27823954147326585</c:v>
                </c:pt>
                <c:pt idx="82">
                  <c:v>0.27823954147326585</c:v>
                </c:pt>
                <c:pt idx="83">
                  <c:v>0.27823954147326585</c:v>
                </c:pt>
                <c:pt idx="84">
                  <c:v>0.27823954147326585</c:v>
                </c:pt>
                <c:pt idx="85">
                  <c:v>0.27823954147326585</c:v>
                </c:pt>
                <c:pt idx="86">
                  <c:v>0.27823954147326585</c:v>
                </c:pt>
                <c:pt idx="87">
                  <c:v>0.27823954147326585</c:v>
                </c:pt>
                <c:pt idx="88">
                  <c:v>0.27823954147326585</c:v>
                </c:pt>
                <c:pt idx="89">
                  <c:v>0.27823954147326585</c:v>
                </c:pt>
                <c:pt idx="90">
                  <c:v>0.27823954147326585</c:v>
                </c:pt>
                <c:pt idx="91">
                  <c:v>0.27823954147326585</c:v>
                </c:pt>
                <c:pt idx="92">
                  <c:v>0.25164809708231323</c:v>
                </c:pt>
                <c:pt idx="93">
                  <c:v>0.25164809708231323</c:v>
                </c:pt>
                <c:pt idx="94">
                  <c:v>0.25164809708231323</c:v>
                </c:pt>
                <c:pt idx="95">
                  <c:v>0.25164809708231323</c:v>
                </c:pt>
                <c:pt idx="96">
                  <c:v>0.25164809708231323</c:v>
                </c:pt>
                <c:pt idx="97">
                  <c:v>0.25164809708231323</c:v>
                </c:pt>
                <c:pt idx="98">
                  <c:v>0.25164809708231323</c:v>
                </c:pt>
                <c:pt idx="99">
                  <c:v>0.25164809708231323</c:v>
                </c:pt>
                <c:pt idx="100">
                  <c:v>0.27961784538251339</c:v>
                </c:pt>
                <c:pt idx="101">
                  <c:v>0.27961784538251339</c:v>
                </c:pt>
                <c:pt idx="102">
                  <c:v>0.27961784538251339</c:v>
                </c:pt>
                <c:pt idx="103">
                  <c:v>0.27961784538251339</c:v>
                </c:pt>
                <c:pt idx="104">
                  <c:v>0.27961784538251339</c:v>
                </c:pt>
                <c:pt idx="105">
                  <c:v>0.27961784538251339</c:v>
                </c:pt>
                <c:pt idx="106">
                  <c:v>0.27961784538251339</c:v>
                </c:pt>
                <c:pt idx="107">
                  <c:v>0.27961784538251339</c:v>
                </c:pt>
                <c:pt idx="108">
                  <c:v>0.27961784538251339</c:v>
                </c:pt>
                <c:pt idx="109">
                  <c:v>0.31921740159101319</c:v>
                </c:pt>
                <c:pt idx="110">
                  <c:v>0.31921740159101319</c:v>
                </c:pt>
                <c:pt idx="111">
                  <c:v>0.31921740159101319</c:v>
                </c:pt>
                <c:pt idx="112">
                  <c:v>0.31921740159101319</c:v>
                </c:pt>
                <c:pt idx="113">
                  <c:v>0.31921740159101319</c:v>
                </c:pt>
                <c:pt idx="114">
                  <c:v>0.31921740159101319</c:v>
                </c:pt>
                <c:pt idx="115">
                  <c:v>0.31921740159101319</c:v>
                </c:pt>
                <c:pt idx="116">
                  <c:v>0.31921740159101319</c:v>
                </c:pt>
                <c:pt idx="117">
                  <c:v>0.31921740159101319</c:v>
                </c:pt>
                <c:pt idx="118">
                  <c:v>0.31921740159101319</c:v>
                </c:pt>
                <c:pt idx="119">
                  <c:v>0.36956485003252837</c:v>
                </c:pt>
                <c:pt idx="120">
                  <c:v>0.36956485003252837</c:v>
                </c:pt>
                <c:pt idx="121">
                  <c:v>0.36956485003252837</c:v>
                </c:pt>
                <c:pt idx="122">
                  <c:v>0.36956485003252837</c:v>
                </c:pt>
                <c:pt idx="123">
                  <c:v>0.36956485003252837</c:v>
                </c:pt>
                <c:pt idx="124">
                  <c:v>0.36956485003252837</c:v>
                </c:pt>
                <c:pt idx="125">
                  <c:v>0.36956485003252837</c:v>
                </c:pt>
                <c:pt idx="126">
                  <c:v>0.36956485003252837</c:v>
                </c:pt>
                <c:pt idx="127">
                  <c:v>0.36956485003252837</c:v>
                </c:pt>
                <c:pt idx="128">
                  <c:v>0.36956485003252837</c:v>
                </c:pt>
                <c:pt idx="129">
                  <c:v>0.36956485003252837</c:v>
                </c:pt>
                <c:pt idx="130">
                  <c:v>0.36956485003252837</c:v>
                </c:pt>
                <c:pt idx="131">
                  <c:v>0.36956485003252837</c:v>
                </c:pt>
                <c:pt idx="132">
                  <c:v>0.36956485003252837</c:v>
                </c:pt>
                <c:pt idx="133">
                  <c:v>0.54008632391988021</c:v>
                </c:pt>
                <c:pt idx="134">
                  <c:v>0.54008632391988021</c:v>
                </c:pt>
                <c:pt idx="135">
                  <c:v>0.54008632391988021</c:v>
                </c:pt>
                <c:pt idx="136">
                  <c:v>0.54008632391988021</c:v>
                </c:pt>
                <c:pt idx="137">
                  <c:v>0.54008632391988021</c:v>
                </c:pt>
                <c:pt idx="138">
                  <c:v>0.54008632391988021</c:v>
                </c:pt>
                <c:pt idx="139">
                  <c:v>0.54008632391988021</c:v>
                </c:pt>
                <c:pt idx="140">
                  <c:v>0.54008632391988021</c:v>
                </c:pt>
                <c:pt idx="141">
                  <c:v>0.54008632391988021</c:v>
                </c:pt>
                <c:pt idx="142">
                  <c:v>0.54008632391988021</c:v>
                </c:pt>
                <c:pt idx="143">
                  <c:v>0.54008632391988021</c:v>
                </c:pt>
                <c:pt idx="144">
                  <c:v>0.54008632391988021</c:v>
                </c:pt>
                <c:pt idx="145">
                  <c:v>0.37767936636706045</c:v>
                </c:pt>
                <c:pt idx="146">
                  <c:v>0.37767936636706045</c:v>
                </c:pt>
                <c:pt idx="147">
                  <c:v>0.37767936636706045</c:v>
                </c:pt>
                <c:pt idx="148">
                  <c:v>0.37767936636706045</c:v>
                </c:pt>
                <c:pt idx="149">
                  <c:v>0.37767936636706045</c:v>
                </c:pt>
                <c:pt idx="150">
                  <c:v>0.37767936636706045</c:v>
                </c:pt>
                <c:pt idx="151">
                  <c:v>0.37767936636706045</c:v>
                </c:pt>
                <c:pt idx="152">
                  <c:v>0.37767936636706045</c:v>
                </c:pt>
                <c:pt idx="153">
                  <c:v>0.37767936636706045</c:v>
                </c:pt>
                <c:pt idx="154">
                  <c:v>0.37767936636706045</c:v>
                </c:pt>
                <c:pt idx="155">
                  <c:v>0.37767936636706045</c:v>
                </c:pt>
                <c:pt idx="156">
                  <c:v>0.37767936636706045</c:v>
                </c:pt>
                <c:pt idx="157">
                  <c:v>0.29235944997235125</c:v>
                </c:pt>
                <c:pt idx="158">
                  <c:v>0.29235944997235125</c:v>
                </c:pt>
                <c:pt idx="159">
                  <c:v>0.29235944997235125</c:v>
                </c:pt>
                <c:pt idx="160">
                  <c:v>0.29235944997235125</c:v>
                </c:pt>
                <c:pt idx="161">
                  <c:v>0.29235944997235125</c:v>
                </c:pt>
                <c:pt idx="162">
                  <c:v>0.29235944997235125</c:v>
                </c:pt>
                <c:pt idx="163">
                  <c:v>0.29235944997235125</c:v>
                </c:pt>
                <c:pt idx="164">
                  <c:v>0.29235944997235125</c:v>
                </c:pt>
                <c:pt idx="165">
                  <c:v>0.29235944997235125</c:v>
                </c:pt>
                <c:pt idx="166">
                  <c:v>0.29235944997235125</c:v>
                </c:pt>
                <c:pt idx="167">
                  <c:v>0.29235944997235125</c:v>
                </c:pt>
                <c:pt idx="168">
                  <c:v>0.29235944997235125</c:v>
                </c:pt>
                <c:pt idx="169">
                  <c:v>0.29235944997235125</c:v>
                </c:pt>
                <c:pt idx="170">
                  <c:v>0.29235944997235125</c:v>
                </c:pt>
                <c:pt idx="171">
                  <c:v>0.29235944997235125</c:v>
                </c:pt>
                <c:pt idx="172">
                  <c:v>0.29235944997235125</c:v>
                </c:pt>
                <c:pt idx="173">
                  <c:v>0.28842270016699367</c:v>
                </c:pt>
                <c:pt idx="174">
                  <c:v>0.28842270016699367</c:v>
                </c:pt>
                <c:pt idx="175">
                  <c:v>0.28842270016699367</c:v>
                </c:pt>
                <c:pt idx="176">
                  <c:v>0.28842270016699367</c:v>
                </c:pt>
                <c:pt idx="177">
                  <c:v>0.28842270016699367</c:v>
                </c:pt>
                <c:pt idx="178">
                  <c:v>0.28842270016699367</c:v>
                </c:pt>
                <c:pt idx="179">
                  <c:v>0.28842270016699367</c:v>
                </c:pt>
                <c:pt idx="180">
                  <c:v>0.28842270016699367</c:v>
                </c:pt>
                <c:pt idx="181">
                  <c:v>0.28842270016699367</c:v>
                </c:pt>
                <c:pt idx="182">
                  <c:v>0.28842270016699367</c:v>
                </c:pt>
                <c:pt idx="183">
                  <c:v>0.4492573635182851</c:v>
                </c:pt>
                <c:pt idx="184">
                  <c:v>0.4492573635182851</c:v>
                </c:pt>
                <c:pt idx="185">
                  <c:v>0.4492573635182851</c:v>
                </c:pt>
                <c:pt idx="186">
                  <c:v>0.4492573635182851</c:v>
                </c:pt>
                <c:pt idx="187">
                  <c:v>0.4492573635182851</c:v>
                </c:pt>
                <c:pt idx="188">
                  <c:v>0.4492573635182851</c:v>
                </c:pt>
                <c:pt idx="189">
                  <c:v>0.4492573635182851</c:v>
                </c:pt>
                <c:pt idx="190">
                  <c:v>0.33113395141874158</c:v>
                </c:pt>
                <c:pt idx="191">
                  <c:v>0.33113395141874158</c:v>
                </c:pt>
                <c:pt idx="192">
                  <c:v>0.33113395141874158</c:v>
                </c:pt>
                <c:pt idx="193">
                  <c:v>0.33113395141874158</c:v>
                </c:pt>
                <c:pt idx="194">
                  <c:v>0.33113395141874158</c:v>
                </c:pt>
                <c:pt idx="195">
                  <c:v>0.33113395141874158</c:v>
                </c:pt>
                <c:pt idx="196">
                  <c:v>0.33113395141874158</c:v>
                </c:pt>
                <c:pt idx="197">
                  <c:v>0.33113395141874158</c:v>
                </c:pt>
                <c:pt idx="198">
                  <c:v>0.33113395141874158</c:v>
                </c:pt>
                <c:pt idx="199">
                  <c:v>0.33113395141874158</c:v>
                </c:pt>
                <c:pt idx="200">
                  <c:v>0.33113395141874158</c:v>
                </c:pt>
                <c:pt idx="201">
                  <c:v>0.32945546256198532</c:v>
                </c:pt>
                <c:pt idx="202">
                  <c:v>0.32945546256198532</c:v>
                </c:pt>
                <c:pt idx="203">
                  <c:v>0.32945546256198532</c:v>
                </c:pt>
                <c:pt idx="204">
                  <c:v>0.32945546256198532</c:v>
                </c:pt>
                <c:pt idx="205">
                  <c:v>0.26176496240599917</c:v>
                </c:pt>
                <c:pt idx="206">
                  <c:v>0.26176496240599917</c:v>
                </c:pt>
                <c:pt idx="207">
                  <c:v>0.26176496240599917</c:v>
                </c:pt>
                <c:pt idx="208">
                  <c:v>0.26176496240599917</c:v>
                </c:pt>
                <c:pt idx="209">
                  <c:v>0.26176496240599917</c:v>
                </c:pt>
                <c:pt idx="210">
                  <c:v>0.26176496240599917</c:v>
                </c:pt>
                <c:pt idx="211">
                  <c:v>0.26176496240599917</c:v>
                </c:pt>
                <c:pt idx="212">
                  <c:v>0.26176496240599917</c:v>
                </c:pt>
                <c:pt idx="213">
                  <c:v>0.26176496240599917</c:v>
                </c:pt>
                <c:pt idx="214">
                  <c:v>0.26176496240599917</c:v>
                </c:pt>
                <c:pt idx="215">
                  <c:v>0.26439338765423237</c:v>
                </c:pt>
                <c:pt idx="216">
                  <c:v>0.26439338765423237</c:v>
                </c:pt>
                <c:pt idx="217">
                  <c:v>0.26439338765423237</c:v>
                </c:pt>
                <c:pt idx="218">
                  <c:v>0.26439338765423237</c:v>
                </c:pt>
                <c:pt idx="219">
                  <c:v>0.26439338765423237</c:v>
                </c:pt>
                <c:pt idx="220">
                  <c:v>0.26439338765423237</c:v>
                </c:pt>
                <c:pt idx="221">
                  <c:v>0.26439338765423237</c:v>
                </c:pt>
                <c:pt idx="222">
                  <c:v>0.26439338765423237</c:v>
                </c:pt>
                <c:pt idx="223">
                  <c:v>0.29259890357074891</c:v>
                </c:pt>
                <c:pt idx="224">
                  <c:v>0.29259890357074891</c:v>
                </c:pt>
                <c:pt idx="225">
                  <c:v>0.29259890357074891</c:v>
                </c:pt>
                <c:pt idx="226">
                  <c:v>0.29259890357074891</c:v>
                </c:pt>
                <c:pt idx="227">
                  <c:v>0.29259890357074891</c:v>
                </c:pt>
                <c:pt idx="228">
                  <c:v>0.29259890357074891</c:v>
                </c:pt>
                <c:pt idx="229">
                  <c:v>0.29259890357074891</c:v>
                </c:pt>
                <c:pt idx="230">
                  <c:v>0.29259890357074891</c:v>
                </c:pt>
                <c:pt idx="231">
                  <c:v>0.29259890357074891</c:v>
                </c:pt>
                <c:pt idx="232">
                  <c:v>0.29259890357074891</c:v>
                </c:pt>
                <c:pt idx="233">
                  <c:v>0.29259890357074891</c:v>
                </c:pt>
                <c:pt idx="234">
                  <c:v>0.29259890357074891</c:v>
                </c:pt>
                <c:pt idx="235">
                  <c:v>0.28744525931547577</c:v>
                </c:pt>
                <c:pt idx="236">
                  <c:v>0.28744525931547577</c:v>
                </c:pt>
                <c:pt idx="237">
                  <c:v>0.28744525931547577</c:v>
                </c:pt>
                <c:pt idx="238">
                  <c:v>0.28744525931547577</c:v>
                </c:pt>
                <c:pt idx="239">
                  <c:v>0.28744525931547577</c:v>
                </c:pt>
                <c:pt idx="240">
                  <c:v>0.28744525931547577</c:v>
                </c:pt>
                <c:pt idx="241">
                  <c:v>0.28744525931547577</c:v>
                </c:pt>
                <c:pt idx="242">
                  <c:v>0.28744525931547577</c:v>
                </c:pt>
                <c:pt idx="243">
                  <c:v>0.28744525931547577</c:v>
                </c:pt>
                <c:pt idx="244">
                  <c:v>0.28744525931547577</c:v>
                </c:pt>
                <c:pt idx="245">
                  <c:v>0.28744525931547577</c:v>
                </c:pt>
                <c:pt idx="246">
                  <c:v>0.28744525931547577</c:v>
                </c:pt>
                <c:pt idx="247">
                  <c:v>0.28744525931547577</c:v>
                </c:pt>
                <c:pt idx="248">
                  <c:v>0.28744525931547577</c:v>
                </c:pt>
                <c:pt idx="249">
                  <c:v>0.28744525931547577</c:v>
                </c:pt>
                <c:pt idx="250">
                  <c:v>0.28017286818849851</c:v>
                </c:pt>
                <c:pt idx="251">
                  <c:v>0.28017286818849851</c:v>
                </c:pt>
                <c:pt idx="252">
                  <c:v>0.28017286818849851</c:v>
                </c:pt>
                <c:pt idx="253">
                  <c:v>0.28017286818849851</c:v>
                </c:pt>
                <c:pt idx="254">
                  <c:v>0.28017286818849851</c:v>
                </c:pt>
                <c:pt idx="255">
                  <c:v>0.28017286818849851</c:v>
                </c:pt>
                <c:pt idx="256">
                  <c:v>0.28017286818849851</c:v>
                </c:pt>
                <c:pt idx="257">
                  <c:v>0.28017286818849851</c:v>
                </c:pt>
                <c:pt idx="258">
                  <c:v>0.28017286818849851</c:v>
                </c:pt>
                <c:pt idx="259">
                  <c:v>0.28017286818849851</c:v>
                </c:pt>
                <c:pt idx="260">
                  <c:v>0.28017286818849851</c:v>
                </c:pt>
                <c:pt idx="261">
                  <c:v>0.27941901301520705</c:v>
                </c:pt>
                <c:pt idx="262">
                  <c:v>0.27941901301520705</c:v>
                </c:pt>
                <c:pt idx="263">
                  <c:v>0.27941901301520705</c:v>
                </c:pt>
                <c:pt idx="264">
                  <c:v>0.27941901301520705</c:v>
                </c:pt>
                <c:pt idx="265">
                  <c:v>0.27941901301520705</c:v>
                </c:pt>
                <c:pt idx="266">
                  <c:v>0.27941901301520705</c:v>
                </c:pt>
                <c:pt idx="267">
                  <c:v>0.27941901301520705</c:v>
                </c:pt>
                <c:pt idx="268">
                  <c:v>0.27941901301520705</c:v>
                </c:pt>
                <c:pt idx="269">
                  <c:v>0.25445648159670609</c:v>
                </c:pt>
                <c:pt idx="270">
                  <c:v>0.25445648159670609</c:v>
                </c:pt>
                <c:pt idx="271">
                  <c:v>0.25445648159670609</c:v>
                </c:pt>
                <c:pt idx="272">
                  <c:v>0.25445648159670609</c:v>
                </c:pt>
                <c:pt idx="273">
                  <c:v>0.25445648159670609</c:v>
                </c:pt>
                <c:pt idx="274">
                  <c:v>0.25445648159670609</c:v>
                </c:pt>
                <c:pt idx="275">
                  <c:v>0.25445648159670609</c:v>
                </c:pt>
                <c:pt idx="276">
                  <c:v>0.25445648159670609</c:v>
                </c:pt>
                <c:pt idx="277">
                  <c:v>0.25445648159670609</c:v>
                </c:pt>
                <c:pt idx="278">
                  <c:v>0.25965395300443544</c:v>
                </c:pt>
                <c:pt idx="279">
                  <c:v>0.25965395300443544</c:v>
                </c:pt>
                <c:pt idx="280">
                  <c:v>0.25965395300443544</c:v>
                </c:pt>
                <c:pt idx="281">
                  <c:v>0.25965395300443544</c:v>
                </c:pt>
                <c:pt idx="282">
                  <c:v>0.25965395300443544</c:v>
                </c:pt>
                <c:pt idx="283">
                  <c:v>0.25965395300443544</c:v>
                </c:pt>
                <c:pt idx="284">
                  <c:v>0.25965395300443544</c:v>
                </c:pt>
                <c:pt idx="285">
                  <c:v>0.25965395300443544</c:v>
                </c:pt>
                <c:pt idx="286">
                  <c:v>0.25965395300443544</c:v>
                </c:pt>
                <c:pt idx="287">
                  <c:v>0.25965395300443544</c:v>
                </c:pt>
                <c:pt idx="288">
                  <c:v>0.3277137148926923</c:v>
                </c:pt>
                <c:pt idx="289">
                  <c:v>0.3277137148926923</c:v>
                </c:pt>
                <c:pt idx="290">
                  <c:v>0.3277137148926923</c:v>
                </c:pt>
                <c:pt idx="291">
                  <c:v>0.3277137148926923</c:v>
                </c:pt>
                <c:pt idx="292">
                  <c:v>0.3277137148926923</c:v>
                </c:pt>
                <c:pt idx="293">
                  <c:v>0.3277137148926923</c:v>
                </c:pt>
                <c:pt idx="294">
                  <c:v>0.33169330726751367</c:v>
                </c:pt>
                <c:pt idx="295">
                  <c:v>0.33169330726751367</c:v>
                </c:pt>
                <c:pt idx="296">
                  <c:v>0.33169330726751367</c:v>
                </c:pt>
                <c:pt idx="297">
                  <c:v>0.33169330726751367</c:v>
                </c:pt>
                <c:pt idx="298">
                  <c:v>0.33169330726751367</c:v>
                </c:pt>
                <c:pt idx="299">
                  <c:v>0.33169330726751367</c:v>
                </c:pt>
                <c:pt idx="300">
                  <c:v>0.33169330726751367</c:v>
                </c:pt>
                <c:pt idx="301">
                  <c:v>0.27756846574363497</c:v>
                </c:pt>
                <c:pt idx="302">
                  <c:v>0.27756846574363497</c:v>
                </c:pt>
                <c:pt idx="303">
                  <c:v>0.27756846574363497</c:v>
                </c:pt>
                <c:pt idx="304">
                  <c:v>0.27756846574363497</c:v>
                </c:pt>
                <c:pt idx="305">
                  <c:v>0.27756846574363497</c:v>
                </c:pt>
                <c:pt idx="306">
                  <c:v>0.27756846574363497</c:v>
                </c:pt>
                <c:pt idx="307">
                  <c:v>0.27756846574363497</c:v>
                </c:pt>
                <c:pt idx="308">
                  <c:v>0.27756846574363497</c:v>
                </c:pt>
                <c:pt idx="309">
                  <c:v>0.27756846574363497</c:v>
                </c:pt>
                <c:pt idx="310">
                  <c:v>0.27756846574363497</c:v>
                </c:pt>
                <c:pt idx="311">
                  <c:v>0.27728653022111754</c:v>
                </c:pt>
                <c:pt idx="312">
                  <c:v>0.27728653022111754</c:v>
                </c:pt>
                <c:pt idx="313">
                  <c:v>0.27728653022111754</c:v>
                </c:pt>
                <c:pt idx="314">
                  <c:v>0.27728653022111754</c:v>
                </c:pt>
                <c:pt idx="315">
                  <c:v>0.27728653022111754</c:v>
                </c:pt>
                <c:pt idx="316">
                  <c:v>0.27728653022111754</c:v>
                </c:pt>
                <c:pt idx="317">
                  <c:v>0.27728653022111754</c:v>
                </c:pt>
                <c:pt idx="318">
                  <c:v>0.27728653022111754</c:v>
                </c:pt>
                <c:pt idx="319">
                  <c:v>0.27728653022111754</c:v>
                </c:pt>
                <c:pt idx="320">
                  <c:v>0.27728653022111754</c:v>
                </c:pt>
                <c:pt idx="321">
                  <c:v>0.2905224260869092</c:v>
                </c:pt>
                <c:pt idx="322">
                  <c:v>0.2905224260869092</c:v>
                </c:pt>
                <c:pt idx="323">
                  <c:v>0.2905224260869092</c:v>
                </c:pt>
                <c:pt idx="324">
                  <c:v>0.2905224260869092</c:v>
                </c:pt>
                <c:pt idx="325">
                  <c:v>0.2905224260869092</c:v>
                </c:pt>
                <c:pt idx="326">
                  <c:v>0.2905224260869092</c:v>
                </c:pt>
                <c:pt idx="327">
                  <c:v>0.2905224260869092</c:v>
                </c:pt>
                <c:pt idx="328">
                  <c:v>0.2905224260869092</c:v>
                </c:pt>
                <c:pt idx="329">
                  <c:v>0.2905224260869092</c:v>
                </c:pt>
                <c:pt idx="330">
                  <c:v>0.2905224260869092</c:v>
                </c:pt>
                <c:pt idx="331">
                  <c:v>0.29934650408997288</c:v>
                </c:pt>
                <c:pt idx="332">
                  <c:v>0.29934650408997288</c:v>
                </c:pt>
                <c:pt idx="333">
                  <c:v>0.29934650408997288</c:v>
                </c:pt>
                <c:pt idx="334">
                  <c:v>0.29934650408997288</c:v>
                </c:pt>
                <c:pt idx="335">
                  <c:v>0.29934650408997288</c:v>
                </c:pt>
                <c:pt idx="336">
                  <c:v>0.29934650408997288</c:v>
                </c:pt>
                <c:pt idx="337">
                  <c:v>0.29934650408997288</c:v>
                </c:pt>
                <c:pt idx="338">
                  <c:v>0.29934650408997288</c:v>
                </c:pt>
              </c:numCache>
            </c:numRef>
          </c:xVal>
          <c:yVal>
            <c:numRef>
              <c:f>'Different mode of action'!$P$2:$P$343</c:f>
              <c:numCache>
                <c:formatCode>General</c:formatCode>
                <c:ptCount val="342"/>
                <c:pt idx="190">
                  <c:v>0.25837825837825845</c:v>
                </c:pt>
                <c:pt idx="191">
                  <c:v>0.36250536250536258</c:v>
                </c:pt>
                <c:pt idx="192">
                  <c:v>0.22014622014622015</c:v>
                </c:pt>
                <c:pt idx="193">
                  <c:v>0.1317931317931319</c:v>
                </c:pt>
                <c:pt idx="194">
                  <c:v>0.16340416340416344</c:v>
                </c:pt>
                <c:pt idx="195">
                  <c:v>0.10337710337710337</c:v>
                </c:pt>
                <c:pt idx="196">
                  <c:v>0.22258222258222263</c:v>
                </c:pt>
                <c:pt idx="197">
                  <c:v>0.31978531978531982</c:v>
                </c:pt>
                <c:pt idx="198">
                  <c:v>0.20973620973620982</c:v>
                </c:pt>
                <c:pt idx="199">
                  <c:v>0.30717630717630728</c:v>
                </c:pt>
                <c:pt idx="200">
                  <c:v>0.27905127905127919</c:v>
                </c:pt>
                <c:pt idx="201">
                  <c:v>0.30697530697530706</c:v>
                </c:pt>
                <c:pt idx="202">
                  <c:v>0.13455913455913457</c:v>
                </c:pt>
                <c:pt idx="203">
                  <c:v>7.4910074910074981E-2</c:v>
                </c:pt>
                <c:pt idx="204">
                  <c:v>0.16990816990816995</c:v>
                </c:pt>
                <c:pt idx="205">
                  <c:v>0.26257226257226257</c:v>
                </c:pt>
                <c:pt idx="206">
                  <c:v>0.17667617667617683</c:v>
                </c:pt>
                <c:pt idx="207">
                  <c:v>0.33030033030033035</c:v>
                </c:pt>
                <c:pt idx="208">
                  <c:v>0.12861312861312871</c:v>
                </c:pt>
                <c:pt idx="209">
                  <c:v>0.11312111312111327</c:v>
                </c:pt>
                <c:pt idx="210">
                  <c:v>0.10810510810510818</c:v>
                </c:pt>
                <c:pt idx="211">
                  <c:v>0.17821217821217836</c:v>
                </c:pt>
                <c:pt idx="212">
                  <c:v>0.23441423441423451</c:v>
                </c:pt>
                <c:pt idx="213">
                  <c:v>0.22345222345222354</c:v>
                </c:pt>
                <c:pt idx="214">
                  <c:v>0.32388632388632399</c:v>
                </c:pt>
                <c:pt idx="215">
                  <c:v>0.14104214104214105</c:v>
                </c:pt>
                <c:pt idx="216">
                  <c:v>0.11504111504111514</c:v>
                </c:pt>
                <c:pt idx="217">
                  <c:v>0.20247320247320258</c:v>
                </c:pt>
                <c:pt idx="218">
                  <c:v>0.18697818697818702</c:v>
                </c:pt>
                <c:pt idx="219">
                  <c:v>0.13763113763113766</c:v>
                </c:pt>
                <c:pt idx="220">
                  <c:v>7.3737073737073749E-2</c:v>
                </c:pt>
                <c:pt idx="221">
                  <c:v>3.7203037203037234E-2</c:v>
                </c:pt>
                <c:pt idx="222">
                  <c:v>0.20415020415020416</c:v>
                </c:pt>
                <c:pt idx="223">
                  <c:v>0.19727719727719731</c:v>
                </c:pt>
                <c:pt idx="224">
                  <c:v>2.0073020073020163E-2</c:v>
                </c:pt>
                <c:pt idx="225">
                  <c:v>0.13100113100113109</c:v>
                </c:pt>
                <c:pt idx="226">
                  <c:v>0.20960420960420975</c:v>
                </c:pt>
                <c:pt idx="227">
                  <c:v>9.6078096078096101E-2</c:v>
                </c:pt>
                <c:pt idx="228">
                  <c:v>0.14110214110214123</c:v>
                </c:pt>
                <c:pt idx="229">
                  <c:v>1.4343014343014359E-2</c:v>
                </c:pt>
                <c:pt idx="230">
                  <c:v>0.13047913047913062</c:v>
                </c:pt>
                <c:pt idx="231">
                  <c:v>6.0534060534060692E-2</c:v>
                </c:pt>
                <c:pt idx="232">
                  <c:v>4.8807048807048822E-2</c:v>
                </c:pt>
                <c:pt idx="233">
                  <c:v>0.1012471012471013</c:v>
                </c:pt>
                <c:pt idx="234">
                  <c:v>0.10315210315210319</c:v>
                </c:pt>
                <c:pt idx="235">
                  <c:v>0.17132117132117139</c:v>
                </c:pt>
                <c:pt idx="236">
                  <c:v>0.15905415905415912</c:v>
                </c:pt>
                <c:pt idx="237">
                  <c:v>5.6358056358056359E-2</c:v>
                </c:pt>
                <c:pt idx="238">
                  <c:v>0.19703119703119709</c:v>
                </c:pt>
                <c:pt idx="239">
                  <c:v>0.15677415677415688</c:v>
                </c:pt>
                <c:pt idx="240">
                  <c:v>0.11691611691611702</c:v>
                </c:pt>
                <c:pt idx="241">
                  <c:v>0.14549114549114553</c:v>
                </c:pt>
                <c:pt idx="242">
                  <c:v>0.16092016092016104</c:v>
                </c:pt>
                <c:pt idx="243">
                  <c:v>0.12416112416112415</c:v>
                </c:pt>
                <c:pt idx="244">
                  <c:v>0.11270111270111272</c:v>
                </c:pt>
                <c:pt idx="245">
                  <c:v>0.14176814176814184</c:v>
                </c:pt>
                <c:pt idx="246">
                  <c:v>0.24393324393324403</c:v>
                </c:pt>
                <c:pt idx="247">
                  <c:v>7.855207855207863E-2</c:v>
                </c:pt>
                <c:pt idx="248">
                  <c:v>0.13231213231213243</c:v>
                </c:pt>
                <c:pt idx="249">
                  <c:v>8.1444081444081509E-2</c:v>
                </c:pt>
                <c:pt idx="250">
                  <c:v>0.19050319050319059</c:v>
                </c:pt>
                <c:pt idx="251">
                  <c:v>0.15411915411915425</c:v>
                </c:pt>
                <c:pt idx="252">
                  <c:v>0.27693627693627693</c:v>
                </c:pt>
                <c:pt idx="253">
                  <c:v>0.14572514572514586</c:v>
                </c:pt>
                <c:pt idx="254">
                  <c:v>0.10215010215010217</c:v>
                </c:pt>
                <c:pt idx="255">
                  <c:v>0.15085515085515092</c:v>
                </c:pt>
                <c:pt idx="256">
                  <c:v>0.1175791175791177</c:v>
                </c:pt>
                <c:pt idx="257">
                  <c:v>0.18104718104718118</c:v>
                </c:pt>
                <c:pt idx="258">
                  <c:v>7.0062070062070186E-2</c:v>
                </c:pt>
                <c:pt idx="259">
                  <c:v>7.4181074181074266E-2</c:v>
                </c:pt>
                <c:pt idx="260">
                  <c:v>0.14717714717714725</c:v>
                </c:pt>
                <c:pt idx="261">
                  <c:v>7.3629073629073644E-2</c:v>
                </c:pt>
                <c:pt idx="262">
                  <c:v>0.13739713739713749</c:v>
                </c:pt>
                <c:pt idx="263">
                  <c:v>8.94750894750896E-2</c:v>
                </c:pt>
                <c:pt idx="264">
                  <c:v>0.12066312066312067</c:v>
                </c:pt>
                <c:pt idx="265">
                  <c:v>0.2465672465672466</c:v>
                </c:pt>
                <c:pt idx="266">
                  <c:v>0.15322815322815328</c:v>
                </c:pt>
                <c:pt idx="267">
                  <c:v>0.26970926970926973</c:v>
                </c:pt>
                <c:pt idx="268">
                  <c:v>0.15381915381915387</c:v>
                </c:pt>
                <c:pt idx="269">
                  <c:v>0.25558525558525569</c:v>
                </c:pt>
                <c:pt idx="270">
                  <c:v>0.23082323082323089</c:v>
                </c:pt>
                <c:pt idx="271">
                  <c:v>0.20715320715320726</c:v>
                </c:pt>
                <c:pt idx="272">
                  <c:v>0.22769122769122782</c:v>
                </c:pt>
                <c:pt idx="273">
                  <c:v>0.22735822735822733</c:v>
                </c:pt>
                <c:pt idx="274">
                  <c:v>0.22098022098022105</c:v>
                </c:pt>
                <c:pt idx="275">
                  <c:v>0.23842223842223853</c:v>
                </c:pt>
                <c:pt idx="276">
                  <c:v>0.22718122718122727</c:v>
                </c:pt>
                <c:pt idx="277">
                  <c:v>0.2756972756972757</c:v>
                </c:pt>
                <c:pt idx="278">
                  <c:v>0.11672411672411676</c:v>
                </c:pt>
                <c:pt idx="279">
                  <c:v>0.11248811248811259</c:v>
                </c:pt>
                <c:pt idx="280">
                  <c:v>0.10500610500610502</c:v>
                </c:pt>
                <c:pt idx="281">
                  <c:v>6.7614067614067644E-2</c:v>
                </c:pt>
                <c:pt idx="282">
                  <c:v>9.0486090486090576E-2</c:v>
                </c:pt>
                <c:pt idx="283">
                  <c:v>9.0402090402090435E-2</c:v>
                </c:pt>
                <c:pt idx="284">
                  <c:v>0.14240414240414245</c:v>
                </c:pt>
                <c:pt idx="285">
                  <c:v>0.10371610371610372</c:v>
                </c:pt>
                <c:pt idx="286">
                  <c:v>8.8428088428088414E-2</c:v>
                </c:pt>
                <c:pt idx="287">
                  <c:v>9.7842097842097936E-2</c:v>
                </c:pt>
                <c:pt idx="288">
                  <c:v>0.20388920388920395</c:v>
                </c:pt>
                <c:pt idx="289">
                  <c:v>0.11933711933711949</c:v>
                </c:pt>
                <c:pt idx="290">
                  <c:v>0.14784014784014793</c:v>
                </c:pt>
                <c:pt idx="291">
                  <c:v>9.933009933009937E-2</c:v>
                </c:pt>
                <c:pt idx="292">
                  <c:v>6.1533061533061602E-2</c:v>
                </c:pt>
                <c:pt idx="293">
                  <c:v>5.2374052374052453E-2</c:v>
                </c:pt>
                <c:pt idx="294">
                  <c:v>0.11134211134211143</c:v>
                </c:pt>
                <c:pt idx="295">
                  <c:v>0.10250410250410251</c:v>
                </c:pt>
                <c:pt idx="296">
                  <c:v>0.18879918879918894</c:v>
                </c:pt>
                <c:pt idx="297">
                  <c:v>0.22381822381822394</c:v>
                </c:pt>
                <c:pt idx="298">
                  <c:v>0.18609018609018615</c:v>
                </c:pt>
                <c:pt idx="299">
                  <c:v>0.21418221418221417</c:v>
                </c:pt>
                <c:pt idx="300">
                  <c:v>7.2501072501072586E-2</c:v>
                </c:pt>
                <c:pt idx="301">
                  <c:v>2.9700029700043614E-4</c:v>
                </c:pt>
                <c:pt idx="302">
                  <c:v>4.6170046170047486E-3</c:v>
                </c:pt>
                <c:pt idx="303">
                  <c:v>0.15562515562515561</c:v>
                </c:pt>
                <c:pt idx="304">
                  <c:v>0.19969219969219973</c:v>
                </c:pt>
                <c:pt idx="305">
                  <c:v>0.12656412656412669</c:v>
                </c:pt>
                <c:pt idx="306">
                  <c:v>8.4090084090084172E-2</c:v>
                </c:pt>
                <c:pt idx="307">
                  <c:v>9.4743094743094794E-2</c:v>
                </c:pt>
                <c:pt idx="308">
                  <c:v>9.5298095298095353E-2</c:v>
                </c:pt>
                <c:pt idx="309">
                  <c:v>0</c:v>
                </c:pt>
                <c:pt idx="310">
                  <c:v>0.12028212028212043</c:v>
                </c:pt>
                <c:pt idx="311">
                  <c:v>0.21714321714321722</c:v>
                </c:pt>
                <c:pt idx="312">
                  <c:v>0.15693315693315701</c:v>
                </c:pt>
                <c:pt idx="313">
                  <c:v>0.22968922968922981</c:v>
                </c:pt>
                <c:pt idx="314">
                  <c:v>0.17288717288717292</c:v>
                </c:pt>
                <c:pt idx="315">
                  <c:v>0.21685821685821685</c:v>
                </c:pt>
                <c:pt idx="316">
                  <c:v>0.18166818166818177</c:v>
                </c:pt>
                <c:pt idx="317">
                  <c:v>0.18460218460218472</c:v>
                </c:pt>
                <c:pt idx="318">
                  <c:v>0.16716016716016724</c:v>
                </c:pt>
                <c:pt idx="319">
                  <c:v>0.18667518667518673</c:v>
                </c:pt>
                <c:pt idx="320">
                  <c:v>0.15051915051915052</c:v>
                </c:pt>
                <c:pt idx="321">
                  <c:v>0.1667881667881668</c:v>
                </c:pt>
                <c:pt idx="322">
                  <c:v>0.18057918057918068</c:v>
                </c:pt>
                <c:pt idx="323">
                  <c:v>0.16576516576516589</c:v>
                </c:pt>
                <c:pt idx="324">
                  <c:v>0.17192117192117196</c:v>
                </c:pt>
                <c:pt idx="325">
                  <c:v>0.14863514863514868</c:v>
                </c:pt>
                <c:pt idx="326">
                  <c:v>0.14769014769014774</c:v>
                </c:pt>
                <c:pt idx="327">
                  <c:v>0.1364881364881366</c:v>
                </c:pt>
                <c:pt idx="328">
                  <c:v>0.19389619389619389</c:v>
                </c:pt>
                <c:pt idx="329">
                  <c:v>0.17616017616017624</c:v>
                </c:pt>
                <c:pt idx="330">
                  <c:v>0.17464217464217463</c:v>
                </c:pt>
                <c:pt idx="331">
                  <c:v>0.18889218889218887</c:v>
                </c:pt>
                <c:pt idx="332">
                  <c:v>0.1958071958071958</c:v>
                </c:pt>
                <c:pt idx="333">
                  <c:v>4.8474048474048514E-2</c:v>
                </c:pt>
                <c:pt idx="334">
                  <c:v>0.18214518214518222</c:v>
                </c:pt>
                <c:pt idx="335">
                  <c:v>0.19021519021519029</c:v>
                </c:pt>
                <c:pt idx="336">
                  <c:v>0.26022326022326031</c:v>
                </c:pt>
                <c:pt idx="337">
                  <c:v>0.14310614310614325</c:v>
                </c:pt>
                <c:pt idx="338">
                  <c:v>0.22889722889722899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D1-43AE-8097-21DE5106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534992"/>
        <c:axId val="813530192"/>
      </c:scatterChart>
      <c:valAx>
        <c:axId val="81353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ESmodel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13530192"/>
        <c:crosses val="autoZero"/>
        <c:crossBetween val="midCat"/>
      </c:valAx>
      <c:valAx>
        <c:axId val="813530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ESobs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13534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01810231092338E-2"/>
          <c:y val="5.335647092196108E-2"/>
          <c:w val="0.90108930877423621"/>
          <c:h val="0.66159750871318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'SICA_adjusted (3)'!$N$1</c:f>
              <c:strCache>
                <c:ptCount val="1"/>
                <c:pt idx="0">
                  <c:v>Essingle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030564226808927E-3"/>
                  <c:y val="-0.266028504321794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'SICA_adjusted (3)'!$L$2:$L$343</c:f>
              <c:numCache>
                <c:formatCode>General</c:formatCode>
                <c:ptCount val="342"/>
                <c:pt idx="0">
                  <c:v>0.23704106727055055</c:v>
                </c:pt>
                <c:pt idx="1">
                  <c:v>0.23704106727055055</c:v>
                </c:pt>
                <c:pt idx="2">
                  <c:v>0.23704106727055055</c:v>
                </c:pt>
                <c:pt idx="3">
                  <c:v>0.23704106727055055</c:v>
                </c:pt>
                <c:pt idx="4">
                  <c:v>0.23704106727055055</c:v>
                </c:pt>
                <c:pt idx="5">
                  <c:v>0.23704106727055055</c:v>
                </c:pt>
                <c:pt idx="6">
                  <c:v>0.23704106727055055</c:v>
                </c:pt>
                <c:pt idx="7">
                  <c:v>0.23704106727055055</c:v>
                </c:pt>
                <c:pt idx="8">
                  <c:v>0.23704106727055055</c:v>
                </c:pt>
                <c:pt idx="9">
                  <c:v>0.23704106727055055</c:v>
                </c:pt>
                <c:pt idx="10">
                  <c:v>0.23704106727055055</c:v>
                </c:pt>
                <c:pt idx="11">
                  <c:v>0.23704106727055055</c:v>
                </c:pt>
                <c:pt idx="12">
                  <c:v>0.23704106727055055</c:v>
                </c:pt>
                <c:pt idx="13">
                  <c:v>0.23704106727055055</c:v>
                </c:pt>
                <c:pt idx="14">
                  <c:v>0.23704106727055055</c:v>
                </c:pt>
                <c:pt idx="15">
                  <c:v>0.23704106727055055</c:v>
                </c:pt>
                <c:pt idx="16">
                  <c:v>0.23704106727055055</c:v>
                </c:pt>
                <c:pt idx="17">
                  <c:v>0.23704106727055055</c:v>
                </c:pt>
                <c:pt idx="18">
                  <c:v>0.23704106727055055</c:v>
                </c:pt>
                <c:pt idx="19">
                  <c:v>0.23704106727055055</c:v>
                </c:pt>
                <c:pt idx="20">
                  <c:v>0.98968534264765806</c:v>
                </c:pt>
                <c:pt idx="21">
                  <c:v>0.98968534264765806</c:v>
                </c:pt>
                <c:pt idx="22">
                  <c:v>0.98968534264765806</c:v>
                </c:pt>
                <c:pt idx="23">
                  <c:v>0.98968534264765806</c:v>
                </c:pt>
                <c:pt idx="24">
                  <c:v>0.98968534264765806</c:v>
                </c:pt>
                <c:pt idx="25">
                  <c:v>0.98968534264765806</c:v>
                </c:pt>
                <c:pt idx="26">
                  <c:v>0.98968534264765806</c:v>
                </c:pt>
                <c:pt idx="27">
                  <c:v>0.98968534264765806</c:v>
                </c:pt>
                <c:pt idx="28">
                  <c:v>0.98968534264765806</c:v>
                </c:pt>
                <c:pt idx="29">
                  <c:v>0.98968534264765806</c:v>
                </c:pt>
                <c:pt idx="30">
                  <c:v>0.98968534264765806</c:v>
                </c:pt>
                <c:pt idx="31">
                  <c:v>0.98968534264765806</c:v>
                </c:pt>
                <c:pt idx="32">
                  <c:v>0.98968534264765806</c:v>
                </c:pt>
                <c:pt idx="33">
                  <c:v>0.98968534264765806</c:v>
                </c:pt>
                <c:pt idx="34">
                  <c:v>3.0563736925754599</c:v>
                </c:pt>
                <c:pt idx="35">
                  <c:v>3.0563736925754599</c:v>
                </c:pt>
                <c:pt idx="36">
                  <c:v>3.0563736925754599</c:v>
                </c:pt>
                <c:pt idx="37">
                  <c:v>3.0563736925754599</c:v>
                </c:pt>
                <c:pt idx="38">
                  <c:v>3.0563736925754599</c:v>
                </c:pt>
                <c:pt idx="39">
                  <c:v>3.0563736925754599</c:v>
                </c:pt>
                <c:pt idx="40">
                  <c:v>3.0563736925754599</c:v>
                </c:pt>
                <c:pt idx="41">
                  <c:v>3.0563736925754599</c:v>
                </c:pt>
                <c:pt idx="42">
                  <c:v>3.0563736925754599</c:v>
                </c:pt>
                <c:pt idx="43">
                  <c:v>3.0563736925754599</c:v>
                </c:pt>
                <c:pt idx="44">
                  <c:v>3.0563736925754599</c:v>
                </c:pt>
                <c:pt idx="45">
                  <c:v>3.0563736925754599</c:v>
                </c:pt>
                <c:pt idx="46">
                  <c:v>4.3054291898172066</c:v>
                </c:pt>
                <c:pt idx="47">
                  <c:v>4.3054291898172066</c:v>
                </c:pt>
                <c:pt idx="48">
                  <c:v>4.3054291898172066</c:v>
                </c:pt>
                <c:pt idx="49">
                  <c:v>4.3054291898172066</c:v>
                </c:pt>
                <c:pt idx="50">
                  <c:v>4.3054291898172066</c:v>
                </c:pt>
                <c:pt idx="51">
                  <c:v>4.3054291898172066</c:v>
                </c:pt>
                <c:pt idx="52">
                  <c:v>4.3054291898172066</c:v>
                </c:pt>
                <c:pt idx="53">
                  <c:v>4.3054291898172066</c:v>
                </c:pt>
                <c:pt idx="54">
                  <c:v>4.3054291898172066</c:v>
                </c:pt>
                <c:pt idx="55">
                  <c:v>4.3054291898172066</c:v>
                </c:pt>
                <c:pt idx="56">
                  <c:v>4.3054291898172066</c:v>
                </c:pt>
                <c:pt idx="57">
                  <c:v>4.3054291898172066</c:v>
                </c:pt>
                <c:pt idx="58">
                  <c:v>4.3054291898172066</c:v>
                </c:pt>
                <c:pt idx="59">
                  <c:v>4.3054291898172066</c:v>
                </c:pt>
                <c:pt idx="60">
                  <c:v>6.893090155070249</c:v>
                </c:pt>
                <c:pt idx="61">
                  <c:v>6.893090155070249</c:v>
                </c:pt>
                <c:pt idx="62">
                  <c:v>6.893090155070249</c:v>
                </c:pt>
                <c:pt idx="63">
                  <c:v>6.893090155070249</c:v>
                </c:pt>
                <c:pt idx="64">
                  <c:v>6.893090155070249</c:v>
                </c:pt>
                <c:pt idx="65">
                  <c:v>6.893090155070249</c:v>
                </c:pt>
                <c:pt idx="66">
                  <c:v>6.893090155070249</c:v>
                </c:pt>
                <c:pt idx="67">
                  <c:v>6.893090155070249</c:v>
                </c:pt>
                <c:pt idx="68">
                  <c:v>6.893090155070249</c:v>
                </c:pt>
                <c:pt idx="69">
                  <c:v>6.893090155070249</c:v>
                </c:pt>
                <c:pt idx="70">
                  <c:v>6.893090155070249</c:v>
                </c:pt>
                <c:pt idx="71">
                  <c:v>6.893090155070249</c:v>
                </c:pt>
                <c:pt idx="72">
                  <c:v>6.893090155070249</c:v>
                </c:pt>
                <c:pt idx="73">
                  <c:v>6.893090155070249</c:v>
                </c:pt>
                <c:pt idx="74">
                  <c:v>6.893090155070249</c:v>
                </c:pt>
                <c:pt idx="75">
                  <c:v>6.893090155070249</c:v>
                </c:pt>
                <c:pt idx="76">
                  <c:v>6.893090155070249</c:v>
                </c:pt>
                <c:pt idx="77">
                  <c:v>6.893090155070249</c:v>
                </c:pt>
                <c:pt idx="78">
                  <c:v>6.893090155070249</c:v>
                </c:pt>
                <c:pt idx="79">
                  <c:v>6.893090155070249</c:v>
                </c:pt>
                <c:pt idx="80">
                  <c:v>6.893090155070249</c:v>
                </c:pt>
                <c:pt idx="81">
                  <c:v>8.313877865212399E-2</c:v>
                </c:pt>
                <c:pt idx="82">
                  <c:v>8.313877865212399E-2</c:v>
                </c:pt>
                <c:pt idx="83">
                  <c:v>8.313877865212399E-2</c:v>
                </c:pt>
                <c:pt idx="84">
                  <c:v>8.313877865212399E-2</c:v>
                </c:pt>
                <c:pt idx="85">
                  <c:v>8.313877865212399E-2</c:v>
                </c:pt>
                <c:pt idx="86">
                  <c:v>8.313877865212399E-2</c:v>
                </c:pt>
                <c:pt idx="87">
                  <c:v>8.313877865212399E-2</c:v>
                </c:pt>
                <c:pt idx="88">
                  <c:v>8.313877865212399E-2</c:v>
                </c:pt>
                <c:pt idx="89">
                  <c:v>8.313877865212399E-2</c:v>
                </c:pt>
                <c:pt idx="90">
                  <c:v>8.313877865212399E-2</c:v>
                </c:pt>
                <c:pt idx="91">
                  <c:v>8.313877865212399E-2</c:v>
                </c:pt>
                <c:pt idx="92">
                  <c:v>2.8854483822857317</c:v>
                </c:pt>
                <c:pt idx="93">
                  <c:v>2.8854483822857317</c:v>
                </c:pt>
                <c:pt idx="94">
                  <c:v>2.8854483822857317</c:v>
                </c:pt>
                <c:pt idx="95">
                  <c:v>2.8854483822857317</c:v>
                </c:pt>
                <c:pt idx="96">
                  <c:v>2.8854483822857317</c:v>
                </c:pt>
                <c:pt idx="97">
                  <c:v>2.8854483822857317</c:v>
                </c:pt>
                <c:pt idx="98">
                  <c:v>2.8854483822857317</c:v>
                </c:pt>
                <c:pt idx="99">
                  <c:v>2.8854483822857317</c:v>
                </c:pt>
                <c:pt idx="100">
                  <c:v>6.7183540099597714</c:v>
                </c:pt>
                <c:pt idx="101">
                  <c:v>6.7183540099597714</c:v>
                </c:pt>
                <c:pt idx="102">
                  <c:v>6.7183540099597714</c:v>
                </c:pt>
                <c:pt idx="103">
                  <c:v>6.7183540099597714</c:v>
                </c:pt>
                <c:pt idx="104">
                  <c:v>6.7183540099597714</c:v>
                </c:pt>
                <c:pt idx="105">
                  <c:v>6.7183540099597714</c:v>
                </c:pt>
                <c:pt idx="106">
                  <c:v>6.7183540099597714</c:v>
                </c:pt>
                <c:pt idx="107">
                  <c:v>6.7183540099597714</c:v>
                </c:pt>
                <c:pt idx="108">
                  <c:v>6.7183540099597714</c:v>
                </c:pt>
                <c:pt idx="109">
                  <c:v>8.5504907176499199</c:v>
                </c:pt>
                <c:pt idx="110">
                  <c:v>8.5504907176499199</c:v>
                </c:pt>
                <c:pt idx="111">
                  <c:v>8.5504907176499199</c:v>
                </c:pt>
                <c:pt idx="112">
                  <c:v>8.5504907176499199</c:v>
                </c:pt>
                <c:pt idx="113">
                  <c:v>8.5504907176499199</c:v>
                </c:pt>
                <c:pt idx="114">
                  <c:v>8.5504907176499199</c:v>
                </c:pt>
                <c:pt idx="115">
                  <c:v>8.5504907176499199</c:v>
                </c:pt>
                <c:pt idx="116">
                  <c:v>8.5504907176499199</c:v>
                </c:pt>
                <c:pt idx="117">
                  <c:v>8.5504907176499199</c:v>
                </c:pt>
                <c:pt idx="118">
                  <c:v>8.5504907176499199</c:v>
                </c:pt>
                <c:pt idx="119">
                  <c:v>10.201556370704395</c:v>
                </c:pt>
                <c:pt idx="120">
                  <c:v>10.201556370704395</c:v>
                </c:pt>
                <c:pt idx="121">
                  <c:v>10.201556370704395</c:v>
                </c:pt>
                <c:pt idx="122">
                  <c:v>10.201556370704395</c:v>
                </c:pt>
                <c:pt idx="123">
                  <c:v>10.201556370704395</c:v>
                </c:pt>
                <c:pt idx="124">
                  <c:v>10.201556370704395</c:v>
                </c:pt>
                <c:pt idx="125">
                  <c:v>10.201556370704395</c:v>
                </c:pt>
                <c:pt idx="126">
                  <c:v>10.201556370704395</c:v>
                </c:pt>
                <c:pt idx="127">
                  <c:v>10.201556370704395</c:v>
                </c:pt>
                <c:pt idx="128">
                  <c:v>10.201556370704395</c:v>
                </c:pt>
                <c:pt idx="129">
                  <c:v>10.201556370704395</c:v>
                </c:pt>
                <c:pt idx="130">
                  <c:v>10.201556370704395</c:v>
                </c:pt>
                <c:pt idx="131">
                  <c:v>10.201556370704395</c:v>
                </c:pt>
                <c:pt idx="132">
                  <c:v>10.201556370704395</c:v>
                </c:pt>
                <c:pt idx="133">
                  <c:v>-9.5028965073583898</c:v>
                </c:pt>
                <c:pt idx="134">
                  <c:v>-9.5028965073583898</c:v>
                </c:pt>
                <c:pt idx="135">
                  <c:v>-9.5028965073583898</c:v>
                </c:pt>
                <c:pt idx="136">
                  <c:v>-9.5028965073583898</c:v>
                </c:pt>
                <c:pt idx="137">
                  <c:v>-9.5028965073583898</c:v>
                </c:pt>
                <c:pt idx="138">
                  <c:v>-9.5028965073583898</c:v>
                </c:pt>
                <c:pt idx="139">
                  <c:v>-9.5028965073583898</c:v>
                </c:pt>
                <c:pt idx="140">
                  <c:v>-9.5028965073583898</c:v>
                </c:pt>
                <c:pt idx="141">
                  <c:v>-9.5028965073583898</c:v>
                </c:pt>
                <c:pt idx="142">
                  <c:v>-9.5028965073583898</c:v>
                </c:pt>
                <c:pt idx="143">
                  <c:v>-9.5028965073583898</c:v>
                </c:pt>
                <c:pt idx="144">
                  <c:v>-9.5028965073583898</c:v>
                </c:pt>
                <c:pt idx="145">
                  <c:v>-4.3785527450945976</c:v>
                </c:pt>
                <c:pt idx="146">
                  <c:v>-4.3785527450945976</c:v>
                </c:pt>
                <c:pt idx="147">
                  <c:v>-4.3785527450945976</c:v>
                </c:pt>
                <c:pt idx="148">
                  <c:v>-4.3785527450945976</c:v>
                </c:pt>
                <c:pt idx="149">
                  <c:v>-4.3785527450945976</c:v>
                </c:pt>
                <c:pt idx="150">
                  <c:v>-4.3785527450945976</c:v>
                </c:pt>
                <c:pt idx="151">
                  <c:v>-4.3785527450945976</c:v>
                </c:pt>
                <c:pt idx="152">
                  <c:v>-4.3785527450945976</c:v>
                </c:pt>
                <c:pt idx="153">
                  <c:v>-4.3785527450945976</c:v>
                </c:pt>
                <c:pt idx="154">
                  <c:v>-4.3785527450945976</c:v>
                </c:pt>
                <c:pt idx="155">
                  <c:v>-4.3785527450945976</c:v>
                </c:pt>
                <c:pt idx="156">
                  <c:v>-4.3785527450945976</c:v>
                </c:pt>
                <c:pt idx="157">
                  <c:v>-0.6769680071594415</c:v>
                </c:pt>
                <c:pt idx="158">
                  <c:v>-0.6769680071594415</c:v>
                </c:pt>
                <c:pt idx="159">
                  <c:v>-0.6769680071594415</c:v>
                </c:pt>
                <c:pt idx="160">
                  <c:v>-0.6769680071594415</c:v>
                </c:pt>
                <c:pt idx="161">
                  <c:v>-0.6769680071594415</c:v>
                </c:pt>
                <c:pt idx="162">
                  <c:v>-0.6769680071594415</c:v>
                </c:pt>
                <c:pt idx="163">
                  <c:v>-0.6769680071594415</c:v>
                </c:pt>
                <c:pt idx="164">
                  <c:v>-0.6769680071594415</c:v>
                </c:pt>
                <c:pt idx="165">
                  <c:v>-0.6769680071594415</c:v>
                </c:pt>
                <c:pt idx="166">
                  <c:v>-0.6769680071594415</c:v>
                </c:pt>
                <c:pt idx="167">
                  <c:v>-0.6769680071594415</c:v>
                </c:pt>
                <c:pt idx="168">
                  <c:v>-0.6769680071594415</c:v>
                </c:pt>
                <c:pt idx="169">
                  <c:v>-0.6769680071594415</c:v>
                </c:pt>
                <c:pt idx="170">
                  <c:v>-0.6769680071594415</c:v>
                </c:pt>
                <c:pt idx="171">
                  <c:v>-0.6769680071594415</c:v>
                </c:pt>
                <c:pt idx="172">
                  <c:v>-0.6769680071594415</c:v>
                </c:pt>
                <c:pt idx="173">
                  <c:v>5.1034493039293629</c:v>
                </c:pt>
                <c:pt idx="174">
                  <c:v>5.1034493039293629</c:v>
                </c:pt>
                <c:pt idx="175">
                  <c:v>5.1034493039293629</c:v>
                </c:pt>
                <c:pt idx="176">
                  <c:v>5.1034493039293629</c:v>
                </c:pt>
                <c:pt idx="177">
                  <c:v>5.1034493039293629</c:v>
                </c:pt>
                <c:pt idx="178">
                  <c:v>5.1034493039293629</c:v>
                </c:pt>
                <c:pt idx="179">
                  <c:v>5.1034493039293629</c:v>
                </c:pt>
                <c:pt idx="180">
                  <c:v>5.1034493039293629</c:v>
                </c:pt>
                <c:pt idx="181">
                  <c:v>5.1034493039293629</c:v>
                </c:pt>
                <c:pt idx="182">
                  <c:v>5.1034493039293629</c:v>
                </c:pt>
                <c:pt idx="183">
                  <c:v>11.349263385668532</c:v>
                </c:pt>
                <c:pt idx="184">
                  <c:v>11.349263385668532</c:v>
                </c:pt>
                <c:pt idx="185">
                  <c:v>11.349263385668532</c:v>
                </c:pt>
                <c:pt idx="186">
                  <c:v>11.349263385668532</c:v>
                </c:pt>
                <c:pt idx="187">
                  <c:v>11.349263385668532</c:v>
                </c:pt>
                <c:pt idx="188">
                  <c:v>11.349263385668532</c:v>
                </c:pt>
                <c:pt idx="189">
                  <c:v>11.349263385668532</c:v>
                </c:pt>
                <c:pt idx="190">
                  <c:v>8.7091823091600098</c:v>
                </c:pt>
                <c:pt idx="191">
                  <c:v>8.7091823091600098</c:v>
                </c:pt>
                <c:pt idx="192">
                  <c:v>8.7091823091600098</c:v>
                </c:pt>
                <c:pt idx="193">
                  <c:v>8.7091823091600098</c:v>
                </c:pt>
                <c:pt idx="194">
                  <c:v>8.7091823091600098</c:v>
                </c:pt>
                <c:pt idx="195">
                  <c:v>8.7091823091600098</c:v>
                </c:pt>
                <c:pt idx="196">
                  <c:v>8.7091823091600098</c:v>
                </c:pt>
                <c:pt idx="197">
                  <c:v>8.7091823091600098</c:v>
                </c:pt>
                <c:pt idx="198">
                  <c:v>8.7091823091600098</c:v>
                </c:pt>
                <c:pt idx="199">
                  <c:v>8.7091823091600098</c:v>
                </c:pt>
                <c:pt idx="200">
                  <c:v>8.7091823091600098</c:v>
                </c:pt>
                <c:pt idx="201">
                  <c:v>8.5612812840240107</c:v>
                </c:pt>
                <c:pt idx="202">
                  <c:v>8.5612812840240107</c:v>
                </c:pt>
                <c:pt idx="203">
                  <c:v>8.5612812840240107</c:v>
                </c:pt>
                <c:pt idx="204">
                  <c:v>8.5612812840240107</c:v>
                </c:pt>
                <c:pt idx="205">
                  <c:v>3.7717334663279951</c:v>
                </c:pt>
                <c:pt idx="206">
                  <c:v>3.7717334663279951</c:v>
                </c:pt>
                <c:pt idx="207">
                  <c:v>3.7717334663279951</c:v>
                </c:pt>
                <c:pt idx="208">
                  <c:v>3.7717334663279951</c:v>
                </c:pt>
                <c:pt idx="209">
                  <c:v>3.7717334663279951</c:v>
                </c:pt>
                <c:pt idx="210">
                  <c:v>3.7717334663279951</c:v>
                </c:pt>
                <c:pt idx="211">
                  <c:v>3.7717334663279951</c:v>
                </c:pt>
                <c:pt idx="212">
                  <c:v>3.7717334663279951</c:v>
                </c:pt>
                <c:pt idx="213">
                  <c:v>3.7717334663279951</c:v>
                </c:pt>
                <c:pt idx="214">
                  <c:v>3.7717334663279951</c:v>
                </c:pt>
                <c:pt idx="215">
                  <c:v>4.0384867799399933</c:v>
                </c:pt>
                <c:pt idx="216">
                  <c:v>4.0384867799399933</c:v>
                </c:pt>
                <c:pt idx="217">
                  <c:v>4.0384867799399933</c:v>
                </c:pt>
                <c:pt idx="218">
                  <c:v>4.0384867799399933</c:v>
                </c:pt>
                <c:pt idx="219">
                  <c:v>4.0384867799399933</c:v>
                </c:pt>
                <c:pt idx="220">
                  <c:v>4.0384867799399933</c:v>
                </c:pt>
                <c:pt idx="221">
                  <c:v>4.0384867799399933</c:v>
                </c:pt>
                <c:pt idx="222">
                  <c:v>4.0384867799399933</c:v>
                </c:pt>
                <c:pt idx="223">
                  <c:v>5.1881422698999993</c:v>
                </c:pt>
                <c:pt idx="224">
                  <c:v>5.1881422698999993</c:v>
                </c:pt>
                <c:pt idx="225">
                  <c:v>5.1881422698999993</c:v>
                </c:pt>
                <c:pt idx="226">
                  <c:v>5.1881422698999993</c:v>
                </c:pt>
                <c:pt idx="227">
                  <c:v>5.1881422698999993</c:v>
                </c:pt>
                <c:pt idx="228">
                  <c:v>5.1881422698999993</c:v>
                </c:pt>
                <c:pt idx="229">
                  <c:v>5.1881422698999993</c:v>
                </c:pt>
                <c:pt idx="230">
                  <c:v>5.1881422698999993</c:v>
                </c:pt>
                <c:pt idx="231">
                  <c:v>5.1881422698999993</c:v>
                </c:pt>
                <c:pt idx="232">
                  <c:v>5.1881422698999993</c:v>
                </c:pt>
                <c:pt idx="233">
                  <c:v>5.1881422698999993</c:v>
                </c:pt>
                <c:pt idx="234">
                  <c:v>5.1881422698999993</c:v>
                </c:pt>
                <c:pt idx="235">
                  <c:v>5.2281702555919995</c:v>
                </c:pt>
                <c:pt idx="236">
                  <c:v>5.2281702555919995</c:v>
                </c:pt>
                <c:pt idx="237">
                  <c:v>5.2281702555919995</c:v>
                </c:pt>
                <c:pt idx="238">
                  <c:v>5.2281702555919995</c:v>
                </c:pt>
                <c:pt idx="239">
                  <c:v>5.2281702555919995</c:v>
                </c:pt>
                <c:pt idx="240">
                  <c:v>5.2281702555919995</c:v>
                </c:pt>
                <c:pt idx="241">
                  <c:v>5.2281702555919995</c:v>
                </c:pt>
                <c:pt idx="242">
                  <c:v>5.2281702555919995</c:v>
                </c:pt>
                <c:pt idx="243">
                  <c:v>5.2281702555919995</c:v>
                </c:pt>
                <c:pt idx="244">
                  <c:v>5.2281702555919995</c:v>
                </c:pt>
                <c:pt idx="245">
                  <c:v>5.2281702555919995</c:v>
                </c:pt>
                <c:pt idx="246">
                  <c:v>5.2281702555919995</c:v>
                </c:pt>
                <c:pt idx="247">
                  <c:v>5.2281702555919995</c:v>
                </c:pt>
                <c:pt idx="248">
                  <c:v>5.2281702555919995</c:v>
                </c:pt>
                <c:pt idx="249">
                  <c:v>5.2281702555919995</c:v>
                </c:pt>
                <c:pt idx="250">
                  <c:v>7.7710099286719982</c:v>
                </c:pt>
                <c:pt idx="251">
                  <c:v>7.7710099286719982</c:v>
                </c:pt>
                <c:pt idx="252">
                  <c:v>7.7710099286719982</c:v>
                </c:pt>
                <c:pt idx="253">
                  <c:v>7.7710099286719982</c:v>
                </c:pt>
                <c:pt idx="254">
                  <c:v>7.7710099286719982</c:v>
                </c:pt>
                <c:pt idx="255">
                  <c:v>7.7710099286719982</c:v>
                </c:pt>
                <c:pt idx="256">
                  <c:v>7.7710099286719982</c:v>
                </c:pt>
                <c:pt idx="257">
                  <c:v>7.7710099286719982</c:v>
                </c:pt>
                <c:pt idx="258">
                  <c:v>7.7710099286719982</c:v>
                </c:pt>
                <c:pt idx="259">
                  <c:v>7.7710099286719982</c:v>
                </c:pt>
                <c:pt idx="260">
                  <c:v>7.7710099286719982</c:v>
                </c:pt>
                <c:pt idx="261">
                  <c:v>7.6856324497599999</c:v>
                </c:pt>
                <c:pt idx="262">
                  <c:v>7.6856324497599999</c:v>
                </c:pt>
                <c:pt idx="263">
                  <c:v>7.6856324497599999</c:v>
                </c:pt>
                <c:pt idx="264">
                  <c:v>7.6856324497599999</c:v>
                </c:pt>
                <c:pt idx="265">
                  <c:v>7.6856324497599999</c:v>
                </c:pt>
                <c:pt idx="266">
                  <c:v>7.6856324497599999</c:v>
                </c:pt>
                <c:pt idx="267">
                  <c:v>7.6856324497599999</c:v>
                </c:pt>
                <c:pt idx="268">
                  <c:v>7.6856324497599999</c:v>
                </c:pt>
                <c:pt idx="269">
                  <c:v>1.7650548598440088</c:v>
                </c:pt>
                <c:pt idx="270">
                  <c:v>1.7650548598440088</c:v>
                </c:pt>
                <c:pt idx="271">
                  <c:v>1.7650548598440088</c:v>
                </c:pt>
                <c:pt idx="272">
                  <c:v>1.7650548598440088</c:v>
                </c:pt>
                <c:pt idx="273">
                  <c:v>1.7650548598440088</c:v>
                </c:pt>
                <c:pt idx="274">
                  <c:v>1.7650548598440088</c:v>
                </c:pt>
                <c:pt idx="275">
                  <c:v>1.7650548598440088</c:v>
                </c:pt>
                <c:pt idx="276">
                  <c:v>1.7650548598440088</c:v>
                </c:pt>
                <c:pt idx="277">
                  <c:v>1.7650548598440088</c:v>
                </c:pt>
                <c:pt idx="278">
                  <c:v>1.3937994454439924</c:v>
                </c:pt>
                <c:pt idx="279">
                  <c:v>1.3937994454439924</c:v>
                </c:pt>
                <c:pt idx="280">
                  <c:v>1.3937994454439924</c:v>
                </c:pt>
                <c:pt idx="281">
                  <c:v>1.3937994454439924</c:v>
                </c:pt>
                <c:pt idx="282">
                  <c:v>1.3937994454439924</c:v>
                </c:pt>
                <c:pt idx="283">
                  <c:v>1.3937994454439924</c:v>
                </c:pt>
                <c:pt idx="284">
                  <c:v>1.3937994454439924</c:v>
                </c:pt>
                <c:pt idx="285">
                  <c:v>1.3937994454439924</c:v>
                </c:pt>
                <c:pt idx="286">
                  <c:v>1.3937994454439924</c:v>
                </c:pt>
                <c:pt idx="287">
                  <c:v>1.3937994454439924</c:v>
                </c:pt>
                <c:pt idx="288">
                  <c:v>10.789964488896004</c:v>
                </c:pt>
                <c:pt idx="289">
                  <c:v>10.789964488896004</c:v>
                </c:pt>
                <c:pt idx="290">
                  <c:v>10.789964488896004</c:v>
                </c:pt>
                <c:pt idx="291">
                  <c:v>10.789964488896004</c:v>
                </c:pt>
                <c:pt idx="292">
                  <c:v>10.789964488896004</c:v>
                </c:pt>
                <c:pt idx="293">
                  <c:v>10.789964488896004</c:v>
                </c:pt>
                <c:pt idx="294">
                  <c:v>11.350777550060005</c:v>
                </c:pt>
                <c:pt idx="295">
                  <c:v>11.350777550060005</c:v>
                </c:pt>
                <c:pt idx="296">
                  <c:v>11.350777550060005</c:v>
                </c:pt>
                <c:pt idx="297">
                  <c:v>11.350777550060005</c:v>
                </c:pt>
                <c:pt idx="298">
                  <c:v>11.350777550060005</c:v>
                </c:pt>
                <c:pt idx="299">
                  <c:v>11.350777550060005</c:v>
                </c:pt>
                <c:pt idx="300">
                  <c:v>11.350777550060005</c:v>
                </c:pt>
                <c:pt idx="301">
                  <c:v>5.4642342621599997</c:v>
                </c:pt>
                <c:pt idx="302">
                  <c:v>5.4642342621599997</c:v>
                </c:pt>
                <c:pt idx="303">
                  <c:v>5.4642342621599997</c:v>
                </c:pt>
                <c:pt idx="304">
                  <c:v>5.4642342621599997</c:v>
                </c:pt>
                <c:pt idx="305">
                  <c:v>5.4642342621599997</c:v>
                </c:pt>
                <c:pt idx="306">
                  <c:v>5.4642342621599997</c:v>
                </c:pt>
                <c:pt idx="307">
                  <c:v>5.4642342621599997</c:v>
                </c:pt>
                <c:pt idx="308">
                  <c:v>5.4642342621599997</c:v>
                </c:pt>
                <c:pt idx="309">
                  <c:v>5.4642342621599997</c:v>
                </c:pt>
                <c:pt idx="310">
                  <c:v>5.4642342621599997</c:v>
                </c:pt>
                <c:pt idx="311">
                  <c:v>5.5386077071360003</c:v>
                </c:pt>
                <c:pt idx="312">
                  <c:v>5.5386077071360003</c:v>
                </c:pt>
                <c:pt idx="313">
                  <c:v>5.5386077071360003</c:v>
                </c:pt>
                <c:pt idx="314">
                  <c:v>5.5386077071360003</c:v>
                </c:pt>
                <c:pt idx="315">
                  <c:v>5.5386077071360003</c:v>
                </c:pt>
                <c:pt idx="316">
                  <c:v>5.5386077071360003</c:v>
                </c:pt>
                <c:pt idx="317">
                  <c:v>5.5386077071360003</c:v>
                </c:pt>
                <c:pt idx="318">
                  <c:v>5.5386077071360003</c:v>
                </c:pt>
                <c:pt idx="319">
                  <c:v>5.5386077071360003</c:v>
                </c:pt>
                <c:pt idx="320">
                  <c:v>5.5386077071360003</c:v>
                </c:pt>
                <c:pt idx="321">
                  <c:v>7.5893582397799992</c:v>
                </c:pt>
                <c:pt idx="322">
                  <c:v>7.5893582397799992</c:v>
                </c:pt>
                <c:pt idx="323">
                  <c:v>7.5893582397799992</c:v>
                </c:pt>
                <c:pt idx="324">
                  <c:v>7.5893582397799992</c:v>
                </c:pt>
                <c:pt idx="325">
                  <c:v>7.5893582397799992</c:v>
                </c:pt>
                <c:pt idx="326">
                  <c:v>7.5893582397799992</c:v>
                </c:pt>
                <c:pt idx="327">
                  <c:v>7.5893582397799992</c:v>
                </c:pt>
                <c:pt idx="328">
                  <c:v>7.5893582397799992</c:v>
                </c:pt>
                <c:pt idx="329">
                  <c:v>7.5893582397799992</c:v>
                </c:pt>
                <c:pt idx="330">
                  <c:v>7.5893582397799992</c:v>
                </c:pt>
                <c:pt idx="331">
                  <c:v>7.8932703449600004</c:v>
                </c:pt>
                <c:pt idx="332">
                  <c:v>7.8932703449600004</c:v>
                </c:pt>
                <c:pt idx="333">
                  <c:v>7.8932703449600004</c:v>
                </c:pt>
                <c:pt idx="334">
                  <c:v>7.8932703449600004</c:v>
                </c:pt>
                <c:pt idx="335">
                  <c:v>7.8932703449600004</c:v>
                </c:pt>
                <c:pt idx="336">
                  <c:v>7.8932703449600004</c:v>
                </c:pt>
                <c:pt idx="337">
                  <c:v>7.8932703449600004</c:v>
                </c:pt>
                <c:pt idx="338">
                  <c:v>7.8932703449600004</c:v>
                </c:pt>
              </c:numCache>
            </c:numRef>
          </c:xVal>
          <c:yVal>
            <c:numRef>
              <c:f>'SICA_adjusted (3)'!$N$2:$N$343</c:f>
              <c:numCache>
                <c:formatCode>General</c:formatCode>
                <c:ptCount val="342"/>
                <c:pt idx="0">
                  <c:v>0.12800712800712813</c:v>
                </c:pt>
                <c:pt idx="1">
                  <c:v>7.9749079749079826E-2</c:v>
                </c:pt>
                <c:pt idx="2">
                  <c:v>0.16524016524016535</c:v>
                </c:pt>
                <c:pt idx="3">
                  <c:v>0.19913719913719918</c:v>
                </c:pt>
                <c:pt idx="4">
                  <c:v>2.1819021819021889E-2</c:v>
                </c:pt>
                <c:pt idx="5">
                  <c:v>0.17031617031617044</c:v>
                </c:pt>
                <c:pt idx="6">
                  <c:v>0.11291711291711294</c:v>
                </c:pt>
                <c:pt idx="7">
                  <c:v>3.7926037926038082E-2</c:v>
                </c:pt>
                <c:pt idx="8">
                  <c:v>0.15680415680415688</c:v>
                </c:pt>
                <c:pt idx="9">
                  <c:v>4.959004959005019E-3</c:v>
                </c:pt>
                <c:pt idx="10">
                  <c:v>0.16649416649416662</c:v>
                </c:pt>
                <c:pt idx="11">
                  <c:v>0.11266211266211275</c:v>
                </c:pt>
                <c:pt idx="12">
                  <c:v>5.2920052920053043E-2</c:v>
                </c:pt>
                <c:pt idx="13">
                  <c:v>2.2119022119022259E-2</c:v>
                </c:pt>
                <c:pt idx="14">
                  <c:v>7.5867075867075986E-2</c:v>
                </c:pt>
                <c:pt idx="15">
                  <c:v>0.11539511539511547</c:v>
                </c:pt>
                <c:pt idx="16">
                  <c:v>0.18041718041718044</c:v>
                </c:pt>
                <c:pt idx="17">
                  <c:v>2.3640023640023794E-2</c:v>
                </c:pt>
                <c:pt idx="18">
                  <c:v>0.18426918426918426</c:v>
                </c:pt>
                <c:pt idx="19">
                  <c:v>0.20885720885720893</c:v>
                </c:pt>
                <c:pt idx="20">
                  <c:v>0.1371691371691372</c:v>
                </c:pt>
                <c:pt idx="21">
                  <c:v>0.18929418929418931</c:v>
                </c:pt>
                <c:pt idx="22">
                  <c:v>0.13476613476613483</c:v>
                </c:pt>
                <c:pt idx="23">
                  <c:v>0.18343218343218343</c:v>
                </c:pt>
                <c:pt idx="24">
                  <c:v>0.17034317034317034</c:v>
                </c:pt>
                <c:pt idx="25">
                  <c:v>9.0012090012090068E-2</c:v>
                </c:pt>
                <c:pt idx="26">
                  <c:v>0.18559218559218568</c:v>
                </c:pt>
                <c:pt idx="27">
                  <c:v>0.12043512043512054</c:v>
                </c:pt>
                <c:pt idx="28">
                  <c:v>0.16009216009216018</c:v>
                </c:pt>
                <c:pt idx="29">
                  <c:v>6.7992067992068125E-2</c:v>
                </c:pt>
                <c:pt idx="30">
                  <c:v>0.11629211629211632</c:v>
                </c:pt>
                <c:pt idx="31">
                  <c:v>6.3222063222063252E-2</c:v>
                </c:pt>
                <c:pt idx="32">
                  <c:v>6.464406464406465E-2</c:v>
                </c:pt>
                <c:pt idx="33">
                  <c:v>0.12816612816612827</c:v>
                </c:pt>
                <c:pt idx="34">
                  <c:v>0.11077811077811091</c:v>
                </c:pt>
                <c:pt idx="35">
                  <c:v>6.9117069117069246E-2</c:v>
                </c:pt>
                <c:pt idx="36">
                  <c:v>8.5020085020085109E-2</c:v>
                </c:pt>
                <c:pt idx="37">
                  <c:v>0.11979311979311991</c:v>
                </c:pt>
                <c:pt idx="38">
                  <c:v>9.4314094314094446E-2</c:v>
                </c:pt>
                <c:pt idx="39">
                  <c:v>0.15705315705315703</c:v>
                </c:pt>
                <c:pt idx="40">
                  <c:v>7.9083079083079211E-2</c:v>
                </c:pt>
                <c:pt idx="41">
                  <c:v>9.0978090978091036E-2</c:v>
                </c:pt>
                <c:pt idx="42">
                  <c:v>0.13791013791013798</c:v>
                </c:pt>
                <c:pt idx="43">
                  <c:v>8.4546084546084588E-2</c:v>
                </c:pt>
                <c:pt idx="44">
                  <c:v>7.3362073362073385E-2</c:v>
                </c:pt>
                <c:pt idx="45">
                  <c:v>0.17003417003417018</c:v>
                </c:pt>
                <c:pt idx="46">
                  <c:v>9.7260097260097295E-2</c:v>
                </c:pt>
                <c:pt idx="47">
                  <c:v>0.14444114444114459</c:v>
                </c:pt>
                <c:pt idx="48">
                  <c:v>0.14603114603114609</c:v>
                </c:pt>
                <c:pt idx="49">
                  <c:v>0.12197412197412201</c:v>
                </c:pt>
                <c:pt idx="50">
                  <c:v>7.5276075276075397E-2</c:v>
                </c:pt>
                <c:pt idx="51">
                  <c:v>0.19237819237819245</c:v>
                </c:pt>
                <c:pt idx="52">
                  <c:v>0.22926922926922927</c:v>
                </c:pt>
                <c:pt idx="53">
                  <c:v>0.25654825654825658</c:v>
                </c:pt>
                <c:pt idx="54">
                  <c:v>0.21369021369021374</c:v>
                </c:pt>
                <c:pt idx="55">
                  <c:v>0.10111810111810116</c:v>
                </c:pt>
                <c:pt idx="56">
                  <c:v>3.3228033228033291E-2</c:v>
                </c:pt>
                <c:pt idx="57">
                  <c:v>0.1889131889131889</c:v>
                </c:pt>
                <c:pt idx="58">
                  <c:v>0.1218361218361219</c:v>
                </c:pt>
                <c:pt idx="59">
                  <c:v>9.9591099591099588E-2</c:v>
                </c:pt>
                <c:pt idx="60">
                  <c:v>0.17869517869517884</c:v>
                </c:pt>
                <c:pt idx="61">
                  <c:v>0.22195822195822207</c:v>
                </c:pt>
                <c:pt idx="62">
                  <c:v>0.20695520695520697</c:v>
                </c:pt>
                <c:pt idx="63">
                  <c:v>0.12630312630312629</c:v>
                </c:pt>
                <c:pt idx="64">
                  <c:v>0.1312471312471313</c:v>
                </c:pt>
                <c:pt idx="65">
                  <c:v>0.16843216843216843</c:v>
                </c:pt>
                <c:pt idx="66">
                  <c:v>0.19862119862119876</c:v>
                </c:pt>
                <c:pt idx="67">
                  <c:v>0.20203820203820202</c:v>
                </c:pt>
                <c:pt idx="68">
                  <c:v>0.21662721662721662</c:v>
                </c:pt>
                <c:pt idx="69">
                  <c:v>0.22974622974622988</c:v>
                </c:pt>
                <c:pt idx="70">
                  <c:v>0.21427221427221435</c:v>
                </c:pt>
                <c:pt idx="71">
                  <c:v>0.20742920742920751</c:v>
                </c:pt>
                <c:pt idx="72">
                  <c:v>0.24478524478524485</c:v>
                </c:pt>
                <c:pt idx="73">
                  <c:v>0.25155925155925157</c:v>
                </c:pt>
                <c:pt idx="74">
                  <c:v>0.16445416445416455</c:v>
                </c:pt>
                <c:pt idx="75">
                  <c:v>0.18346518346518353</c:v>
                </c:pt>
                <c:pt idx="76">
                  <c:v>0.17519717519717518</c:v>
                </c:pt>
                <c:pt idx="77">
                  <c:v>0.18216318216318217</c:v>
                </c:pt>
                <c:pt idx="78">
                  <c:v>0.17678417678417693</c:v>
                </c:pt>
                <c:pt idx="79">
                  <c:v>0.248886248886249</c:v>
                </c:pt>
                <c:pt idx="80">
                  <c:v>0.23805023805023809</c:v>
                </c:pt>
                <c:pt idx="81">
                  <c:v>7.0302070302070377E-2</c:v>
                </c:pt>
                <c:pt idx="82">
                  <c:v>7.7016077016077086E-2</c:v>
                </c:pt>
                <c:pt idx="83">
                  <c:v>0.15660015660015672</c:v>
                </c:pt>
                <c:pt idx="84">
                  <c:v>8.8863088863088968E-2</c:v>
                </c:pt>
                <c:pt idx="85">
                  <c:v>0.15013815013815027</c:v>
                </c:pt>
                <c:pt idx="86">
                  <c:v>0.19714519714519724</c:v>
                </c:pt>
                <c:pt idx="87">
                  <c:v>3.9420039420039549E-2</c:v>
                </c:pt>
                <c:pt idx="88">
                  <c:v>7.8120078120078179E-2</c:v>
                </c:pt>
                <c:pt idx="89">
                  <c:v>0.22653322653322658</c:v>
                </c:pt>
                <c:pt idx="90">
                  <c:v>0.17335217335217348</c:v>
                </c:pt>
                <c:pt idx="91">
                  <c:v>7.6245076245076301E-2</c:v>
                </c:pt>
                <c:pt idx="92">
                  <c:v>0.11988011988011998</c:v>
                </c:pt>
                <c:pt idx="93">
                  <c:v>9.9945099945100105E-2</c:v>
                </c:pt>
                <c:pt idx="94">
                  <c:v>2.6313026313026355E-2</c:v>
                </c:pt>
                <c:pt idx="95">
                  <c:v>0.11459711459711462</c:v>
                </c:pt>
                <c:pt idx="96">
                  <c:v>0.14822114822114832</c:v>
                </c:pt>
                <c:pt idx="97">
                  <c:v>0.11827211827211837</c:v>
                </c:pt>
                <c:pt idx="98">
                  <c:v>8.0295080295080423E-2</c:v>
                </c:pt>
                <c:pt idx="99">
                  <c:v>0.13963513963513968</c:v>
                </c:pt>
                <c:pt idx="100">
                  <c:v>9.0018090018090094E-2</c:v>
                </c:pt>
                <c:pt idx="101">
                  <c:v>6.7830067830067869E-2</c:v>
                </c:pt>
                <c:pt idx="102">
                  <c:v>0.12582012582012597</c:v>
                </c:pt>
                <c:pt idx="103">
                  <c:v>8.5638085638085781E-2</c:v>
                </c:pt>
                <c:pt idx="104">
                  <c:v>0.12505512505512506</c:v>
                </c:pt>
                <c:pt idx="105">
                  <c:v>0.11157611157611159</c:v>
                </c:pt>
                <c:pt idx="106">
                  <c:v>5.7864057864057891E-2</c:v>
                </c:pt>
                <c:pt idx="107">
                  <c:v>5.2425052425052486E-2</c:v>
                </c:pt>
                <c:pt idx="108">
                  <c:v>8.8752088752088759E-2</c:v>
                </c:pt>
                <c:pt idx="109">
                  <c:v>8.5953085953085984E-2</c:v>
                </c:pt>
                <c:pt idx="110">
                  <c:v>0.17851217851217854</c:v>
                </c:pt>
                <c:pt idx="111">
                  <c:v>9.2046092046092085E-2</c:v>
                </c:pt>
                <c:pt idx="112">
                  <c:v>0.22262722262722262</c:v>
                </c:pt>
                <c:pt idx="113">
                  <c:v>0.28587628587628594</c:v>
                </c:pt>
                <c:pt idx="114">
                  <c:v>0.36977136977136976</c:v>
                </c:pt>
                <c:pt idx="115">
                  <c:v>0.35826035826035829</c:v>
                </c:pt>
                <c:pt idx="116">
                  <c:v>0.30790230790230794</c:v>
                </c:pt>
                <c:pt idx="117">
                  <c:v>8.5824085824085836E-2</c:v>
                </c:pt>
                <c:pt idx="118">
                  <c:v>0.12098412098412106</c:v>
                </c:pt>
                <c:pt idx="119">
                  <c:v>0.205854205854206</c:v>
                </c:pt>
                <c:pt idx="120">
                  <c:v>0.17593517593517605</c:v>
                </c:pt>
                <c:pt idx="121">
                  <c:v>0.23281223281223293</c:v>
                </c:pt>
                <c:pt idx="122">
                  <c:v>0.1909771909771911</c:v>
                </c:pt>
                <c:pt idx="123">
                  <c:v>0.26901326901326916</c:v>
                </c:pt>
                <c:pt idx="124">
                  <c:v>0.14352014352014361</c:v>
                </c:pt>
                <c:pt idx="125">
                  <c:v>0.277023277023277</c:v>
                </c:pt>
                <c:pt idx="126">
                  <c:v>0.23099423099423111</c:v>
                </c:pt>
                <c:pt idx="127">
                  <c:v>0.21545121545121546</c:v>
                </c:pt>
                <c:pt idx="128">
                  <c:v>0.23685023685023696</c:v>
                </c:pt>
                <c:pt idx="129">
                  <c:v>0.24973524973524974</c:v>
                </c:pt>
                <c:pt idx="130">
                  <c:v>0.18558618558618564</c:v>
                </c:pt>
                <c:pt idx="131">
                  <c:v>0.28875328875328882</c:v>
                </c:pt>
                <c:pt idx="132">
                  <c:v>0.25128925128925139</c:v>
                </c:pt>
                <c:pt idx="133">
                  <c:v>0.48698748698748695</c:v>
                </c:pt>
                <c:pt idx="134">
                  <c:v>0.42843642843642843</c:v>
                </c:pt>
                <c:pt idx="135">
                  <c:v>0.4558984558984559</c:v>
                </c:pt>
                <c:pt idx="136">
                  <c:v>0.41305241305241308</c:v>
                </c:pt>
                <c:pt idx="137">
                  <c:v>0.42921342921342925</c:v>
                </c:pt>
                <c:pt idx="138">
                  <c:v>0.46170346170346171</c:v>
                </c:pt>
                <c:pt idx="139">
                  <c:v>0.40313740313740315</c:v>
                </c:pt>
                <c:pt idx="140">
                  <c:v>0.40715440715440715</c:v>
                </c:pt>
                <c:pt idx="141">
                  <c:v>0.44755544755544752</c:v>
                </c:pt>
                <c:pt idx="142">
                  <c:v>0.47937647937647943</c:v>
                </c:pt>
                <c:pt idx="143">
                  <c:v>0.4563994563994565</c:v>
                </c:pt>
                <c:pt idx="144">
                  <c:v>0.45899145899145899</c:v>
                </c:pt>
                <c:pt idx="145">
                  <c:v>0.10250410250410251</c:v>
                </c:pt>
                <c:pt idx="146">
                  <c:v>6.3549063549063686E-2</c:v>
                </c:pt>
                <c:pt idx="147">
                  <c:v>4.2606042606042768E-2</c:v>
                </c:pt>
                <c:pt idx="148">
                  <c:v>0.12865212865212869</c:v>
                </c:pt>
                <c:pt idx="149">
                  <c:v>9.0783090783090853E-2</c:v>
                </c:pt>
                <c:pt idx="150">
                  <c:v>6.9741069741069778E-2</c:v>
                </c:pt>
                <c:pt idx="151">
                  <c:v>3.6132036132036249E-2</c:v>
                </c:pt>
                <c:pt idx="152">
                  <c:v>0.18434718434718436</c:v>
                </c:pt>
                <c:pt idx="153">
                  <c:v>3.4062034062034188E-2</c:v>
                </c:pt>
                <c:pt idx="154">
                  <c:v>0.10909510909510911</c:v>
                </c:pt>
                <c:pt idx="155">
                  <c:v>0.12196512196512205</c:v>
                </c:pt>
                <c:pt idx="156">
                  <c:v>9.5691095691095823E-2</c:v>
                </c:pt>
                <c:pt idx="157">
                  <c:v>0.1656691656691657</c:v>
                </c:pt>
                <c:pt idx="158">
                  <c:v>0.11066111066111066</c:v>
                </c:pt>
                <c:pt idx="159">
                  <c:v>8.7324087324087335E-2</c:v>
                </c:pt>
                <c:pt idx="160">
                  <c:v>0.13644313644313658</c:v>
                </c:pt>
                <c:pt idx="161">
                  <c:v>3.3822033822033824E-2</c:v>
                </c:pt>
                <c:pt idx="162">
                  <c:v>0.14568314568314578</c:v>
                </c:pt>
                <c:pt idx="163">
                  <c:v>8.9760089760089798E-2</c:v>
                </c:pt>
                <c:pt idx="164">
                  <c:v>0.13192213192213206</c:v>
                </c:pt>
                <c:pt idx="165">
                  <c:v>0.1171411171411172</c:v>
                </c:pt>
                <c:pt idx="166">
                  <c:v>9.7017097017097001E-2</c:v>
                </c:pt>
                <c:pt idx="167">
                  <c:v>0.1142911142911144</c:v>
                </c:pt>
                <c:pt idx="168">
                  <c:v>0.11204411204411208</c:v>
                </c:pt>
                <c:pt idx="169">
                  <c:v>0.12794112794112808</c:v>
                </c:pt>
                <c:pt idx="170">
                  <c:v>3.9654039654039706E-2</c:v>
                </c:pt>
                <c:pt idx="171">
                  <c:v>9.6456096456096582E-2</c:v>
                </c:pt>
                <c:pt idx="172">
                  <c:v>8.4594084594084698E-2</c:v>
                </c:pt>
                <c:pt idx="173">
                  <c:v>0.23499323499323502</c:v>
                </c:pt>
                <c:pt idx="174">
                  <c:v>0.10325710325710337</c:v>
                </c:pt>
                <c:pt idx="175">
                  <c:v>0.21282921282921294</c:v>
                </c:pt>
                <c:pt idx="176">
                  <c:v>0.12303012303012316</c:v>
                </c:pt>
                <c:pt idx="177">
                  <c:v>0.17189717189717199</c:v>
                </c:pt>
                <c:pt idx="178">
                  <c:v>0.1584421584421585</c:v>
                </c:pt>
                <c:pt idx="179">
                  <c:v>7.83060783060784E-2</c:v>
                </c:pt>
                <c:pt idx="180">
                  <c:v>0.11038811038811053</c:v>
                </c:pt>
                <c:pt idx="181">
                  <c:v>9.659109659109659E-2</c:v>
                </c:pt>
                <c:pt idx="182">
                  <c:v>0.17363417363417374</c:v>
                </c:pt>
                <c:pt idx="183">
                  <c:v>0.32979932979932991</c:v>
                </c:pt>
                <c:pt idx="184">
                  <c:v>0.31899931899931905</c:v>
                </c:pt>
                <c:pt idx="185">
                  <c:v>0.3282993282993284</c:v>
                </c:pt>
                <c:pt idx="186">
                  <c:v>0.21579921579921593</c:v>
                </c:pt>
                <c:pt idx="187">
                  <c:v>0.12459912459912463</c:v>
                </c:pt>
                <c:pt idx="188">
                  <c:v>0.29289929289929301</c:v>
                </c:pt>
                <c:pt idx="189">
                  <c:v>0.11949911949911957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D3-4905-BFBF-F22B2BBD592B}"/>
            </c:ext>
          </c:extLst>
        </c:ser>
        <c:ser>
          <c:idx val="1"/>
          <c:order val="1"/>
          <c:tx>
            <c:strRef>
              <c:f>'SICA_adjusted (3)'!$O$1</c:f>
              <c:strCache>
                <c:ptCount val="1"/>
                <c:pt idx="0">
                  <c:v>ESMS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2.0146298280762243E-3"/>
                  <c:y val="-0.316997004215769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D8C1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'SICA_adjusted (3)'!$L$2:$L$343</c:f>
              <c:numCache>
                <c:formatCode>General</c:formatCode>
                <c:ptCount val="342"/>
                <c:pt idx="0">
                  <c:v>0.23704106727055055</c:v>
                </c:pt>
                <c:pt idx="1">
                  <c:v>0.23704106727055055</c:v>
                </c:pt>
                <c:pt idx="2">
                  <c:v>0.23704106727055055</c:v>
                </c:pt>
                <c:pt idx="3">
                  <c:v>0.23704106727055055</c:v>
                </c:pt>
                <c:pt idx="4">
                  <c:v>0.23704106727055055</c:v>
                </c:pt>
                <c:pt idx="5">
                  <c:v>0.23704106727055055</c:v>
                </c:pt>
                <c:pt idx="6">
                  <c:v>0.23704106727055055</c:v>
                </c:pt>
                <c:pt idx="7">
                  <c:v>0.23704106727055055</c:v>
                </c:pt>
                <c:pt idx="8">
                  <c:v>0.23704106727055055</c:v>
                </c:pt>
                <c:pt idx="9">
                  <c:v>0.23704106727055055</c:v>
                </c:pt>
                <c:pt idx="10">
                  <c:v>0.23704106727055055</c:v>
                </c:pt>
                <c:pt idx="11">
                  <c:v>0.23704106727055055</c:v>
                </c:pt>
                <c:pt idx="12">
                  <c:v>0.23704106727055055</c:v>
                </c:pt>
                <c:pt idx="13">
                  <c:v>0.23704106727055055</c:v>
                </c:pt>
                <c:pt idx="14">
                  <c:v>0.23704106727055055</c:v>
                </c:pt>
                <c:pt idx="15">
                  <c:v>0.23704106727055055</c:v>
                </c:pt>
                <c:pt idx="16">
                  <c:v>0.23704106727055055</c:v>
                </c:pt>
                <c:pt idx="17">
                  <c:v>0.23704106727055055</c:v>
                </c:pt>
                <c:pt idx="18">
                  <c:v>0.23704106727055055</c:v>
                </c:pt>
                <c:pt idx="19">
                  <c:v>0.23704106727055055</c:v>
                </c:pt>
                <c:pt idx="20">
                  <c:v>0.98968534264765806</c:v>
                </c:pt>
                <c:pt idx="21">
                  <c:v>0.98968534264765806</c:v>
                </c:pt>
                <c:pt idx="22">
                  <c:v>0.98968534264765806</c:v>
                </c:pt>
                <c:pt idx="23">
                  <c:v>0.98968534264765806</c:v>
                </c:pt>
                <c:pt idx="24">
                  <c:v>0.98968534264765806</c:v>
                </c:pt>
                <c:pt idx="25">
                  <c:v>0.98968534264765806</c:v>
                </c:pt>
                <c:pt idx="26">
                  <c:v>0.98968534264765806</c:v>
                </c:pt>
                <c:pt idx="27">
                  <c:v>0.98968534264765806</c:v>
                </c:pt>
                <c:pt idx="28">
                  <c:v>0.98968534264765806</c:v>
                </c:pt>
                <c:pt idx="29">
                  <c:v>0.98968534264765806</c:v>
                </c:pt>
                <c:pt idx="30">
                  <c:v>0.98968534264765806</c:v>
                </c:pt>
                <c:pt idx="31">
                  <c:v>0.98968534264765806</c:v>
                </c:pt>
                <c:pt idx="32">
                  <c:v>0.98968534264765806</c:v>
                </c:pt>
                <c:pt idx="33">
                  <c:v>0.98968534264765806</c:v>
                </c:pt>
                <c:pt idx="34">
                  <c:v>3.0563736925754599</c:v>
                </c:pt>
                <c:pt idx="35">
                  <c:v>3.0563736925754599</c:v>
                </c:pt>
                <c:pt idx="36">
                  <c:v>3.0563736925754599</c:v>
                </c:pt>
                <c:pt idx="37">
                  <c:v>3.0563736925754599</c:v>
                </c:pt>
                <c:pt idx="38">
                  <c:v>3.0563736925754599</c:v>
                </c:pt>
                <c:pt idx="39">
                  <c:v>3.0563736925754599</c:v>
                </c:pt>
                <c:pt idx="40">
                  <c:v>3.0563736925754599</c:v>
                </c:pt>
                <c:pt idx="41">
                  <c:v>3.0563736925754599</c:v>
                </c:pt>
                <c:pt idx="42">
                  <c:v>3.0563736925754599</c:v>
                </c:pt>
                <c:pt idx="43">
                  <c:v>3.0563736925754599</c:v>
                </c:pt>
                <c:pt idx="44">
                  <c:v>3.0563736925754599</c:v>
                </c:pt>
                <c:pt idx="45">
                  <c:v>3.0563736925754599</c:v>
                </c:pt>
                <c:pt idx="46">
                  <c:v>4.3054291898172066</c:v>
                </c:pt>
                <c:pt idx="47">
                  <c:v>4.3054291898172066</c:v>
                </c:pt>
                <c:pt idx="48">
                  <c:v>4.3054291898172066</c:v>
                </c:pt>
                <c:pt idx="49">
                  <c:v>4.3054291898172066</c:v>
                </c:pt>
                <c:pt idx="50">
                  <c:v>4.3054291898172066</c:v>
                </c:pt>
                <c:pt idx="51">
                  <c:v>4.3054291898172066</c:v>
                </c:pt>
                <c:pt idx="52">
                  <c:v>4.3054291898172066</c:v>
                </c:pt>
                <c:pt idx="53">
                  <c:v>4.3054291898172066</c:v>
                </c:pt>
                <c:pt idx="54">
                  <c:v>4.3054291898172066</c:v>
                </c:pt>
                <c:pt idx="55">
                  <c:v>4.3054291898172066</c:v>
                </c:pt>
                <c:pt idx="56">
                  <c:v>4.3054291898172066</c:v>
                </c:pt>
                <c:pt idx="57">
                  <c:v>4.3054291898172066</c:v>
                </c:pt>
                <c:pt idx="58">
                  <c:v>4.3054291898172066</c:v>
                </c:pt>
                <c:pt idx="59">
                  <c:v>4.3054291898172066</c:v>
                </c:pt>
                <c:pt idx="60">
                  <c:v>6.893090155070249</c:v>
                </c:pt>
                <c:pt idx="61">
                  <c:v>6.893090155070249</c:v>
                </c:pt>
                <c:pt idx="62">
                  <c:v>6.893090155070249</c:v>
                </c:pt>
                <c:pt idx="63">
                  <c:v>6.893090155070249</c:v>
                </c:pt>
                <c:pt idx="64">
                  <c:v>6.893090155070249</c:v>
                </c:pt>
                <c:pt idx="65">
                  <c:v>6.893090155070249</c:v>
                </c:pt>
                <c:pt idx="66">
                  <c:v>6.893090155070249</c:v>
                </c:pt>
                <c:pt idx="67">
                  <c:v>6.893090155070249</c:v>
                </c:pt>
                <c:pt idx="68">
                  <c:v>6.893090155070249</c:v>
                </c:pt>
                <c:pt idx="69">
                  <c:v>6.893090155070249</c:v>
                </c:pt>
                <c:pt idx="70">
                  <c:v>6.893090155070249</c:v>
                </c:pt>
                <c:pt idx="71">
                  <c:v>6.893090155070249</c:v>
                </c:pt>
                <c:pt idx="72">
                  <c:v>6.893090155070249</c:v>
                </c:pt>
                <c:pt idx="73">
                  <c:v>6.893090155070249</c:v>
                </c:pt>
                <c:pt idx="74">
                  <c:v>6.893090155070249</c:v>
                </c:pt>
                <c:pt idx="75">
                  <c:v>6.893090155070249</c:v>
                </c:pt>
                <c:pt idx="76">
                  <c:v>6.893090155070249</c:v>
                </c:pt>
                <c:pt idx="77">
                  <c:v>6.893090155070249</c:v>
                </c:pt>
                <c:pt idx="78">
                  <c:v>6.893090155070249</c:v>
                </c:pt>
                <c:pt idx="79">
                  <c:v>6.893090155070249</c:v>
                </c:pt>
                <c:pt idx="80">
                  <c:v>6.893090155070249</c:v>
                </c:pt>
                <c:pt idx="81">
                  <c:v>8.313877865212399E-2</c:v>
                </c:pt>
                <c:pt idx="82">
                  <c:v>8.313877865212399E-2</c:v>
                </c:pt>
                <c:pt idx="83">
                  <c:v>8.313877865212399E-2</c:v>
                </c:pt>
                <c:pt idx="84">
                  <c:v>8.313877865212399E-2</c:v>
                </c:pt>
                <c:pt idx="85">
                  <c:v>8.313877865212399E-2</c:v>
                </c:pt>
                <c:pt idx="86">
                  <c:v>8.313877865212399E-2</c:v>
                </c:pt>
                <c:pt idx="87">
                  <c:v>8.313877865212399E-2</c:v>
                </c:pt>
                <c:pt idx="88">
                  <c:v>8.313877865212399E-2</c:v>
                </c:pt>
                <c:pt idx="89">
                  <c:v>8.313877865212399E-2</c:v>
                </c:pt>
                <c:pt idx="90">
                  <c:v>8.313877865212399E-2</c:v>
                </c:pt>
                <c:pt idx="91">
                  <c:v>8.313877865212399E-2</c:v>
                </c:pt>
                <c:pt idx="92">
                  <c:v>2.8854483822857317</c:v>
                </c:pt>
                <c:pt idx="93">
                  <c:v>2.8854483822857317</c:v>
                </c:pt>
                <c:pt idx="94">
                  <c:v>2.8854483822857317</c:v>
                </c:pt>
                <c:pt idx="95">
                  <c:v>2.8854483822857317</c:v>
                </c:pt>
                <c:pt idx="96">
                  <c:v>2.8854483822857317</c:v>
                </c:pt>
                <c:pt idx="97">
                  <c:v>2.8854483822857317</c:v>
                </c:pt>
                <c:pt idx="98">
                  <c:v>2.8854483822857317</c:v>
                </c:pt>
                <c:pt idx="99">
                  <c:v>2.8854483822857317</c:v>
                </c:pt>
                <c:pt idx="100">
                  <c:v>6.7183540099597714</c:v>
                </c:pt>
                <c:pt idx="101">
                  <c:v>6.7183540099597714</c:v>
                </c:pt>
                <c:pt idx="102">
                  <c:v>6.7183540099597714</c:v>
                </c:pt>
                <c:pt idx="103">
                  <c:v>6.7183540099597714</c:v>
                </c:pt>
                <c:pt idx="104">
                  <c:v>6.7183540099597714</c:v>
                </c:pt>
                <c:pt idx="105">
                  <c:v>6.7183540099597714</c:v>
                </c:pt>
                <c:pt idx="106">
                  <c:v>6.7183540099597714</c:v>
                </c:pt>
                <c:pt idx="107">
                  <c:v>6.7183540099597714</c:v>
                </c:pt>
                <c:pt idx="108">
                  <c:v>6.7183540099597714</c:v>
                </c:pt>
                <c:pt idx="109">
                  <c:v>8.5504907176499199</c:v>
                </c:pt>
                <c:pt idx="110">
                  <c:v>8.5504907176499199</c:v>
                </c:pt>
                <c:pt idx="111">
                  <c:v>8.5504907176499199</c:v>
                </c:pt>
                <c:pt idx="112">
                  <c:v>8.5504907176499199</c:v>
                </c:pt>
                <c:pt idx="113">
                  <c:v>8.5504907176499199</c:v>
                </c:pt>
                <c:pt idx="114">
                  <c:v>8.5504907176499199</c:v>
                </c:pt>
                <c:pt idx="115">
                  <c:v>8.5504907176499199</c:v>
                </c:pt>
                <c:pt idx="116">
                  <c:v>8.5504907176499199</c:v>
                </c:pt>
                <c:pt idx="117">
                  <c:v>8.5504907176499199</c:v>
                </c:pt>
                <c:pt idx="118">
                  <c:v>8.5504907176499199</c:v>
                </c:pt>
                <c:pt idx="119">
                  <c:v>10.201556370704395</c:v>
                </c:pt>
                <c:pt idx="120">
                  <c:v>10.201556370704395</c:v>
                </c:pt>
                <c:pt idx="121">
                  <c:v>10.201556370704395</c:v>
                </c:pt>
                <c:pt idx="122">
                  <c:v>10.201556370704395</c:v>
                </c:pt>
                <c:pt idx="123">
                  <c:v>10.201556370704395</c:v>
                </c:pt>
                <c:pt idx="124">
                  <c:v>10.201556370704395</c:v>
                </c:pt>
                <c:pt idx="125">
                  <c:v>10.201556370704395</c:v>
                </c:pt>
                <c:pt idx="126">
                  <c:v>10.201556370704395</c:v>
                </c:pt>
                <c:pt idx="127">
                  <c:v>10.201556370704395</c:v>
                </c:pt>
                <c:pt idx="128">
                  <c:v>10.201556370704395</c:v>
                </c:pt>
                <c:pt idx="129">
                  <c:v>10.201556370704395</c:v>
                </c:pt>
                <c:pt idx="130">
                  <c:v>10.201556370704395</c:v>
                </c:pt>
                <c:pt idx="131">
                  <c:v>10.201556370704395</c:v>
                </c:pt>
                <c:pt idx="132">
                  <c:v>10.201556370704395</c:v>
                </c:pt>
                <c:pt idx="133">
                  <c:v>-9.5028965073583898</c:v>
                </c:pt>
                <c:pt idx="134">
                  <c:v>-9.5028965073583898</c:v>
                </c:pt>
                <c:pt idx="135">
                  <c:v>-9.5028965073583898</c:v>
                </c:pt>
                <c:pt idx="136">
                  <c:v>-9.5028965073583898</c:v>
                </c:pt>
                <c:pt idx="137">
                  <c:v>-9.5028965073583898</c:v>
                </c:pt>
                <c:pt idx="138">
                  <c:v>-9.5028965073583898</c:v>
                </c:pt>
                <c:pt idx="139">
                  <c:v>-9.5028965073583898</c:v>
                </c:pt>
                <c:pt idx="140">
                  <c:v>-9.5028965073583898</c:v>
                </c:pt>
                <c:pt idx="141">
                  <c:v>-9.5028965073583898</c:v>
                </c:pt>
                <c:pt idx="142">
                  <c:v>-9.5028965073583898</c:v>
                </c:pt>
                <c:pt idx="143">
                  <c:v>-9.5028965073583898</c:v>
                </c:pt>
                <c:pt idx="144">
                  <c:v>-9.5028965073583898</c:v>
                </c:pt>
                <c:pt idx="145">
                  <c:v>-4.3785527450945976</c:v>
                </c:pt>
                <c:pt idx="146">
                  <c:v>-4.3785527450945976</c:v>
                </c:pt>
                <c:pt idx="147">
                  <c:v>-4.3785527450945976</c:v>
                </c:pt>
                <c:pt idx="148">
                  <c:v>-4.3785527450945976</c:v>
                </c:pt>
                <c:pt idx="149">
                  <c:v>-4.3785527450945976</c:v>
                </c:pt>
                <c:pt idx="150">
                  <c:v>-4.3785527450945976</c:v>
                </c:pt>
                <c:pt idx="151">
                  <c:v>-4.3785527450945976</c:v>
                </c:pt>
                <c:pt idx="152">
                  <c:v>-4.3785527450945976</c:v>
                </c:pt>
                <c:pt idx="153">
                  <c:v>-4.3785527450945976</c:v>
                </c:pt>
                <c:pt idx="154">
                  <c:v>-4.3785527450945976</c:v>
                </c:pt>
                <c:pt idx="155">
                  <c:v>-4.3785527450945976</c:v>
                </c:pt>
                <c:pt idx="156">
                  <c:v>-4.3785527450945976</c:v>
                </c:pt>
                <c:pt idx="157">
                  <c:v>-0.6769680071594415</c:v>
                </c:pt>
                <c:pt idx="158">
                  <c:v>-0.6769680071594415</c:v>
                </c:pt>
                <c:pt idx="159">
                  <c:v>-0.6769680071594415</c:v>
                </c:pt>
                <c:pt idx="160">
                  <c:v>-0.6769680071594415</c:v>
                </c:pt>
                <c:pt idx="161">
                  <c:v>-0.6769680071594415</c:v>
                </c:pt>
                <c:pt idx="162">
                  <c:v>-0.6769680071594415</c:v>
                </c:pt>
                <c:pt idx="163">
                  <c:v>-0.6769680071594415</c:v>
                </c:pt>
                <c:pt idx="164">
                  <c:v>-0.6769680071594415</c:v>
                </c:pt>
                <c:pt idx="165">
                  <c:v>-0.6769680071594415</c:v>
                </c:pt>
                <c:pt idx="166">
                  <c:v>-0.6769680071594415</c:v>
                </c:pt>
                <c:pt idx="167">
                  <c:v>-0.6769680071594415</c:v>
                </c:pt>
                <c:pt idx="168">
                  <c:v>-0.6769680071594415</c:v>
                </c:pt>
                <c:pt idx="169">
                  <c:v>-0.6769680071594415</c:v>
                </c:pt>
                <c:pt idx="170">
                  <c:v>-0.6769680071594415</c:v>
                </c:pt>
                <c:pt idx="171">
                  <c:v>-0.6769680071594415</c:v>
                </c:pt>
                <c:pt idx="172">
                  <c:v>-0.6769680071594415</c:v>
                </c:pt>
                <c:pt idx="173">
                  <c:v>5.1034493039293629</c:v>
                </c:pt>
                <c:pt idx="174">
                  <c:v>5.1034493039293629</c:v>
                </c:pt>
                <c:pt idx="175">
                  <c:v>5.1034493039293629</c:v>
                </c:pt>
                <c:pt idx="176">
                  <c:v>5.1034493039293629</c:v>
                </c:pt>
                <c:pt idx="177">
                  <c:v>5.1034493039293629</c:v>
                </c:pt>
                <c:pt idx="178">
                  <c:v>5.1034493039293629</c:v>
                </c:pt>
                <c:pt idx="179">
                  <c:v>5.1034493039293629</c:v>
                </c:pt>
                <c:pt idx="180">
                  <c:v>5.1034493039293629</c:v>
                </c:pt>
                <c:pt idx="181">
                  <c:v>5.1034493039293629</c:v>
                </c:pt>
                <c:pt idx="182">
                  <c:v>5.1034493039293629</c:v>
                </c:pt>
                <c:pt idx="183">
                  <c:v>11.349263385668532</c:v>
                </c:pt>
                <c:pt idx="184">
                  <c:v>11.349263385668532</c:v>
                </c:pt>
                <c:pt idx="185">
                  <c:v>11.349263385668532</c:v>
                </c:pt>
                <c:pt idx="186">
                  <c:v>11.349263385668532</c:v>
                </c:pt>
                <c:pt idx="187">
                  <c:v>11.349263385668532</c:v>
                </c:pt>
                <c:pt idx="188">
                  <c:v>11.349263385668532</c:v>
                </c:pt>
                <c:pt idx="189">
                  <c:v>11.349263385668532</c:v>
                </c:pt>
                <c:pt idx="190">
                  <c:v>8.7091823091600098</c:v>
                </c:pt>
                <c:pt idx="191">
                  <c:v>8.7091823091600098</c:v>
                </c:pt>
                <c:pt idx="192">
                  <c:v>8.7091823091600098</c:v>
                </c:pt>
                <c:pt idx="193">
                  <c:v>8.7091823091600098</c:v>
                </c:pt>
                <c:pt idx="194">
                  <c:v>8.7091823091600098</c:v>
                </c:pt>
                <c:pt idx="195">
                  <c:v>8.7091823091600098</c:v>
                </c:pt>
                <c:pt idx="196">
                  <c:v>8.7091823091600098</c:v>
                </c:pt>
                <c:pt idx="197">
                  <c:v>8.7091823091600098</c:v>
                </c:pt>
                <c:pt idx="198">
                  <c:v>8.7091823091600098</c:v>
                </c:pt>
                <c:pt idx="199">
                  <c:v>8.7091823091600098</c:v>
                </c:pt>
                <c:pt idx="200">
                  <c:v>8.7091823091600098</c:v>
                </c:pt>
                <c:pt idx="201">
                  <c:v>8.5612812840240107</c:v>
                </c:pt>
                <c:pt idx="202">
                  <c:v>8.5612812840240107</c:v>
                </c:pt>
                <c:pt idx="203">
                  <c:v>8.5612812840240107</c:v>
                </c:pt>
                <c:pt idx="204">
                  <c:v>8.5612812840240107</c:v>
                </c:pt>
                <c:pt idx="205">
                  <c:v>3.7717334663279951</c:v>
                </c:pt>
                <c:pt idx="206">
                  <c:v>3.7717334663279951</c:v>
                </c:pt>
                <c:pt idx="207">
                  <c:v>3.7717334663279951</c:v>
                </c:pt>
                <c:pt idx="208">
                  <c:v>3.7717334663279951</c:v>
                </c:pt>
                <c:pt idx="209">
                  <c:v>3.7717334663279951</c:v>
                </c:pt>
                <c:pt idx="210">
                  <c:v>3.7717334663279951</c:v>
                </c:pt>
                <c:pt idx="211">
                  <c:v>3.7717334663279951</c:v>
                </c:pt>
                <c:pt idx="212">
                  <c:v>3.7717334663279951</c:v>
                </c:pt>
                <c:pt idx="213">
                  <c:v>3.7717334663279951</c:v>
                </c:pt>
                <c:pt idx="214">
                  <c:v>3.7717334663279951</c:v>
                </c:pt>
                <c:pt idx="215">
                  <c:v>4.0384867799399933</c:v>
                </c:pt>
                <c:pt idx="216">
                  <c:v>4.0384867799399933</c:v>
                </c:pt>
                <c:pt idx="217">
                  <c:v>4.0384867799399933</c:v>
                </c:pt>
                <c:pt idx="218">
                  <c:v>4.0384867799399933</c:v>
                </c:pt>
                <c:pt idx="219">
                  <c:v>4.0384867799399933</c:v>
                </c:pt>
                <c:pt idx="220">
                  <c:v>4.0384867799399933</c:v>
                </c:pt>
                <c:pt idx="221">
                  <c:v>4.0384867799399933</c:v>
                </c:pt>
                <c:pt idx="222">
                  <c:v>4.0384867799399933</c:v>
                </c:pt>
                <c:pt idx="223">
                  <c:v>5.1881422698999993</c:v>
                </c:pt>
                <c:pt idx="224">
                  <c:v>5.1881422698999993</c:v>
                </c:pt>
                <c:pt idx="225">
                  <c:v>5.1881422698999993</c:v>
                </c:pt>
                <c:pt idx="226">
                  <c:v>5.1881422698999993</c:v>
                </c:pt>
                <c:pt idx="227">
                  <c:v>5.1881422698999993</c:v>
                </c:pt>
                <c:pt idx="228">
                  <c:v>5.1881422698999993</c:v>
                </c:pt>
                <c:pt idx="229">
                  <c:v>5.1881422698999993</c:v>
                </c:pt>
                <c:pt idx="230">
                  <c:v>5.1881422698999993</c:v>
                </c:pt>
                <c:pt idx="231">
                  <c:v>5.1881422698999993</c:v>
                </c:pt>
                <c:pt idx="232">
                  <c:v>5.1881422698999993</c:v>
                </c:pt>
                <c:pt idx="233">
                  <c:v>5.1881422698999993</c:v>
                </c:pt>
                <c:pt idx="234">
                  <c:v>5.1881422698999993</c:v>
                </c:pt>
                <c:pt idx="235">
                  <c:v>5.2281702555919995</c:v>
                </c:pt>
                <c:pt idx="236">
                  <c:v>5.2281702555919995</c:v>
                </c:pt>
                <c:pt idx="237">
                  <c:v>5.2281702555919995</c:v>
                </c:pt>
                <c:pt idx="238">
                  <c:v>5.2281702555919995</c:v>
                </c:pt>
                <c:pt idx="239">
                  <c:v>5.2281702555919995</c:v>
                </c:pt>
                <c:pt idx="240">
                  <c:v>5.2281702555919995</c:v>
                </c:pt>
                <c:pt idx="241">
                  <c:v>5.2281702555919995</c:v>
                </c:pt>
                <c:pt idx="242">
                  <c:v>5.2281702555919995</c:v>
                </c:pt>
                <c:pt idx="243">
                  <c:v>5.2281702555919995</c:v>
                </c:pt>
                <c:pt idx="244">
                  <c:v>5.2281702555919995</c:v>
                </c:pt>
                <c:pt idx="245">
                  <c:v>5.2281702555919995</c:v>
                </c:pt>
                <c:pt idx="246">
                  <c:v>5.2281702555919995</c:v>
                </c:pt>
                <c:pt idx="247">
                  <c:v>5.2281702555919995</c:v>
                </c:pt>
                <c:pt idx="248">
                  <c:v>5.2281702555919995</c:v>
                </c:pt>
                <c:pt idx="249">
                  <c:v>5.2281702555919995</c:v>
                </c:pt>
                <c:pt idx="250">
                  <c:v>7.7710099286719982</c:v>
                </c:pt>
                <c:pt idx="251">
                  <c:v>7.7710099286719982</c:v>
                </c:pt>
                <c:pt idx="252">
                  <c:v>7.7710099286719982</c:v>
                </c:pt>
                <c:pt idx="253">
                  <c:v>7.7710099286719982</c:v>
                </c:pt>
                <c:pt idx="254">
                  <c:v>7.7710099286719982</c:v>
                </c:pt>
                <c:pt idx="255">
                  <c:v>7.7710099286719982</c:v>
                </c:pt>
                <c:pt idx="256">
                  <c:v>7.7710099286719982</c:v>
                </c:pt>
                <c:pt idx="257">
                  <c:v>7.7710099286719982</c:v>
                </c:pt>
                <c:pt idx="258">
                  <c:v>7.7710099286719982</c:v>
                </c:pt>
                <c:pt idx="259">
                  <c:v>7.7710099286719982</c:v>
                </c:pt>
                <c:pt idx="260">
                  <c:v>7.7710099286719982</c:v>
                </c:pt>
                <c:pt idx="261">
                  <c:v>7.6856324497599999</c:v>
                </c:pt>
                <c:pt idx="262">
                  <c:v>7.6856324497599999</c:v>
                </c:pt>
                <c:pt idx="263">
                  <c:v>7.6856324497599999</c:v>
                </c:pt>
                <c:pt idx="264">
                  <c:v>7.6856324497599999</c:v>
                </c:pt>
                <c:pt idx="265">
                  <c:v>7.6856324497599999</c:v>
                </c:pt>
                <c:pt idx="266">
                  <c:v>7.6856324497599999</c:v>
                </c:pt>
                <c:pt idx="267">
                  <c:v>7.6856324497599999</c:v>
                </c:pt>
                <c:pt idx="268">
                  <c:v>7.6856324497599999</c:v>
                </c:pt>
                <c:pt idx="269">
                  <c:v>1.7650548598440088</c:v>
                </c:pt>
                <c:pt idx="270">
                  <c:v>1.7650548598440088</c:v>
                </c:pt>
                <c:pt idx="271">
                  <c:v>1.7650548598440088</c:v>
                </c:pt>
                <c:pt idx="272">
                  <c:v>1.7650548598440088</c:v>
                </c:pt>
                <c:pt idx="273">
                  <c:v>1.7650548598440088</c:v>
                </c:pt>
                <c:pt idx="274">
                  <c:v>1.7650548598440088</c:v>
                </c:pt>
                <c:pt idx="275">
                  <c:v>1.7650548598440088</c:v>
                </c:pt>
                <c:pt idx="276">
                  <c:v>1.7650548598440088</c:v>
                </c:pt>
                <c:pt idx="277">
                  <c:v>1.7650548598440088</c:v>
                </c:pt>
                <c:pt idx="278">
                  <c:v>1.3937994454439924</c:v>
                </c:pt>
                <c:pt idx="279">
                  <c:v>1.3937994454439924</c:v>
                </c:pt>
                <c:pt idx="280">
                  <c:v>1.3937994454439924</c:v>
                </c:pt>
                <c:pt idx="281">
                  <c:v>1.3937994454439924</c:v>
                </c:pt>
                <c:pt idx="282">
                  <c:v>1.3937994454439924</c:v>
                </c:pt>
                <c:pt idx="283">
                  <c:v>1.3937994454439924</c:v>
                </c:pt>
                <c:pt idx="284">
                  <c:v>1.3937994454439924</c:v>
                </c:pt>
                <c:pt idx="285">
                  <c:v>1.3937994454439924</c:v>
                </c:pt>
                <c:pt idx="286">
                  <c:v>1.3937994454439924</c:v>
                </c:pt>
                <c:pt idx="287">
                  <c:v>1.3937994454439924</c:v>
                </c:pt>
                <c:pt idx="288">
                  <c:v>10.789964488896004</c:v>
                </c:pt>
                <c:pt idx="289">
                  <c:v>10.789964488896004</c:v>
                </c:pt>
                <c:pt idx="290">
                  <c:v>10.789964488896004</c:v>
                </c:pt>
                <c:pt idx="291">
                  <c:v>10.789964488896004</c:v>
                </c:pt>
                <c:pt idx="292">
                  <c:v>10.789964488896004</c:v>
                </c:pt>
                <c:pt idx="293">
                  <c:v>10.789964488896004</c:v>
                </c:pt>
                <c:pt idx="294">
                  <c:v>11.350777550060005</c:v>
                </c:pt>
                <c:pt idx="295">
                  <c:v>11.350777550060005</c:v>
                </c:pt>
                <c:pt idx="296">
                  <c:v>11.350777550060005</c:v>
                </c:pt>
                <c:pt idx="297">
                  <c:v>11.350777550060005</c:v>
                </c:pt>
                <c:pt idx="298">
                  <c:v>11.350777550060005</c:v>
                </c:pt>
                <c:pt idx="299">
                  <c:v>11.350777550060005</c:v>
                </c:pt>
                <c:pt idx="300">
                  <c:v>11.350777550060005</c:v>
                </c:pt>
                <c:pt idx="301">
                  <c:v>5.4642342621599997</c:v>
                </c:pt>
                <c:pt idx="302">
                  <c:v>5.4642342621599997</c:v>
                </c:pt>
                <c:pt idx="303">
                  <c:v>5.4642342621599997</c:v>
                </c:pt>
                <c:pt idx="304">
                  <c:v>5.4642342621599997</c:v>
                </c:pt>
                <c:pt idx="305">
                  <c:v>5.4642342621599997</c:v>
                </c:pt>
                <c:pt idx="306">
                  <c:v>5.4642342621599997</c:v>
                </c:pt>
                <c:pt idx="307">
                  <c:v>5.4642342621599997</c:v>
                </c:pt>
                <c:pt idx="308">
                  <c:v>5.4642342621599997</c:v>
                </c:pt>
                <c:pt idx="309">
                  <c:v>5.4642342621599997</c:v>
                </c:pt>
                <c:pt idx="310">
                  <c:v>5.4642342621599997</c:v>
                </c:pt>
                <c:pt idx="311">
                  <c:v>5.5386077071360003</c:v>
                </c:pt>
                <c:pt idx="312">
                  <c:v>5.5386077071360003</c:v>
                </c:pt>
                <c:pt idx="313">
                  <c:v>5.5386077071360003</c:v>
                </c:pt>
                <c:pt idx="314">
                  <c:v>5.5386077071360003</c:v>
                </c:pt>
                <c:pt idx="315">
                  <c:v>5.5386077071360003</c:v>
                </c:pt>
                <c:pt idx="316">
                  <c:v>5.5386077071360003</c:v>
                </c:pt>
                <c:pt idx="317">
                  <c:v>5.5386077071360003</c:v>
                </c:pt>
                <c:pt idx="318">
                  <c:v>5.5386077071360003</c:v>
                </c:pt>
                <c:pt idx="319">
                  <c:v>5.5386077071360003</c:v>
                </c:pt>
                <c:pt idx="320">
                  <c:v>5.5386077071360003</c:v>
                </c:pt>
                <c:pt idx="321">
                  <c:v>7.5893582397799992</c:v>
                </c:pt>
                <c:pt idx="322">
                  <c:v>7.5893582397799992</c:v>
                </c:pt>
                <c:pt idx="323">
                  <c:v>7.5893582397799992</c:v>
                </c:pt>
                <c:pt idx="324">
                  <c:v>7.5893582397799992</c:v>
                </c:pt>
                <c:pt idx="325">
                  <c:v>7.5893582397799992</c:v>
                </c:pt>
                <c:pt idx="326">
                  <c:v>7.5893582397799992</c:v>
                </c:pt>
                <c:pt idx="327">
                  <c:v>7.5893582397799992</c:v>
                </c:pt>
                <c:pt idx="328">
                  <c:v>7.5893582397799992</c:v>
                </c:pt>
                <c:pt idx="329">
                  <c:v>7.5893582397799992</c:v>
                </c:pt>
                <c:pt idx="330">
                  <c:v>7.5893582397799992</c:v>
                </c:pt>
                <c:pt idx="331">
                  <c:v>7.8932703449600004</c:v>
                </c:pt>
                <c:pt idx="332">
                  <c:v>7.8932703449600004</c:v>
                </c:pt>
                <c:pt idx="333">
                  <c:v>7.8932703449600004</c:v>
                </c:pt>
                <c:pt idx="334">
                  <c:v>7.8932703449600004</c:v>
                </c:pt>
                <c:pt idx="335">
                  <c:v>7.8932703449600004</c:v>
                </c:pt>
                <c:pt idx="336">
                  <c:v>7.8932703449600004</c:v>
                </c:pt>
                <c:pt idx="337">
                  <c:v>7.8932703449600004</c:v>
                </c:pt>
                <c:pt idx="338">
                  <c:v>7.8932703449600004</c:v>
                </c:pt>
              </c:numCache>
            </c:numRef>
          </c:xVal>
          <c:yVal>
            <c:numRef>
              <c:f>'SICA_adjusted (3)'!$O$2:$O$343</c:f>
              <c:numCache>
                <c:formatCode>General</c:formatCode>
                <c:ptCount val="342"/>
                <c:pt idx="190">
                  <c:v>0.25837825837825845</c:v>
                </c:pt>
                <c:pt idx="191">
                  <c:v>0.36250536250536258</c:v>
                </c:pt>
                <c:pt idx="192">
                  <c:v>0.22014622014622015</c:v>
                </c:pt>
                <c:pt idx="193">
                  <c:v>0.1317931317931319</c:v>
                </c:pt>
                <c:pt idx="194">
                  <c:v>0.16340416340416344</c:v>
                </c:pt>
                <c:pt idx="195">
                  <c:v>0.10337710337710337</c:v>
                </c:pt>
                <c:pt idx="196">
                  <c:v>0.22258222258222263</c:v>
                </c:pt>
                <c:pt idx="197">
                  <c:v>0.31978531978531982</c:v>
                </c:pt>
                <c:pt idx="198">
                  <c:v>0.20973620973620982</c:v>
                </c:pt>
                <c:pt idx="199">
                  <c:v>0.30717630717630728</c:v>
                </c:pt>
                <c:pt idx="200">
                  <c:v>0.27905127905127919</c:v>
                </c:pt>
                <c:pt idx="201">
                  <c:v>0.30697530697530706</c:v>
                </c:pt>
                <c:pt idx="202">
                  <c:v>0.13455913455913457</c:v>
                </c:pt>
                <c:pt idx="203">
                  <c:v>7.4910074910074981E-2</c:v>
                </c:pt>
                <c:pt idx="204">
                  <c:v>0.16990816990816995</c:v>
                </c:pt>
                <c:pt idx="205">
                  <c:v>0.26257226257226257</c:v>
                </c:pt>
                <c:pt idx="206">
                  <c:v>0.17667617667617683</c:v>
                </c:pt>
                <c:pt idx="207">
                  <c:v>0.33030033030033035</c:v>
                </c:pt>
                <c:pt idx="208">
                  <c:v>0.12861312861312871</c:v>
                </c:pt>
                <c:pt idx="209">
                  <c:v>0.11312111312111327</c:v>
                </c:pt>
                <c:pt idx="210">
                  <c:v>0.10810510810510818</c:v>
                </c:pt>
                <c:pt idx="211">
                  <c:v>0.17821217821217836</c:v>
                </c:pt>
                <c:pt idx="212">
                  <c:v>0.23441423441423451</c:v>
                </c:pt>
                <c:pt idx="213">
                  <c:v>0.22345222345222354</c:v>
                </c:pt>
                <c:pt idx="214">
                  <c:v>0.32388632388632399</c:v>
                </c:pt>
                <c:pt idx="215">
                  <c:v>0.14104214104214105</c:v>
                </c:pt>
                <c:pt idx="216">
                  <c:v>0.11504111504111514</c:v>
                </c:pt>
                <c:pt idx="217">
                  <c:v>0.20247320247320258</c:v>
                </c:pt>
                <c:pt idx="218">
                  <c:v>0.18697818697818702</c:v>
                </c:pt>
                <c:pt idx="219">
                  <c:v>0.13763113763113766</c:v>
                </c:pt>
                <c:pt idx="220">
                  <c:v>7.3737073737073749E-2</c:v>
                </c:pt>
                <c:pt idx="221">
                  <c:v>3.7203037203037234E-2</c:v>
                </c:pt>
                <c:pt idx="222">
                  <c:v>0.20415020415020416</c:v>
                </c:pt>
                <c:pt idx="223">
                  <c:v>0.19727719727719731</c:v>
                </c:pt>
                <c:pt idx="224">
                  <c:v>2.0073020073020163E-2</c:v>
                </c:pt>
                <c:pt idx="225">
                  <c:v>0.13100113100113109</c:v>
                </c:pt>
                <c:pt idx="226">
                  <c:v>0.20960420960420975</c:v>
                </c:pt>
                <c:pt idx="227">
                  <c:v>9.6078096078096101E-2</c:v>
                </c:pt>
                <c:pt idx="228">
                  <c:v>0.14110214110214123</c:v>
                </c:pt>
                <c:pt idx="229">
                  <c:v>1.4343014343014359E-2</c:v>
                </c:pt>
                <c:pt idx="230">
                  <c:v>0.13047913047913062</c:v>
                </c:pt>
                <c:pt idx="231">
                  <c:v>6.0534060534060692E-2</c:v>
                </c:pt>
                <c:pt idx="232">
                  <c:v>4.8807048807048822E-2</c:v>
                </c:pt>
                <c:pt idx="233">
                  <c:v>0.1012471012471013</c:v>
                </c:pt>
                <c:pt idx="234">
                  <c:v>0.10315210315210319</c:v>
                </c:pt>
                <c:pt idx="235">
                  <c:v>0.17132117132117139</c:v>
                </c:pt>
                <c:pt idx="236">
                  <c:v>0.15905415905415912</c:v>
                </c:pt>
                <c:pt idx="237">
                  <c:v>5.6358056358056359E-2</c:v>
                </c:pt>
                <c:pt idx="238">
                  <c:v>0.19703119703119709</c:v>
                </c:pt>
                <c:pt idx="239">
                  <c:v>0.15677415677415688</c:v>
                </c:pt>
                <c:pt idx="240">
                  <c:v>0.11691611691611702</c:v>
                </c:pt>
                <c:pt idx="241">
                  <c:v>0.14549114549114553</c:v>
                </c:pt>
                <c:pt idx="242">
                  <c:v>0.16092016092016104</c:v>
                </c:pt>
                <c:pt idx="243">
                  <c:v>0.12416112416112415</c:v>
                </c:pt>
                <c:pt idx="244">
                  <c:v>0.11270111270111272</c:v>
                </c:pt>
                <c:pt idx="245">
                  <c:v>0.14176814176814184</c:v>
                </c:pt>
                <c:pt idx="246">
                  <c:v>0.24393324393324403</c:v>
                </c:pt>
                <c:pt idx="247">
                  <c:v>7.855207855207863E-2</c:v>
                </c:pt>
                <c:pt idx="248">
                  <c:v>0.13231213231213243</c:v>
                </c:pt>
                <c:pt idx="249">
                  <c:v>8.1444081444081509E-2</c:v>
                </c:pt>
                <c:pt idx="250">
                  <c:v>0.19050319050319059</c:v>
                </c:pt>
                <c:pt idx="251">
                  <c:v>0.15411915411915425</c:v>
                </c:pt>
                <c:pt idx="252">
                  <c:v>0.27693627693627693</c:v>
                </c:pt>
                <c:pt idx="253">
                  <c:v>0.14572514572514586</c:v>
                </c:pt>
                <c:pt idx="254">
                  <c:v>0.10215010215010217</c:v>
                </c:pt>
                <c:pt idx="255">
                  <c:v>0.15085515085515092</c:v>
                </c:pt>
                <c:pt idx="256">
                  <c:v>0.1175791175791177</c:v>
                </c:pt>
                <c:pt idx="257">
                  <c:v>0.18104718104718118</c:v>
                </c:pt>
                <c:pt idx="258">
                  <c:v>7.0062070062070186E-2</c:v>
                </c:pt>
                <c:pt idx="259">
                  <c:v>7.4181074181074266E-2</c:v>
                </c:pt>
                <c:pt idx="260">
                  <c:v>0.14717714717714725</c:v>
                </c:pt>
                <c:pt idx="261">
                  <c:v>7.3629073629073644E-2</c:v>
                </c:pt>
                <c:pt idx="262">
                  <c:v>0.13739713739713749</c:v>
                </c:pt>
                <c:pt idx="263">
                  <c:v>8.94750894750896E-2</c:v>
                </c:pt>
                <c:pt idx="264">
                  <c:v>0.12066312066312067</c:v>
                </c:pt>
                <c:pt idx="265">
                  <c:v>0.2465672465672466</c:v>
                </c:pt>
                <c:pt idx="266">
                  <c:v>0.15322815322815328</c:v>
                </c:pt>
                <c:pt idx="267">
                  <c:v>0.26970926970926973</c:v>
                </c:pt>
                <c:pt idx="268">
                  <c:v>0.15381915381915387</c:v>
                </c:pt>
                <c:pt idx="269">
                  <c:v>0.25558525558525569</c:v>
                </c:pt>
                <c:pt idx="270">
                  <c:v>0.23082323082323089</c:v>
                </c:pt>
                <c:pt idx="271">
                  <c:v>0.20715320715320726</c:v>
                </c:pt>
                <c:pt idx="272">
                  <c:v>0.22769122769122782</c:v>
                </c:pt>
                <c:pt idx="273">
                  <c:v>0.22735822735822733</c:v>
                </c:pt>
                <c:pt idx="274">
                  <c:v>0.22098022098022105</c:v>
                </c:pt>
                <c:pt idx="275">
                  <c:v>0.23842223842223853</c:v>
                </c:pt>
                <c:pt idx="276">
                  <c:v>0.22718122718122727</c:v>
                </c:pt>
                <c:pt idx="277">
                  <c:v>0.2756972756972757</c:v>
                </c:pt>
                <c:pt idx="278">
                  <c:v>0.11672411672411676</c:v>
                </c:pt>
                <c:pt idx="279">
                  <c:v>0.11248811248811259</c:v>
                </c:pt>
                <c:pt idx="280">
                  <c:v>0.10500610500610502</c:v>
                </c:pt>
                <c:pt idx="281">
                  <c:v>6.7614067614067644E-2</c:v>
                </c:pt>
                <c:pt idx="282">
                  <c:v>9.0486090486090576E-2</c:v>
                </c:pt>
                <c:pt idx="283">
                  <c:v>9.0402090402090435E-2</c:v>
                </c:pt>
                <c:pt idx="284">
                  <c:v>0.14240414240414245</c:v>
                </c:pt>
                <c:pt idx="285">
                  <c:v>0.10371610371610372</c:v>
                </c:pt>
                <c:pt idx="286">
                  <c:v>8.8428088428088414E-2</c:v>
                </c:pt>
                <c:pt idx="287">
                  <c:v>9.7842097842097936E-2</c:v>
                </c:pt>
                <c:pt idx="288">
                  <c:v>0.20388920388920395</c:v>
                </c:pt>
                <c:pt idx="289">
                  <c:v>0.11933711933711949</c:v>
                </c:pt>
                <c:pt idx="290">
                  <c:v>0.14784014784014793</c:v>
                </c:pt>
                <c:pt idx="291">
                  <c:v>9.933009933009937E-2</c:v>
                </c:pt>
                <c:pt idx="292">
                  <c:v>6.1533061533061602E-2</c:v>
                </c:pt>
                <c:pt idx="293">
                  <c:v>5.2374052374052453E-2</c:v>
                </c:pt>
                <c:pt idx="294">
                  <c:v>0.11134211134211143</c:v>
                </c:pt>
                <c:pt idx="295">
                  <c:v>0.10250410250410251</c:v>
                </c:pt>
                <c:pt idx="296">
                  <c:v>0.18879918879918894</c:v>
                </c:pt>
                <c:pt idx="297">
                  <c:v>0.22381822381822394</c:v>
                </c:pt>
                <c:pt idx="298">
                  <c:v>0.18609018609018615</c:v>
                </c:pt>
                <c:pt idx="299">
                  <c:v>0.21418221418221417</c:v>
                </c:pt>
                <c:pt idx="300">
                  <c:v>7.2501072501072586E-2</c:v>
                </c:pt>
                <c:pt idx="301">
                  <c:v>2.9700029700043614E-4</c:v>
                </c:pt>
                <c:pt idx="302">
                  <c:v>4.6170046170047486E-3</c:v>
                </c:pt>
                <c:pt idx="303">
                  <c:v>0.15562515562515561</c:v>
                </c:pt>
                <c:pt idx="304">
                  <c:v>0.19969219969219973</c:v>
                </c:pt>
                <c:pt idx="305">
                  <c:v>0.12656412656412669</c:v>
                </c:pt>
                <c:pt idx="306">
                  <c:v>8.4090084090084172E-2</c:v>
                </c:pt>
                <c:pt idx="307">
                  <c:v>9.4743094743094794E-2</c:v>
                </c:pt>
                <c:pt idx="308">
                  <c:v>9.5298095298095353E-2</c:v>
                </c:pt>
                <c:pt idx="309">
                  <c:v>0</c:v>
                </c:pt>
                <c:pt idx="310">
                  <c:v>0.12028212028212043</c:v>
                </c:pt>
                <c:pt idx="311">
                  <c:v>0.21714321714321722</c:v>
                </c:pt>
                <c:pt idx="312">
                  <c:v>0.15693315693315701</c:v>
                </c:pt>
                <c:pt idx="313">
                  <c:v>0.22968922968922981</c:v>
                </c:pt>
                <c:pt idx="314">
                  <c:v>0.17288717288717292</c:v>
                </c:pt>
                <c:pt idx="315">
                  <c:v>0.21685821685821685</c:v>
                </c:pt>
                <c:pt idx="316">
                  <c:v>0.18166818166818177</c:v>
                </c:pt>
                <c:pt idx="317">
                  <c:v>0.18460218460218472</c:v>
                </c:pt>
                <c:pt idx="318">
                  <c:v>0.16716016716016724</c:v>
                </c:pt>
                <c:pt idx="319">
                  <c:v>0.18667518667518673</c:v>
                </c:pt>
                <c:pt idx="320">
                  <c:v>0.15051915051915052</c:v>
                </c:pt>
                <c:pt idx="321">
                  <c:v>0.1667881667881668</c:v>
                </c:pt>
                <c:pt idx="322">
                  <c:v>0.18057918057918068</c:v>
                </c:pt>
                <c:pt idx="323">
                  <c:v>0.16576516576516589</c:v>
                </c:pt>
                <c:pt idx="324">
                  <c:v>0.17192117192117196</c:v>
                </c:pt>
                <c:pt idx="325">
                  <c:v>0.14863514863514868</c:v>
                </c:pt>
                <c:pt idx="326">
                  <c:v>0.14769014769014774</c:v>
                </c:pt>
                <c:pt idx="327">
                  <c:v>0.1364881364881366</c:v>
                </c:pt>
                <c:pt idx="328">
                  <c:v>0.19389619389619389</c:v>
                </c:pt>
                <c:pt idx="329">
                  <c:v>0.17616017616017624</c:v>
                </c:pt>
                <c:pt idx="330">
                  <c:v>0.17464217464217463</c:v>
                </c:pt>
                <c:pt idx="331">
                  <c:v>0.18889218889218887</c:v>
                </c:pt>
                <c:pt idx="332">
                  <c:v>0.1958071958071958</c:v>
                </c:pt>
                <c:pt idx="333">
                  <c:v>4.8474048474048514E-2</c:v>
                </c:pt>
                <c:pt idx="334">
                  <c:v>0.18214518214518222</c:v>
                </c:pt>
                <c:pt idx="335">
                  <c:v>0.19021519021519029</c:v>
                </c:pt>
                <c:pt idx="336">
                  <c:v>0.26022326022326031</c:v>
                </c:pt>
                <c:pt idx="337">
                  <c:v>0.14310614310614325</c:v>
                </c:pt>
                <c:pt idx="338">
                  <c:v>0.22889722889722899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D3-4905-BFBF-F22B2BBD5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3088"/>
        <c:axId val="672332608"/>
      </c:scatterChart>
      <c:valAx>
        <c:axId val="67233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2608"/>
        <c:crosses val="autoZero"/>
        <c:crossBetween val="midCat"/>
      </c:valAx>
      <c:valAx>
        <c:axId val="672332608"/>
        <c:scaling>
          <c:orientation val="minMax"/>
          <c:max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ES</a:t>
                </a:r>
              </a:p>
            </c:rich>
          </c:tx>
          <c:layout>
            <c:manualLayout>
              <c:xMode val="edge"/>
              <c:yMode val="edge"/>
              <c:x val="0.28419182948490229"/>
              <c:y val="3.24105803090319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349250</xdr:colOff>
      <xdr:row>5</xdr:row>
      <xdr:rowOff>144462</xdr:rowOff>
    </xdr:from>
    <xdr:to>
      <xdr:col>26</xdr:col>
      <xdr:colOff>228600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089F9-4173-12BD-3F54-334A0B4C9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349250</xdr:colOff>
      <xdr:row>5</xdr:row>
      <xdr:rowOff>144462</xdr:rowOff>
    </xdr:from>
    <xdr:to>
      <xdr:col>26</xdr:col>
      <xdr:colOff>228600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8C7E7-B1AF-471D-8DF3-7ADC71F73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6</xdr:row>
      <xdr:rowOff>11112</xdr:rowOff>
    </xdr:from>
    <xdr:to>
      <xdr:col>25</xdr:col>
      <xdr:colOff>495300</xdr:colOff>
      <xdr:row>23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7BC25-75D3-4430-AD77-A07E108B0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122237</xdr:colOff>
      <xdr:row>1</xdr:row>
      <xdr:rowOff>96837</xdr:rowOff>
    </xdr:from>
    <xdr:to>
      <xdr:col>15</xdr:col>
      <xdr:colOff>427037</xdr:colOff>
      <xdr:row>16</xdr:row>
      <xdr:rowOff>115887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3B4275-F05D-E72D-0F86-E9808B0E7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131762</xdr:colOff>
      <xdr:row>16</xdr:row>
      <xdr:rowOff>173037</xdr:rowOff>
    </xdr:from>
    <xdr:to>
      <xdr:col>15</xdr:col>
      <xdr:colOff>436562</xdr:colOff>
      <xdr:row>32</xdr:row>
      <xdr:rowOff>11112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D2F082-395B-AEB4-7B95-6B47AA44A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526256</xdr:colOff>
      <xdr:row>1</xdr:row>
      <xdr:rowOff>92075</xdr:rowOff>
    </xdr:from>
    <xdr:to>
      <xdr:col>23</xdr:col>
      <xdr:colOff>230187</xdr:colOff>
      <xdr:row>16</xdr:row>
      <xdr:rowOff>163513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0F7571-BBFA-660F-3888-DF3873101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258762</xdr:colOff>
      <xdr:row>2</xdr:row>
      <xdr:rowOff>82550</xdr:rowOff>
    </xdr:from>
    <xdr:to>
      <xdr:col>25</xdr:col>
      <xdr:colOff>152400</xdr:colOff>
      <xdr:row>21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CEDD74-5CA7-9ADA-5771-F95152DDD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6</xdr:row>
      <xdr:rowOff>11112</xdr:rowOff>
    </xdr:from>
    <xdr:to>
      <xdr:col>25</xdr:col>
      <xdr:colOff>495300</xdr:colOff>
      <xdr:row>23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33F33-73E2-4B05-A24A-B48475873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C017-3E1D-49C0-AFA0-C989450D82D7}">
  <dimension ref="A1:U343"/>
  <sheetViews>
    <sheetView tabSelected="1" zoomScale="125" workbookViewId="0">
      <selection activeCell="E44" sqref="E44"/>
    </sheetView>
  </sheetViews>
  <sheetFormatPr baseColWidth="10" defaultColWidth="8.83203125" defaultRowHeight="15" x14ac:dyDescent="0.2"/>
  <sheetData>
    <row r="1" spans="1:21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12</v>
      </c>
      <c r="I1" s="9" t="s">
        <v>19</v>
      </c>
      <c r="J1" s="9" t="s">
        <v>20</v>
      </c>
      <c r="K1" s="9" t="s">
        <v>21</v>
      </c>
      <c r="L1" s="9" t="s">
        <v>25</v>
      </c>
      <c r="N1" s="9" t="s">
        <v>15</v>
      </c>
      <c r="O1" s="9" t="s">
        <v>14</v>
      </c>
      <c r="P1" s="9" t="s">
        <v>17</v>
      </c>
      <c r="Q1" s="9" t="s">
        <v>18</v>
      </c>
      <c r="T1" s="9" t="s">
        <v>22</v>
      </c>
    </row>
    <row r="2" spans="1:21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G2">
        <f>($F$343-F2)/$F$343</f>
        <v>0.12800712800712813</v>
      </c>
      <c r="I2">
        <f>(E2-0.17)*$U$2</f>
        <v>1.999999999999999E-2</v>
      </c>
      <c r="J2">
        <f>(8-D2)*$U$4</f>
        <v>1.7909212977110123E-2</v>
      </c>
      <c r="K2">
        <f>(C2-20)*$U$3</f>
        <v>-0.30000000000000071</v>
      </c>
      <c r="L2">
        <f>SUM(I2:K2)</f>
        <v>-0.26209078702289057</v>
      </c>
      <c r="N2">
        <f t="shared" ref="N2:N33" si="0">G2</f>
        <v>0.12800712800712813</v>
      </c>
      <c r="T2" t="s">
        <v>23</v>
      </c>
      <c r="U2">
        <v>1</v>
      </c>
    </row>
    <row r="3" spans="1:21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G3">
        <f t="shared" ref="G3:G66" si="1">($F$343-F3)/$F$343</f>
        <v>7.9749079749079826E-2</v>
      </c>
      <c r="I3">
        <f t="shared" ref="I3:I66" si="2">(E3-0.17)*$U$2</f>
        <v>1.999999999999999E-2</v>
      </c>
      <c r="J3">
        <f t="shared" ref="J3:J66" si="3">(8-D3)*$U$4</f>
        <v>1.7909212977110123E-2</v>
      </c>
      <c r="K3">
        <f t="shared" ref="K3:K66" si="4">(C3-20)*$U$3</f>
        <v>-0.30000000000000071</v>
      </c>
      <c r="L3">
        <f t="shared" ref="L3:L66" si="5">SUM(I3:K3)</f>
        <v>-0.26209078702289057</v>
      </c>
      <c r="N3">
        <f t="shared" si="0"/>
        <v>7.9749079749079826E-2</v>
      </c>
      <c r="T3" t="s">
        <v>24</v>
      </c>
      <c r="U3">
        <v>1</v>
      </c>
    </row>
    <row r="4" spans="1:21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G4">
        <f t="shared" si="1"/>
        <v>0.16524016524016535</v>
      </c>
      <c r="I4">
        <f t="shared" si="2"/>
        <v>1.999999999999999E-2</v>
      </c>
      <c r="J4">
        <f t="shared" si="3"/>
        <v>1.7909212977110123E-2</v>
      </c>
      <c r="K4">
        <f t="shared" si="4"/>
        <v>-0.30000000000000071</v>
      </c>
      <c r="L4">
        <f t="shared" si="5"/>
        <v>-0.26209078702289057</v>
      </c>
      <c r="N4">
        <f t="shared" si="0"/>
        <v>0.16524016524016535</v>
      </c>
      <c r="T4" t="s">
        <v>8</v>
      </c>
      <c r="U4">
        <v>1</v>
      </c>
    </row>
    <row r="5" spans="1:21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G5">
        <f t="shared" si="1"/>
        <v>0.19913719913719918</v>
      </c>
      <c r="I5">
        <f t="shared" si="2"/>
        <v>1.999999999999999E-2</v>
      </c>
      <c r="J5">
        <f t="shared" si="3"/>
        <v>1.7909212977110123E-2</v>
      </c>
      <c r="K5">
        <f t="shared" si="4"/>
        <v>-0.30000000000000071</v>
      </c>
      <c r="L5">
        <f t="shared" si="5"/>
        <v>-0.26209078702289057</v>
      </c>
      <c r="N5">
        <f t="shared" si="0"/>
        <v>0.19913719913719918</v>
      </c>
      <c r="U5" t="s">
        <v>26</v>
      </c>
    </row>
    <row r="6" spans="1:21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G6">
        <f t="shared" si="1"/>
        <v>2.1819021819021889E-2</v>
      </c>
      <c r="I6">
        <f t="shared" si="2"/>
        <v>1.999999999999999E-2</v>
      </c>
      <c r="J6">
        <f t="shared" si="3"/>
        <v>1.7909212977110123E-2</v>
      </c>
      <c r="K6">
        <f t="shared" si="4"/>
        <v>-0.30000000000000071</v>
      </c>
      <c r="L6">
        <f t="shared" si="5"/>
        <v>-0.26209078702289057</v>
      </c>
      <c r="N6">
        <f t="shared" si="0"/>
        <v>2.1819021819021889E-2</v>
      </c>
    </row>
    <row r="7" spans="1:21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G7">
        <f t="shared" si="1"/>
        <v>0.17031617031617044</v>
      </c>
      <c r="I7">
        <f t="shared" si="2"/>
        <v>1.999999999999999E-2</v>
      </c>
      <c r="J7">
        <f t="shared" si="3"/>
        <v>1.7909212977110123E-2</v>
      </c>
      <c r="K7">
        <f t="shared" si="4"/>
        <v>-0.30000000000000071</v>
      </c>
      <c r="L7">
        <f t="shared" si="5"/>
        <v>-0.26209078702289057</v>
      </c>
      <c r="N7">
        <f t="shared" si="0"/>
        <v>0.17031617031617044</v>
      </c>
    </row>
    <row r="8" spans="1:21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G8">
        <f t="shared" si="1"/>
        <v>0.11291711291711294</v>
      </c>
      <c r="I8">
        <f t="shared" si="2"/>
        <v>1.999999999999999E-2</v>
      </c>
      <c r="J8">
        <f t="shared" si="3"/>
        <v>1.7909212977110123E-2</v>
      </c>
      <c r="K8">
        <f t="shared" si="4"/>
        <v>-0.30000000000000071</v>
      </c>
      <c r="L8">
        <f t="shared" si="5"/>
        <v>-0.26209078702289057</v>
      </c>
      <c r="N8">
        <f t="shared" si="0"/>
        <v>0.11291711291711294</v>
      </c>
    </row>
    <row r="9" spans="1:21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G9">
        <f t="shared" si="1"/>
        <v>3.7926037926038082E-2</v>
      </c>
      <c r="I9">
        <f t="shared" si="2"/>
        <v>1.999999999999999E-2</v>
      </c>
      <c r="J9">
        <f t="shared" si="3"/>
        <v>1.7909212977110123E-2</v>
      </c>
      <c r="K9">
        <f t="shared" si="4"/>
        <v>-0.30000000000000071</v>
      </c>
      <c r="L9">
        <f t="shared" si="5"/>
        <v>-0.26209078702289057</v>
      </c>
      <c r="N9">
        <f t="shared" si="0"/>
        <v>3.7926037926038082E-2</v>
      </c>
    </row>
    <row r="10" spans="1:21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G10">
        <f t="shared" si="1"/>
        <v>0.15680415680415688</v>
      </c>
      <c r="I10">
        <f t="shared" si="2"/>
        <v>1.999999999999999E-2</v>
      </c>
      <c r="J10">
        <f t="shared" si="3"/>
        <v>1.7909212977110123E-2</v>
      </c>
      <c r="K10">
        <f t="shared" si="4"/>
        <v>-0.30000000000000071</v>
      </c>
      <c r="L10">
        <f t="shared" si="5"/>
        <v>-0.26209078702289057</v>
      </c>
      <c r="N10">
        <f t="shared" si="0"/>
        <v>0.15680415680415688</v>
      </c>
    </row>
    <row r="11" spans="1:21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G11">
        <f t="shared" si="1"/>
        <v>4.959004959005019E-3</v>
      </c>
      <c r="I11">
        <f t="shared" si="2"/>
        <v>1.999999999999999E-2</v>
      </c>
      <c r="J11">
        <f t="shared" si="3"/>
        <v>1.7909212977110123E-2</v>
      </c>
      <c r="K11">
        <f t="shared" si="4"/>
        <v>-0.30000000000000071</v>
      </c>
      <c r="L11">
        <f t="shared" si="5"/>
        <v>-0.26209078702289057</v>
      </c>
      <c r="N11">
        <f t="shared" si="0"/>
        <v>4.959004959005019E-3</v>
      </c>
    </row>
    <row r="12" spans="1:21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G12">
        <f t="shared" si="1"/>
        <v>0.16649416649416662</v>
      </c>
      <c r="I12">
        <f t="shared" si="2"/>
        <v>1.999999999999999E-2</v>
      </c>
      <c r="J12">
        <f t="shared" si="3"/>
        <v>1.7909212977110123E-2</v>
      </c>
      <c r="K12">
        <f t="shared" si="4"/>
        <v>-0.30000000000000071</v>
      </c>
      <c r="L12">
        <f t="shared" si="5"/>
        <v>-0.26209078702289057</v>
      </c>
      <c r="N12">
        <f t="shared" si="0"/>
        <v>0.16649416649416662</v>
      </c>
    </row>
    <row r="13" spans="1:21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G13">
        <f t="shared" si="1"/>
        <v>0.11266211266211275</v>
      </c>
      <c r="I13">
        <f t="shared" si="2"/>
        <v>1.999999999999999E-2</v>
      </c>
      <c r="J13">
        <f t="shared" si="3"/>
        <v>1.7909212977110123E-2</v>
      </c>
      <c r="K13">
        <f t="shared" si="4"/>
        <v>-0.30000000000000071</v>
      </c>
      <c r="L13">
        <f t="shared" si="5"/>
        <v>-0.26209078702289057</v>
      </c>
      <c r="N13">
        <f t="shared" si="0"/>
        <v>0.11266211266211275</v>
      </c>
    </row>
    <row r="14" spans="1:21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G14">
        <f t="shared" si="1"/>
        <v>5.2920052920053043E-2</v>
      </c>
      <c r="I14">
        <f t="shared" si="2"/>
        <v>1.999999999999999E-2</v>
      </c>
      <c r="J14">
        <f t="shared" si="3"/>
        <v>1.7909212977110123E-2</v>
      </c>
      <c r="K14">
        <f t="shared" si="4"/>
        <v>-0.30000000000000071</v>
      </c>
      <c r="L14">
        <f t="shared" si="5"/>
        <v>-0.26209078702289057</v>
      </c>
      <c r="N14">
        <f t="shared" si="0"/>
        <v>5.2920052920053043E-2</v>
      </c>
    </row>
    <row r="15" spans="1:21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G15">
        <f t="shared" si="1"/>
        <v>2.2119022119022259E-2</v>
      </c>
      <c r="I15">
        <f t="shared" si="2"/>
        <v>1.999999999999999E-2</v>
      </c>
      <c r="J15">
        <f t="shared" si="3"/>
        <v>1.7909212977110123E-2</v>
      </c>
      <c r="K15">
        <f t="shared" si="4"/>
        <v>-0.30000000000000071</v>
      </c>
      <c r="L15">
        <f t="shared" si="5"/>
        <v>-0.26209078702289057</v>
      </c>
      <c r="N15">
        <f t="shared" si="0"/>
        <v>2.2119022119022259E-2</v>
      </c>
    </row>
    <row r="16" spans="1:21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G16">
        <f t="shared" si="1"/>
        <v>7.5867075867075986E-2</v>
      </c>
      <c r="I16">
        <f t="shared" si="2"/>
        <v>1.999999999999999E-2</v>
      </c>
      <c r="J16">
        <f t="shared" si="3"/>
        <v>1.7909212977110123E-2</v>
      </c>
      <c r="K16">
        <f t="shared" si="4"/>
        <v>-0.30000000000000071</v>
      </c>
      <c r="L16">
        <f t="shared" si="5"/>
        <v>-0.26209078702289057</v>
      </c>
      <c r="N16">
        <f t="shared" si="0"/>
        <v>7.5867075867075986E-2</v>
      </c>
    </row>
    <row r="17" spans="1:14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G17">
        <f t="shared" si="1"/>
        <v>0.11539511539511547</v>
      </c>
      <c r="I17">
        <f t="shared" si="2"/>
        <v>1.999999999999999E-2</v>
      </c>
      <c r="J17">
        <f t="shared" si="3"/>
        <v>1.7909212977110123E-2</v>
      </c>
      <c r="K17">
        <f t="shared" si="4"/>
        <v>-0.30000000000000071</v>
      </c>
      <c r="L17">
        <f t="shared" si="5"/>
        <v>-0.26209078702289057</v>
      </c>
      <c r="N17">
        <f t="shared" si="0"/>
        <v>0.11539511539511547</v>
      </c>
    </row>
    <row r="18" spans="1:14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G18">
        <f t="shared" si="1"/>
        <v>0.18041718041718044</v>
      </c>
      <c r="I18">
        <f t="shared" si="2"/>
        <v>1.999999999999999E-2</v>
      </c>
      <c r="J18">
        <f t="shared" si="3"/>
        <v>1.7909212977110123E-2</v>
      </c>
      <c r="K18">
        <f t="shared" si="4"/>
        <v>-0.30000000000000071</v>
      </c>
      <c r="L18">
        <f t="shared" si="5"/>
        <v>-0.26209078702289057</v>
      </c>
      <c r="N18">
        <f t="shared" si="0"/>
        <v>0.18041718041718044</v>
      </c>
    </row>
    <row r="19" spans="1:14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G19">
        <f t="shared" si="1"/>
        <v>2.3640023640023794E-2</v>
      </c>
      <c r="I19">
        <f t="shared" si="2"/>
        <v>1.999999999999999E-2</v>
      </c>
      <c r="J19">
        <f t="shared" si="3"/>
        <v>1.7909212977110123E-2</v>
      </c>
      <c r="K19">
        <f t="shared" si="4"/>
        <v>-0.30000000000000071</v>
      </c>
      <c r="L19">
        <f t="shared" si="5"/>
        <v>-0.26209078702289057</v>
      </c>
      <c r="N19">
        <f t="shared" si="0"/>
        <v>2.3640023640023794E-2</v>
      </c>
    </row>
    <row r="20" spans="1:14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G20">
        <f t="shared" si="1"/>
        <v>0.18426918426918426</v>
      </c>
      <c r="I20">
        <f t="shared" si="2"/>
        <v>1.999999999999999E-2</v>
      </c>
      <c r="J20">
        <f t="shared" si="3"/>
        <v>1.7909212977110123E-2</v>
      </c>
      <c r="K20">
        <f t="shared" si="4"/>
        <v>-0.30000000000000071</v>
      </c>
      <c r="L20">
        <f t="shared" si="5"/>
        <v>-0.26209078702289057</v>
      </c>
      <c r="N20">
        <f t="shared" si="0"/>
        <v>0.18426918426918426</v>
      </c>
    </row>
    <row r="21" spans="1:14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G21">
        <f t="shared" si="1"/>
        <v>0.20885720885720893</v>
      </c>
      <c r="I21">
        <f t="shared" si="2"/>
        <v>1.999999999999999E-2</v>
      </c>
      <c r="J21">
        <f t="shared" si="3"/>
        <v>1.7909212977110123E-2</v>
      </c>
      <c r="K21">
        <f t="shared" si="4"/>
        <v>-0.30000000000000071</v>
      </c>
      <c r="L21">
        <f t="shared" si="5"/>
        <v>-0.26209078702289057</v>
      </c>
      <c r="N21">
        <f t="shared" si="0"/>
        <v>0.20885720885720893</v>
      </c>
    </row>
    <row r="22" spans="1:14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G22">
        <f t="shared" si="1"/>
        <v>0.1371691371691372</v>
      </c>
      <c r="I22">
        <f t="shared" si="2"/>
        <v>2.83</v>
      </c>
      <c r="J22">
        <f t="shared" si="3"/>
        <v>1.0108979005529761E-2</v>
      </c>
      <c r="K22">
        <f t="shared" si="4"/>
        <v>-0.30000000000000071</v>
      </c>
      <c r="L22">
        <f t="shared" si="5"/>
        <v>2.5401089790055291</v>
      </c>
      <c r="N22">
        <f t="shared" si="0"/>
        <v>0.1371691371691372</v>
      </c>
    </row>
    <row r="23" spans="1:14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G23">
        <f t="shared" si="1"/>
        <v>0.18929418929418931</v>
      </c>
      <c r="I23">
        <f t="shared" si="2"/>
        <v>2.83</v>
      </c>
      <c r="J23">
        <f t="shared" si="3"/>
        <v>1.0108979005529761E-2</v>
      </c>
      <c r="K23">
        <f t="shared" si="4"/>
        <v>-0.30000000000000071</v>
      </c>
      <c r="L23">
        <f t="shared" si="5"/>
        <v>2.5401089790055291</v>
      </c>
      <c r="N23">
        <f t="shared" si="0"/>
        <v>0.18929418929418931</v>
      </c>
    </row>
    <row r="24" spans="1:14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G24">
        <f t="shared" si="1"/>
        <v>0.13476613476613483</v>
      </c>
      <c r="I24">
        <f t="shared" si="2"/>
        <v>2.83</v>
      </c>
      <c r="J24">
        <f t="shared" si="3"/>
        <v>1.0108979005529761E-2</v>
      </c>
      <c r="K24">
        <f t="shared" si="4"/>
        <v>-0.30000000000000071</v>
      </c>
      <c r="L24">
        <f t="shared" si="5"/>
        <v>2.5401089790055291</v>
      </c>
      <c r="N24">
        <f t="shared" si="0"/>
        <v>0.13476613476613483</v>
      </c>
    </row>
    <row r="25" spans="1:14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G25">
        <f t="shared" si="1"/>
        <v>0.18343218343218343</v>
      </c>
      <c r="I25">
        <f t="shared" si="2"/>
        <v>2.83</v>
      </c>
      <c r="J25">
        <f t="shared" si="3"/>
        <v>1.0108979005529761E-2</v>
      </c>
      <c r="K25">
        <f t="shared" si="4"/>
        <v>-0.30000000000000071</v>
      </c>
      <c r="L25">
        <f t="shared" si="5"/>
        <v>2.5401089790055291</v>
      </c>
      <c r="N25">
        <f t="shared" si="0"/>
        <v>0.18343218343218343</v>
      </c>
    </row>
    <row r="26" spans="1:14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G26">
        <f t="shared" si="1"/>
        <v>0.17034317034317034</v>
      </c>
      <c r="I26">
        <f t="shared" si="2"/>
        <v>2.83</v>
      </c>
      <c r="J26">
        <f t="shared" si="3"/>
        <v>1.0108979005529761E-2</v>
      </c>
      <c r="K26">
        <f t="shared" si="4"/>
        <v>-0.30000000000000071</v>
      </c>
      <c r="L26">
        <f t="shared" si="5"/>
        <v>2.5401089790055291</v>
      </c>
      <c r="N26">
        <f t="shared" si="0"/>
        <v>0.17034317034317034</v>
      </c>
    </row>
    <row r="27" spans="1:14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G27">
        <f t="shared" si="1"/>
        <v>9.0012090012090068E-2</v>
      </c>
      <c r="I27">
        <f t="shared" si="2"/>
        <v>2.83</v>
      </c>
      <c r="J27">
        <f t="shared" si="3"/>
        <v>1.0108979005529761E-2</v>
      </c>
      <c r="K27">
        <f t="shared" si="4"/>
        <v>-0.30000000000000071</v>
      </c>
      <c r="L27">
        <f t="shared" si="5"/>
        <v>2.5401089790055291</v>
      </c>
      <c r="N27">
        <f t="shared" si="0"/>
        <v>9.0012090012090068E-2</v>
      </c>
    </row>
    <row r="28" spans="1:14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G28">
        <f t="shared" si="1"/>
        <v>0.18559218559218568</v>
      </c>
      <c r="I28">
        <f t="shared" si="2"/>
        <v>2.83</v>
      </c>
      <c r="J28">
        <f t="shared" si="3"/>
        <v>1.0108979005529761E-2</v>
      </c>
      <c r="K28">
        <f t="shared" si="4"/>
        <v>-0.30000000000000071</v>
      </c>
      <c r="L28">
        <f t="shared" si="5"/>
        <v>2.5401089790055291</v>
      </c>
      <c r="N28">
        <f t="shared" si="0"/>
        <v>0.18559218559218568</v>
      </c>
    </row>
    <row r="29" spans="1:14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G29">
        <f t="shared" si="1"/>
        <v>0.12043512043512054</v>
      </c>
      <c r="I29">
        <f t="shared" si="2"/>
        <v>2.83</v>
      </c>
      <c r="J29">
        <f t="shared" si="3"/>
        <v>1.0108979005529761E-2</v>
      </c>
      <c r="K29">
        <f t="shared" si="4"/>
        <v>-0.30000000000000071</v>
      </c>
      <c r="L29">
        <f t="shared" si="5"/>
        <v>2.5401089790055291</v>
      </c>
      <c r="N29">
        <f t="shared" si="0"/>
        <v>0.12043512043512054</v>
      </c>
    </row>
    <row r="30" spans="1:14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G30">
        <f t="shared" si="1"/>
        <v>0.16009216009216018</v>
      </c>
      <c r="I30">
        <f t="shared" si="2"/>
        <v>2.83</v>
      </c>
      <c r="J30">
        <f t="shared" si="3"/>
        <v>1.0108979005529761E-2</v>
      </c>
      <c r="K30">
        <f t="shared" si="4"/>
        <v>-0.30000000000000071</v>
      </c>
      <c r="L30">
        <f t="shared" si="5"/>
        <v>2.5401089790055291</v>
      </c>
      <c r="N30">
        <f t="shared" si="0"/>
        <v>0.16009216009216018</v>
      </c>
    </row>
    <row r="31" spans="1:14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G31">
        <f t="shared" si="1"/>
        <v>6.7992067992068125E-2</v>
      </c>
      <c r="I31">
        <f t="shared" si="2"/>
        <v>2.83</v>
      </c>
      <c r="J31">
        <f t="shared" si="3"/>
        <v>1.0108979005529761E-2</v>
      </c>
      <c r="K31">
        <f t="shared" si="4"/>
        <v>-0.30000000000000071</v>
      </c>
      <c r="L31">
        <f t="shared" si="5"/>
        <v>2.5401089790055291</v>
      </c>
      <c r="N31">
        <f t="shared" si="0"/>
        <v>6.7992067992068125E-2</v>
      </c>
    </row>
    <row r="32" spans="1:14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G32">
        <f t="shared" si="1"/>
        <v>0.11629211629211632</v>
      </c>
      <c r="I32">
        <f t="shared" si="2"/>
        <v>2.83</v>
      </c>
      <c r="J32">
        <f t="shared" si="3"/>
        <v>1.0108979005529761E-2</v>
      </c>
      <c r="K32">
        <f t="shared" si="4"/>
        <v>-0.30000000000000071</v>
      </c>
      <c r="L32">
        <f t="shared" si="5"/>
        <v>2.5401089790055291</v>
      </c>
      <c r="N32">
        <f t="shared" si="0"/>
        <v>0.11629211629211632</v>
      </c>
    </row>
    <row r="33" spans="1:14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G33">
        <f t="shared" si="1"/>
        <v>6.3222063222063252E-2</v>
      </c>
      <c r="I33">
        <f t="shared" si="2"/>
        <v>2.83</v>
      </c>
      <c r="J33">
        <f t="shared" si="3"/>
        <v>1.0108979005529761E-2</v>
      </c>
      <c r="K33">
        <f t="shared" si="4"/>
        <v>-0.30000000000000071</v>
      </c>
      <c r="L33">
        <f t="shared" si="5"/>
        <v>2.5401089790055291</v>
      </c>
      <c r="N33">
        <f t="shared" si="0"/>
        <v>6.3222063222063252E-2</v>
      </c>
    </row>
    <row r="34" spans="1:14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G34">
        <f t="shared" si="1"/>
        <v>6.464406464406465E-2</v>
      </c>
      <c r="I34">
        <f t="shared" si="2"/>
        <v>2.83</v>
      </c>
      <c r="J34">
        <f t="shared" si="3"/>
        <v>1.0108979005529761E-2</v>
      </c>
      <c r="K34">
        <f t="shared" si="4"/>
        <v>-0.30000000000000071</v>
      </c>
      <c r="L34">
        <f t="shared" si="5"/>
        <v>2.5401089790055291</v>
      </c>
      <c r="N34">
        <f t="shared" ref="N34:N65" si="6">G34</f>
        <v>6.464406464406465E-2</v>
      </c>
    </row>
    <row r="35" spans="1:14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G35">
        <f t="shared" si="1"/>
        <v>0.12816612816612827</v>
      </c>
      <c r="I35">
        <f t="shared" si="2"/>
        <v>2.83</v>
      </c>
      <c r="J35">
        <f t="shared" si="3"/>
        <v>1.0108979005529761E-2</v>
      </c>
      <c r="K35">
        <f t="shared" si="4"/>
        <v>-0.30000000000000071</v>
      </c>
      <c r="L35">
        <f t="shared" si="5"/>
        <v>2.5401089790055291</v>
      </c>
      <c r="N35">
        <f t="shared" si="6"/>
        <v>0.12816612816612827</v>
      </c>
    </row>
    <row r="36" spans="1:14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G36">
        <f t="shared" si="1"/>
        <v>0.11077811077811091</v>
      </c>
      <c r="I36">
        <f t="shared" si="2"/>
        <v>7.83</v>
      </c>
      <c r="J36">
        <f t="shared" si="3"/>
        <v>2.0809355743190316E-2</v>
      </c>
      <c r="K36">
        <f t="shared" si="4"/>
        <v>-0.30000000000000071</v>
      </c>
      <c r="L36">
        <f t="shared" si="5"/>
        <v>7.5508093557431897</v>
      </c>
      <c r="N36">
        <f t="shared" si="6"/>
        <v>0.11077811077811091</v>
      </c>
    </row>
    <row r="37" spans="1:14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G37">
        <f t="shared" si="1"/>
        <v>6.9117069117069246E-2</v>
      </c>
      <c r="I37">
        <f t="shared" si="2"/>
        <v>7.83</v>
      </c>
      <c r="J37">
        <f t="shared" si="3"/>
        <v>2.0809355743190316E-2</v>
      </c>
      <c r="K37">
        <f t="shared" si="4"/>
        <v>-0.30000000000000071</v>
      </c>
      <c r="L37">
        <f t="shared" si="5"/>
        <v>7.5508093557431897</v>
      </c>
      <c r="N37">
        <f t="shared" si="6"/>
        <v>6.9117069117069246E-2</v>
      </c>
    </row>
    <row r="38" spans="1:14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G38">
        <f t="shared" si="1"/>
        <v>8.5020085020085109E-2</v>
      </c>
      <c r="I38">
        <f t="shared" si="2"/>
        <v>7.83</v>
      </c>
      <c r="J38">
        <f t="shared" si="3"/>
        <v>2.0809355743190316E-2</v>
      </c>
      <c r="K38">
        <f t="shared" si="4"/>
        <v>-0.30000000000000071</v>
      </c>
      <c r="L38">
        <f t="shared" si="5"/>
        <v>7.5508093557431897</v>
      </c>
      <c r="N38">
        <f t="shared" si="6"/>
        <v>8.5020085020085109E-2</v>
      </c>
    </row>
    <row r="39" spans="1:14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G39">
        <f t="shared" si="1"/>
        <v>0.11979311979311991</v>
      </c>
      <c r="I39">
        <f t="shared" si="2"/>
        <v>7.83</v>
      </c>
      <c r="J39">
        <f t="shared" si="3"/>
        <v>2.0809355743190316E-2</v>
      </c>
      <c r="K39">
        <f t="shared" si="4"/>
        <v>-0.30000000000000071</v>
      </c>
      <c r="L39">
        <f t="shared" si="5"/>
        <v>7.5508093557431897</v>
      </c>
      <c r="N39">
        <f t="shared" si="6"/>
        <v>0.11979311979311991</v>
      </c>
    </row>
    <row r="40" spans="1:14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G40">
        <f t="shared" si="1"/>
        <v>9.4314094314094446E-2</v>
      </c>
      <c r="I40">
        <f t="shared" si="2"/>
        <v>7.83</v>
      </c>
      <c r="J40">
        <f t="shared" si="3"/>
        <v>2.0809355743190316E-2</v>
      </c>
      <c r="K40">
        <f t="shared" si="4"/>
        <v>-0.30000000000000071</v>
      </c>
      <c r="L40">
        <f t="shared" si="5"/>
        <v>7.5508093557431897</v>
      </c>
      <c r="N40">
        <f t="shared" si="6"/>
        <v>9.4314094314094446E-2</v>
      </c>
    </row>
    <row r="41" spans="1:14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G41">
        <f t="shared" si="1"/>
        <v>0.15705315705315703</v>
      </c>
      <c r="I41">
        <f t="shared" si="2"/>
        <v>7.83</v>
      </c>
      <c r="J41">
        <f t="shared" si="3"/>
        <v>2.0809355743190316E-2</v>
      </c>
      <c r="K41">
        <f t="shared" si="4"/>
        <v>-0.30000000000000071</v>
      </c>
      <c r="L41">
        <f t="shared" si="5"/>
        <v>7.5508093557431897</v>
      </c>
      <c r="N41">
        <f t="shared" si="6"/>
        <v>0.15705315705315703</v>
      </c>
    </row>
    <row r="42" spans="1:14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G42">
        <f t="shared" si="1"/>
        <v>7.9083079083079211E-2</v>
      </c>
      <c r="I42">
        <f t="shared" si="2"/>
        <v>7.83</v>
      </c>
      <c r="J42">
        <f t="shared" si="3"/>
        <v>2.0809355743190316E-2</v>
      </c>
      <c r="K42">
        <f t="shared" si="4"/>
        <v>-0.30000000000000071</v>
      </c>
      <c r="L42">
        <f t="shared" si="5"/>
        <v>7.5508093557431897</v>
      </c>
      <c r="N42">
        <f t="shared" si="6"/>
        <v>7.9083079083079211E-2</v>
      </c>
    </row>
    <row r="43" spans="1:14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G43">
        <f t="shared" si="1"/>
        <v>9.0978090978091036E-2</v>
      </c>
      <c r="I43">
        <f t="shared" si="2"/>
        <v>7.83</v>
      </c>
      <c r="J43">
        <f t="shared" si="3"/>
        <v>2.0809355743190316E-2</v>
      </c>
      <c r="K43">
        <f t="shared" si="4"/>
        <v>-0.30000000000000071</v>
      </c>
      <c r="L43">
        <f t="shared" si="5"/>
        <v>7.5508093557431897</v>
      </c>
      <c r="N43">
        <f t="shared" si="6"/>
        <v>9.0978090978091036E-2</v>
      </c>
    </row>
    <row r="44" spans="1:14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G44">
        <f t="shared" si="1"/>
        <v>0.13791013791013798</v>
      </c>
      <c r="I44">
        <f t="shared" si="2"/>
        <v>7.83</v>
      </c>
      <c r="J44">
        <f t="shared" si="3"/>
        <v>2.0809355743190316E-2</v>
      </c>
      <c r="K44">
        <f t="shared" si="4"/>
        <v>-0.30000000000000071</v>
      </c>
      <c r="L44">
        <f t="shared" si="5"/>
        <v>7.5508093557431897</v>
      </c>
      <c r="N44">
        <f t="shared" si="6"/>
        <v>0.13791013791013798</v>
      </c>
    </row>
    <row r="45" spans="1:14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G45">
        <f t="shared" si="1"/>
        <v>8.4546084546084588E-2</v>
      </c>
      <c r="I45">
        <f t="shared" si="2"/>
        <v>7.83</v>
      </c>
      <c r="J45">
        <f t="shared" si="3"/>
        <v>2.0809355743190316E-2</v>
      </c>
      <c r="K45">
        <f t="shared" si="4"/>
        <v>-0.30000000000000071</v>
      </c>
      <c r="L45">
        <f t="shared" si="5"/>
        <v>7.5508093557431897</v>
      </c>
      <c r="N45">
        <f t="shared" si="6"/>
        <v>8.4546084546084588E-2</v>
      </c>
    </row>
    <row r="46" spans="1:14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G46">
        <f t="shared" si="1"/>
        <v>7.3362073362073385E-2</v>
      </c>
      <c r="I46">
        <f t="shared" si="2"/>
        <v>7.83</v>
      </c>
      <c r="J46">
        <f t="shared" si="3"/>
        <v>2.0809355743190316E-2</v>
      </c>
      <c r="K46">
        <f t="shared" si="4"/>
        <v>-0.30000000000000071</v>
      </c>
      <c r="L46">
        <f t="shared" si="5"/>
        <v>7.5508093557431897</v>
      </c>
      <c r="N46">
        <f t="shared" si="6"/>
        <v>7.3362073362073385E-2</v>
      </c>
    </row>
    <row r="47" spans="1:14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G47">
        <f t="shared" si="1"/>
        <v>0.17003417003417018</v>
      </c>
      <c r="I47">
        <f t="shared" si="2"/>
        <v>7.83</v>
      </c>
      <c r="J47">
        <f t="shared" si="3"/>
        <v>2.0809355743190316E-2</v>
      </c>
      <c r="K47">
        <f t="shared" si="4"/>
        <v>-0.30000000000000071</v>
      </c>
      <c r="L47">
        <f t="shared" si="5"/>
        <v>7.5508093557431897</v>
      </c>
      <c r="N47">
        <f t="shared" si="6"/>
        <v>0.17003417003417018</v>
      </c>
    </row>
    <row r="48" spans="1:14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G48">
        <f t="shared" si="1"/>
        <v>9.7260097260097295E-2</v>
      </c>
      <c r="I48">
        <f t="shared" si="2"/>
        <v>11.83</v>
      </c>
      <c r="J48">
        <f t="shared" si="3"/>
        <v>1.5709190087079605E-2</v>
      </c>
      <c r="K48">
        <f t="shared" si="4"/>
        <v>-0.30000000000000071</v>
      </c>
      <c r="L48">
        <f t="shared" si="5"/>
        <v>11.545709190087079</v>
      </c>
      <c r="N48">
        <f t="shared" si="6"/>
        <v>9.7260097260097295E-2</v>
      </c>
    </row>
    <row r="49" spans="1:14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G49">
        <f t="shared" si="1"/>
        <v>0.14444114444114459</v>
      </c>
      <c r="I49">
        <f t="shared" si="2"/>
        <v>11.83</v>
      </c>
      <c r="J49">
        <f t="shared" si="3"/>
        <v>1.5709190087079605E-2</v>
      </c>
      <c r="K49">
        <f t="shared" si="4"/>
        <v>-0.30000000000000071</v>
      </c>
      <c r="L49">
        <f t="shared" si="5"/>
        <v>11.545709190087079</v>
      </c>
      <c r="N49">
        <f t="shared" si="6"/>
        <v>0.14444114444114459</v>
      </c>
    </row>
    <row r="50" spans="1:14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G50">
        <f t="shared" si="1"/>
        <v>0.14603114603114609</v>
      </c>
      <c r="I50">
        <f t="shared" si="2"/>
        <v>11.83</v>
      </c>
      <c r="J50">
        <f t="shared" si="3"/>
        <v>1.5709190087079605E-2</v>
      </c>
      <c r="K50">
        <f t="shared" si="4"/>
        <v>-0.30000000000000071</v>
      </c>
      <c r="L50">
        <f t="shared" si="5"/>
        <v>11.545709190087079</v>
      </c>
      <c r="N50">
        <f t="shared" si="6"/>
        <v>0.14603114603114609</v>
      </c>
    </row>
    <row r="51" spans="1:14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G51">
        <f t="shared" si="1"/>
        <v>0.12197412197412201</v>
      </c>
      <c r="I51">
        <f t="shared" si="2"/>
        <v>11.83</v>
      </c>
      <c r="J51">
        <f t="shared" si="3"/>
        <v>1.5709190087079605E-2</v>
      </c>
      <c r="K51">
        <f t="shared" si="4"/>
        <v>-0.30000000000000071</v>
      </c>
      <c r="L51">
        <f t="shared" si="5"/>
        <v>11.545709190087079</v>
      </c>
      <c r="N51">
        <f t="shared" si="6"/>
        <v>0.12197412197412201</v>
      </c>
    </row>
    <row r="52" spans="1:14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G52">
        <f t="shared" si="1"/>
        <v>7.5276075276075397E-2</v>
      </c>
      <c r="I52">
        <f t="shared" si="2"/>
        <v>11.83</v>
      </c>
      <c r="J52">
        <f t="shared" si="3"/>
        <v>1.5709190087079605E-2</v>
      </c>
      <c r="K52">
        <f t="shared" si="4"/>
        <v>-0.30000000000000071</v>
      </c>
      <c r="L52">
        <f t="shared" si="5"/>
        <v>11.545709190087079</v>
      </c>
      <c r="N52">
        <f t="shared" si="6"/>
        <v>7.5276075276075397E-2</v>
      </c>
    </row>
    <row r="53" spans="1:14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G53">
        <f t="shared" si="1"/>
        <v>0.19237819237819245</v>
      </c>
      <c r="I53">
        <f t="shared" si="2"/>
        <v>11.83</v>
      </c>
      <c r="J53">
        <f t="shared" si="3"/>
        <v>1.5709190087079605E-2</v>
      </c>
      <c r="K53">
        <f t="shared" si="4"/>
        <v>-0.30000000000000071</v>
      </c>
      <c r="L53">
        <f t="shared" si="5"/>
        <v>11.545709190087079</v>
      </c>
      <c r="N53">
        <f t="shared" si="6"/>
        <v>0.19237819237819245</v>
      </c>
    </row>
    <row r="54" spans="1:14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G54">
        <f t="shared" si="1"/>
        <v>0.22926922926922927</v>
      </c>
      <c r="I54">
        <f t="shared" si="2"/>
        <v>11.83</v>
      </c>
      <c r="J54">
        <f t="shared" si="3"/>
        <v>1.5709190087079605E-2</v>
      </c>
      <c r="K54">
        <f t="shared" si="4"/>
        <v>-0.30000000000000071</v>
      </c>
      <c r="L54">
        <f t="shared" si="5"/>
        <v>11.545709190087079</v>
      </c>
      <c r="N54">
        <f t="shared" si="6"/>
        <v>0.22926922926922927</v>
      </c>
    </row>
    <row r="55" spans="1:14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G55">
        <f t="shared" si="1"/>
        <v>0.25654825654825658</v>
      </c>
      <c r="I55">
        <f t="shared" si="2"/>
        <v>11.83</v>
      </c>
      <c r="J55">
        <f t="shared" si="3"/>
        <v>1.5709190087079605E-2</v>
      </c>
      <c r="K55">
        <f t="shared" si="4"/>
        <v>-0.30000000000000071</v>
      </c>
      <c r="L55">
        <f t="shared" si="5"/>
        <v>11.545709190087079</v>
      </c>
      <c r="N55">
        <f t="shared" si="6"/>
        <v>0.25654825654825658</v>
      </c>
    </row>
    <row r="56" spans="1:14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G56">
        <f t="shared" si="1"/>
        <v>0.21369021369021374</v>
      </c>
      <c r="I56">
        <f t="shared" si="2"/>
        <v>11.83</v>
      </c>
      <c r="J56">
        <f t="shared" si="3"/>
        <v>1.5709190087079605E-2</v>
      </c>
      <c r="K56">
        <f t="shared" si="4"/>
        <v>-0.30000000000000071</v>
      </c>
      <c r="L56">
        <f t="shared" si="5"/>
        <v>11.545709190087079</v>
      </c>
      <c r="N56">
        <f t="shared" si="6"/>
        <v>0.21369021369021374</v>
      </c>
    </row>
    <row r="57" spans="1:14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G57">
        <f t="shared" si="1"/>
        <v>0.10111810111810116</v>
      </c>
      <c r="I57">
        <f t="shared" si="2"/>
        <v>11.83</v>
      </c>
      <c r="J57">
        <f t="shared" si="3"/>
        <v>1.5709190087079605E-2</v>
      </c>
      <c r="K57">
        <f t="shared" si="4"/>
        <v>-0.30000000000000071</v>
      </c>
      <c r="L57">
        <f t="shared" si="5"/>
        <v>11.545709190087079</v>
      </c>
      <c r="N57">
        <f t="shared" si="6"/>
        <v>0.10111810111810116</v>
      </c>
    </row>
    <row r="58" spans="1:14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G58">
        <f t="shared" si="1"/>
        <v>3.3228033228033291E-2</v>
      </c>
      <c r="I58">
        <f t="shared" si="2"/>
        <v>11.83</v>
      </c>
      <c r="J58">
        <f t="shared" si="3"/>
        <v>1.5709190087079605E-2</v>
      </c>
      <c r="K58">
        <f t="shared" si="4"/>
        <v>-0.30000000000000071</v>
      </c>
      <c r="L58">
        <f t="shared" si="5"/>
        <v>11.545709190087079</v>
      </c>
      <c r="N58">
        <f t="shared" si="6"/>
        <v>3.3228033228033291E-2</v>
      </c>
    </row>
    <row r="59" spans="1:14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G59">
        <f t="shared" si="1"/>
        <v>0.1889131889131889</v>
      </c>
      <c r="I59">
        <f t="shared" si="2"/>
        <v>11.83</v>
      </c>
      <c r="J59">
        <f t="shared" si="3"/>
        <v>1.5709190087079605E-2</v>
      </c>
      <c r="K59">
        <f t="shared" si="4"/>
        <v>-0.30000000000000071</v>
      </c>
      <c r="L59">
        <f t="shared" si="5"/>
        <v>11.545709190087079</v>
      </c>
      <c r="N59">
        <f t="shared" si="6"/>
        <v>0.1889131889131889</v>
      </c>
    </row>
    <row r="60" spans="1:14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G60">
        <f t="shared" si="1"/>
        <v>0.1218361218361219</v>
      </c>
      <c r="I60">
        <f t="shared" si="2"/>
        <v>11.83</v>
      </c>
      <c r="J60">
        <f t="shared" si="3"/>
        <v>1.5709190087079605E-2</v>
      </c>
      <c r="K60">
        <f t="shared" si="4"/>
        <v>-0.30000000000000071</v>
      </c>
      <c r="L60">
        <f t="shared" si="5"/>
        <v>11.545709190087079</v>
      </c>
      <c r="N60">
        <f t="shared" si="6"/>
        <v>0.1218361218361219</v>
      </c>
    </row>
    <row r="61" spans="1:14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G61">
        <f t="shared" si="1"/>
        <v>9.9591099591099588E-2</v>
      </c>
      <c r="I61">
        <f t="shared" si="2"/>
        <v>11.83</v>
      </c>
      <c r="J61">
        <f t="shared" si="3"/>
        <v>1.5709190087079605E-2</v>
      </c>
      <c r="K61">
        <f t="shared" si="4"/>
        <v>-0.30000000000000071</v>
      </c>
      <c r="L61">
        <f t="shared" si="5"/>
        <v>11.545709190087079</v>
      </c>
      <c r="N61">
        <f t="shared" si="6"/>
        <v>9.9591099591099588E-2</v>
      </c>
    </row>
    <row r="62" spans="1:14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G62">
        <f t="shared" si="1"/>
        <v>0.17869517869517884</v>
      </c>
      <c r="I62">
        <f t="shared" si="2"/>
        <v>20.83</v>
      </c>
      <c r="J62">
        <f t="shared" si="3"/>
        <v>-3.2913179122093794E-3</v>
      </c>
      <c r="K62">
        <f t="shared" si="4"/>
        <v>-0.30000000000000071</v>
      </c>
      <c r="L62">
        <f t="shared" si="5"/>
        <v>20.52670868208779</v>
      </c>
      <c r="N62">
        <f t="shared" si="6"/>
        <v>0.17869517869517884</v>
      </c>
    </row>
    <row r="63" spans="1:14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G63">
        <f t="shared" si="1"/>
        <v>0.22195822195822207</v>
      </c>
      <c r="I63">
        <f t="shared" si="2"/>
        <v>20.83</v>
      </c>
      <c r="J63">
        <f t="shared" si="3"/>
        <v>-3.2913179122093794E-3</v>
      </c>
      <c r="K63">
        <f t="shared" si="4"/>
        <v>-0.30000000000000071</v>
      </c>
      <c r="L63">
        <f t="shared" si="5"/>
        <v>20.52670868208779</v>
      </c>
      <c r="N63">
        <f t="shared" si="6"/>
        <v>0.22195822195822207</v>
      </c>
    </row>
    <row r="64" spans="1:14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G64">
        <f t="shared" si="1"/>
        <v>0.20695520695520697</v>
      </c>
      <c r="I64">
        <f t="shared" si="2"/>
        <v>20.83</v>
      </c>
      <c r="J64">
        <f t="shared" si="3"/>
        <v>-3.2913179122093794E-3</v>
      </c>
      <c r="K64">
        <f t="shared" si="4"/>
        <v>-0.30000000000000071</v>
      </c>
      <c r="L64">
        <f t="shared" si="5"/>
        <v>20.52670868208779</v>
      </c>
      <c r="N64">
        <f t="shared" si="6"/>
        <v>0.20695520695520697</v>
      </c>
    </row>
    <row r="65" spans="1:14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G65">
        <f t="shared" si="1"/>
        <v>0.12630312630312629</v>
      </c>
      <c r="I65">
        <f t="shared" si="2"/>
        <v>20.83</v>
      </c>
      <c r="J65">
        <f t="shared" si="3"/>
        <v>-3.2913179122093794E-3</v>
      </c>
      <c r="K65">
        <f t="shared" si="4"/>
        <v>-0.30000000000000071</v>
      </c>
      <c r="L65">
        <f t="shared" si="5"/>
        <v>20.52670868208779</v>
      </c>
      <c r="N65">
        <f t="shared" si="6"/>
        <v>0.12630312630312629</v>
      </c>
    </row>
    <row r="66" spans="1:14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G66">
        <f t="shared" si="1"/>
        <v>0.1312471312471313</v>
      </c>
      <c r="I66">
        <f t="shared" si="2"/>
        <v>20.83</v>
      </c>
      <c r="J66">
        <f t="shared" si="3"/>
        <v>-3.2913179122093794E-3</v>
      </c>
      <c r="K66">
        <f t="shared" si="4"/>
        <v>-0.30000000000000071</v>
      </c>
      <c r="L66">
        <f t="shared" si="5"/>
        <v>20.52670868208779</v>
      </c>
      <c r="N66">
        <f t="shared" ref="N66:N82" si="7">G66</f>
        <v>0.1312471312471313</v>
      </c>
    </row>
    <row r="67" spans="1:14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G67">
        <f t="shared" ref="G67:G130" si="8">($F$343-F67)/$F$343</f>
        <v>0.16843216843216843</v>
      </c>
      <c r="I67">
        <f t="shared" ref="I67:I130" si="9">(E67-0.17)*$U$2</f>
        <v>20.83</v>
      </c>
      <c r="J67">
        <f t="shared" ref="J67:J130" si="10">(8-D67)*$U$4</f>
        <v>-3.2913179122093794E-3</v>
      </c>
      <c r="K67">
        <f t="shared" ref="K67:K130" si="11">(C67-20)*$U$3</f>
        <v>-0.30000000000000071</v>
      </c>
      <c r="L67">
        <f t="shared" ref="L67:L130" si="12">SUM(I67:K67)</f>
        <v>20.52670868208779</v>
      </c>
      <c r="N67">
        <f t="shared" si="7"/>
        <v>0.16843216843216843</v>
      </c>
    </row>
    <row r="68" spans="1:14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G68">
        <f t="shared" si="8"/>
        <v>0.19862119862119876</v>
      </c>
      <c r="I68">
        <f t="shared" si="9"/>
        <v>20.83</v>
      </c>
      <c r="J68">
        <f t="shared" si="10"/>
        <v>-3.2913179122093794E-3</v>
      </c>
      <c r="K68">
        <f t="shared" si="11"/>
        <v>-0.30000000000000071</v>
      </c>
      <c r="L68">
        <f t="shared" si="12"/>
        <v>20.52670868208779</v>
      </c>
      <c r="N68">
        <f t="shared" si="7"/>
        <v>0.19862119862119876</v>
      </c>
    </row>
    <row r="69" spans="1:14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G69">
        <f t="shared" si="8"/>
        <v>0.20203820203820202</v>
      </c>
      <c r="I69">
        <f t="shared" si="9"/>
        <v>20.83</v>
      </c>
      <c r="J69">
        <f t="shared" si="10"/>
        <v>-3.2913179122093794E-3</v>
      </c>
      <c r="K69">
        <f t="shared" si="11"/>
        <v>-0.30000000000000071</v>
      </c>
      <c r="L69">
        <f t="shared" si="12"/>
        <v>20.52670868208779</v>
      </c>
      <c r="N69">
        <f t="shared" si="7"/>
        <v>0.20203820203820202</v>
      </c>
    </row>
    <row r="70" spans="1:14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G70">
        <f t="shared" si="8"/>
        <v>0.21662721662721662</v>
      </c>
      <c r="I70">
        <f t="shared" si="9"/>
        <v>20.83</v>
      </c>
      <c r="J70">
        <f t="shared" si="10"/>
        <v>-3.2913179122093794E-3</v>
      </c>
      <c r="K70">
        <f t="shared" si="11"/>
        <v>-0.30000000000000071</v>
      </c>
      <c r="L70">
        <f t="shared" si="12"/>
        <v>20.52670868208779</v>
      </c>
      <c r="N70">
        <f t="shared" si="7"/>
        <v>0.21662721662721662</v>
      </c>
    </row>
    <row r="71" spans="1:14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G71">
        <f t="shared" si="8"/>
        <v>0.22974622974622988</v>
      </c>
      <c r="I71">
        <f t="shared" si="9"/>
        <v>20.83</v>
      </c>
      <c r="J71">
        <f t="shared" si="10"/>
        <v>-3.2913179122093794E-3</v>
      </c>
      <c r="K71">
        <f t="shared" si="11"/>
        <v>-0.30000000000000071</v>
      </c>
      <c r="L71">
        <f t="shared" si="12"/>
        <v>20.52670868208779</v>
      </c>
      <c r="N71">
        <f t="shared" si="7"/>
        <v>0.22974622974622988</v>
      </c>
    </row>
    <row r="72" spans="1:14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G72">
        <f t="shared" si="8"/>
        <v>0.21427221427221435</v>
      </c>
      <c r="I72">
        <f t="shared" si="9"/>
        <v>20.83</v>
      </c>
      <c r="J72">
        <f t="shared" si="10"/>
        <v>-3.2913179122093794E-3</v>
      </c>
      <c r="K72">
        <f t="shared" si="11"/>
        <v>-0.30000000000000071</v>
      </c>
      <c r="L72">
        <f t="shared" si="12"/>
        <v>20.52670868208779</v>
      </c>
      <c r="N72">
        <f t="shared" si="7"/>
        <v>0.21427221427221435</v>
      </c>
    </row>
    <row r="73" spans="1:14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G73">
        <f t="shared" si="8"/>
        <v>0.20742920742920751</v>
      </c>
      <c r="I73">
        <f t="shared" si="9"/>
        <v>20.83</v>
      </c>
      <c r="J73">
        <f t="shared" si="10"/>
        <v>-3.2913179122093794E-3</v>
      </c>
      <c r="K73">
        <f t="shared" si="11"/>
        <v>-0.30000000000000071</v>
      </c>
      <c r="L73">
        <f t="shared" si="12"/>
        <v>20.52670868208779</v>
      </c>
      <c r="N73">
        <f t="shared" si="7"/>
        <v>0.20742920742920751</v>
      </c>
    </row>
    <row r="74" spans="1:14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G74">
        <f t="shared" si="8"/>
        <v>0.24478524478524485</v>
      </c>
      <c r="I74">
        <f t="shared" si="9"/>
        <v>20.83</v>
      </c>
      <c r="J74">
        <f t="shared" si="10"/>
        <v>-3.2913179122093794E-3</v>
      </c>
      <c r="K74">
        <f t="shared" si="11"/>
        <v>-0.30000000000000071</v>
      </c>
      <c r="L74">
        <f t="shared" si="12"/>
        <v>20.52670868208779</v>
      </c>
      <c r="N74">
        <f t="shared" si="7"/>
        <v>0.24478524478524485</v>
      </c>
    </row>
    <row r="75" spans="1:14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G75">
        <f t="shared" si="8"/>
        <v>0.25155925155925157</v>
      </c>
      <c r="I75">
        <f t="shared" si="9"/>
        <v>20.83</v>
      </c>
      <c r="J75">
        <f t="shared" si="10"/>
        <v>-3.2913179122093794E-3</v>
      </c>
      <c r="K75">
        <f t="shared" si="11"/>
        <v>-0.30000000000000071</v>
      </c>
      <c r="L75">
        <f t="shared" si="12"/>
        <v>20.52670868208779</v>
      </c>
      <c r="N75">
        <f t="shared" si="7"/>
        <v>0.25155925155925157</v>
      </c>
    </row>
    <row r="76" spans="1:14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G76">
        <f t="shared" si="8"/>
        <v>0.16445416445416455</v>
      </c>
      <c r="I76">
        <f t="shared" si="9"/>
        <v>20.83</v>
      </c>
      <c r="J76">
        <f t="shared" si="10"/>
        <v>-3.2913179122093794E-3</v>
      </c>
      <c r="K76">
        <f t="shared" si="11"/>
        <v>-0.30000000000000071</v>
      </c>
      <c r="L76">
        <f t="shared" si="12"/>
        <v>20.52670868208779</v>
      </c>
      <c r="N76">
        <f t="shared" si="7"/>
        <v>0.16445416445416455</v>
      </c>
    </row>
    <row r="77" spans="1:14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G77">
        <f t="shared" si="8"/>
        <v>0.18346518346518353</v>
      </c>
      <c r="I77">
        <f t="shared" si="9"/>
        <v>20.83</v>
      </c>
      <c r="J77">
        <f t="shared" si="10"/>
        <v>-3.2913179122093794E-3</v>
      </c>
      <c r="K77">
        <f t="shared" si="11"/>
        <v>-0.30000000000000071</v>
      </c>
      <c r="L77">
        <f t="shared" si="12"/>
        <v>20.52670868208779</v>
      </c>
      <c r="N77">
        <f t="shared" si="7"/>
        <v>0.18346518346518353</v>
      </c>
    </row>
    <row r="78" spans="1:14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G78">
        <f t="shared" si="8"/>
        <v>0.17519717519717518</v>
      </c>
      <c r="I78">
        <f t="shared" si="9"/>
        <v>20.83</v>
      </c>
      <c r="J78">
        <f t="shared" si="10"/>
        <v>-3.2913179122093794E-3</v>
      </c>
      <c r="K78">
        <f t="shared" si="11"/>
        <v>-0.30000000000000071</v>
      </c>
      <c r="L78">
        <f t="shared" si="12"/>
        <v>20.52670868208779</v>
      </c>
      <c r="N78">
        <f t="shared" si="7"/>
        <v>0.17519717519717518</v>
      </c>
    </row>
    <row r="79" spans="1:14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G79">
        <f t="shared" si="8"/>
        <v>0.18216318216318217</v>
      </c>
      <c r="I79">
        <f t="shared" si="9"/>
        <v>20.83</v>
      </c>
      <c r="J79">
        <f t="shared" si="10"/>
        <v>-3.2913179122093794E-3</v>
      </c>
      <c r="K79">
        <f t="shared" si="11"/>
        <v>-0.30000000000000071</v>
      </c>
      <c r="L79">
        <f t="shared" si="12"/>
        <v>20.52670868208779</v>
      </c>
      <c r="N79">
        <f t="shared" si="7"/>
        <v>0.18216318216318217</v>
      </c>
    </row>
    <row r="80" spans="1:14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G80">
        <f t="shared" si="8"/>
        <v>0.17678417678417693</v>
      </c>
      <c r="I80">
        <f t="shared" si="9"/>
        <v>20.83</v>
      </c>
      <c r="J80">
        <f t="shared" si="10"/>
        <v>-3.2913179122093794E-3</v>
      </c>
      <c r="K80">
        <f t="shared" si="11"/>
        <v>-0.30000000000000071</v>
      </c>
      <c r="L80">
        <f t="shared" si="12"/>
        <v>20.52670868208779</v>
      </c>
      <c r="N80">
        <f t="shared" si="7"/>
        <v>0.17678417678417693</v>
      </c>
    </row>
    <row r="81" spans="1:15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G81">
        <f t="shared" si="8"/>
        <v>0.248886248886249</v>
      </c>
      <c r="I81">
        <f t="shared" si="9"/>
        <v>20.83</v>
      </c>
      <c r="J81">
        <f t="shared" si="10"/>
        <v>-3.2913179122093794E-3</v>
      </c>
      <c r="K81">
        <f t="shared" si="11"/>
        <v>-0.30000000000000071</v>
      </c>
      <c r="L81">
        <f t="shared" si="12"/>
        <v>20.52670868208779</v>
      </c>
      <c r="N81">
        <f t="shared" si="7"/>
        <v>0.248886248886249</v>
      </c>
    </row>
    <row r="82" spans="1:15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G82">
        <f t="shared" si="8"/>
        <v>0.23805023805023809</v>
      </c>
      <c r="I82">
        <f t="shared" si="9"/>
        <v>20.83</v>
      </c>
      <c r="J82">
        <f t="shared" si="10"/>
        <v>-3.2913179122093794E-3</v>
      </c>
      <c r="K82">
        <f t="shared" si="11"/>
        <v>-0.30000000000000071</v>
      </c>
      <c r="L82">
        <f t="shared" si="12"/>
        <v>20.52670868208779</v>
      </c>
      <c r="N82">
        <f t="shared" si="7"/>
        <v>0.23805023805023809</v>
      </c>
    </row>
    <row r="83" spans="1:15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G83">
        <f t="shared" si="8"/>
        <v>7.0302070302070377E-2</v>
      </c>
      <c r="I83">
        <f t="shared" si="9"/>
        <v>1.999999999999999E-2</v>
      </c>
      <c r="J83">
        <f t="shared" si="10"/>
        <v>1.2709108617790399E-2</v>
      </c>
      <c r="K83">
        <f t="shared" si="11"/>
        <v>-0.30000000000000071</v>
      </c>
      <c r="L83">
        <f t="shared" si="12"/>
        <v>-0.26729089138221029</v>
      </c>
      <c r="O83">
        <f t="shared" ref="O83:O114" si="13">G83</f>
        <v>7.0302070302070377E-2</v>
      </c>
    </row>
    <row r="84" spans="1:15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G84">
        <f t="shared" si="8"/>
        <v>7.7016077016077086E-2</v>
      </c>
      <c r="I84">
        <f t="shared" si="9"/>
        <v>1.999999999999999E-2</v>
      </c>
      <c r="J84">
        <f t="shared" si="10"/>
        <v>1.2709108617790399E-2</v>
      </c>
      <c r="K84">
        <f t="shared" si="11"/>
        <v>-0.30000000000000071</v>
      </c>
      <c r="L84">
        <f t="shared" si="12"/>
        <v>-0.26729089138221029</v>
      </c>
      <c r="O84">
        <f t="shared" si="13"/>
        <v>7.7016077016077086E-2</v>
      </c>
    </row>
    <row r="85" spans="1:15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G85">
        <f t="shared" si="8"/>
        <v>0.15660015660015672</v>
      </c>
      <c r="I85">
        <f t="shared" si="9"/>
        <v>1.999999999999999E-2</v>
      </c>
      <c r="J85">
        <f t="shared" si="10"/>
        <v>1.2709108617790399E-2</v>
      </c>
      <c r="K85">
        <f t="shared" si="11"/>
        <v>-0.30000000000000071</v>
      </c>
      <c r="L85">
        <f t="shared" si="12"/>
        <v>-0.26729089138221029</v>
      </c>
      <c r="O85">
        <f t="shared" si="13"/>
        <v>0.15660015660015672</v>
      </c>
    </row>
    <row r="86" spans="1:15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G86">
        <f t="shared" si="8"/>
        <v>8.8863088863088968E-2</v>
      </c>
      <c r="I86">
        <f t="shared" si="9"/>
        <v>1.999999999999999E-2</v>
      </c>
      <c r="J86">
        <f t="shared" si="10"/>
        <v>1.2709108617790399E-2</v>
      </c>
      <c r="K86">
        <f t="shared" si="11"/>
        <v>-0.30000000000000071</v>
      </c>
      <c r="L86">
        <f t="shared" si="12"/>
        <v>-0.26729089138221029</v>
      </c>
      <c r="O86">
        <f t="shared" si="13"/>
        <v>8.8863088863088968E-2</v>
      </c>
    </row>
    <row r="87" spans="1:15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G87">
        <f t="shared" si="8"/>
        <v>0.15013815013815027</v>
      </c>
      <c r="I87">
        <f t="shared" si="9"/>
        <v>1.999999999999999E-2</v>
      </c>
      <c r="J87">
        <f t="shared" si="10"/>
        <v>1.2709108617790399E-2</v>
      </c>
      <c r="K87">
        <f t="shared" si="11"/>
        <v>-0.30000000000000071</v>
      </c>
      <c r="L87">
        <f t="shared" si="12"/>
        <v>-0.26729089138221029</v>
      </c>
      <c r="O87">
        <f t="shared" si="13"/>
        <v>0.15013815013815027</v>
      </c>
    </row>
    <row r="88" spans="1:15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G88">
        <f t="shared" si="8"/>
        <v>0.19714519714519724</v>
      </c>
      <c r="I88">
        <f t="shared" si="9"/>
        <v>1.999999999999999E-2</v>
      </c>
      <c r="J88">
        <f t="shared" si="10"/>
        <v>1.2709108617790399E-2</v>
      </c>
      <c r="K88">
        <f t="shared" si="11"/>
        <v>-0.30000000000000071</v>
      </c>
      <c r="L88">
        <f t="shared" si="12"/>
        <v>-0.26729089138221029</v>
      </c>
      <c r="O88">
        <f t="shared" si="13"/>
        <v>0.19714519714519724</v>
      </c>
    </row>
    <row r="89" spans="1:15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G89">
        <f t="shared" si="8"/>
        <v>3.9420039420039549E-2</v>
      </c>
      <c r="I89">
        <f t="shared" si="9"/>
        <v>1.999999999999999E-2</v>
      </c>
      <c r="J89">
        <f t="shared" si="10"/>
        <v>1.2709108617790399E-2</v>
      </c>
      <c r="K89">
        <f t="shared" si="11"/>
        <v>-0.30000000000000071</v>
      </c>
      <c r="L89">
        <f t="shared" si="12"/>
        <v>-0.26729089138221029</v>
      </c>
      <c r="O89">
        <f t="shared" si="13"/>
        <v>3.9420039420039549E-2</v>
      </c>
    </row>
    <row r="90" spans="1:15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G90">
        <f t="shared" si="8"/>
        <v>7.8120078120078179E-2</v>
      </c>
      <c r="I90">
        <f t="shared" si="9"/>
        <v>1.999999999999999E-2</v>
      </c>
      <c r="J90">
        <f t="shared" si="10"/>
        <v>1.2709108617790399E-2</v>
      </c>
      <c r="K90">
        <f t="shared" si="11"/>
        <v>-0.30000000000000071</v>
      </c>
      <c r="L90">
        <f t="shared" si="12"/>
        <v>-0.26729089138221029</v>
      </c>
      <c r="O90">
        <f t="shared" si="13"/>
        <v>7.8120078120078179E-2</v>
      </c>
    </row>
    <row r="91" spans="1:15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G91">
        <f t="shared" si="8"/>
        <v>0.22653322653322658</v>
      </c>
      <c r="I91">
        <f t="shared" si="9"/>
        <v>1.999999999999999E-2</v>
      </c>
      <c r="J91">
        <f t="shared" si="10"/>
        <v>1.2709108617790399E-2</v>
      </c>
      <c r="K91">
        <f t="shared" si="11"/>
        <v>-0.30000000000000071</v>
      </c>
      <c r="L91">
        <f t="shared" si="12"/>
        <v>-0.26729089138221029</v>
      </c>
      <c r="O91">
        <f t="shared" si="13"/>
        <v>0.22653322653322658</v>
      </c>
    </row>
    <row r="92" spans="1:15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G92">
        <f t="shared" si="8"/>
        <v>0.17335217335217348</v>
      </c>
      <c r="I92">
        <f t="shared" si="9"/>
        <v>1.999999999999999E-2</v>
      </c>
      <c r="J92">
        <f t="shared" si="10"/>
        <v>1.2709108617790399E-2</v>
      </c>
      <c r="K92">
        <f t="shared" si="11"/>
        <v>-0.30000000000000071</v>
      </c>
      <c r="L92">
        <f t="shared" si="12"/>
        <v>-0.26729089138221029</v>
      </c>
      <c r="O92">
        <f t="shared" si="13"/>
        <v>0.17335217335217348</v>
      </c>
    </row>
    <row r="93" spans="1:15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G93">
        <f t="shared" si="8"/>
        <v>7.6245076245076301E-2</v>
      </c>
      <c r="I93">
        <f t="shared" si="9"/>
        <v>1.999999999999999E-2</v>
      </c>
      <c r="J93">
        <f t="shared" si="10"/>
        <v>1.2709108617790399E-2</v>
      </c>
      <c r="K93">
        <f t="shared" si="11"/>
        <v>-0.30000000000000071</v>
      </c>
      <c r="L93">
        <f t="shared" si="12"/>
        <v>-0.26729089138221029</v>
      </c>
      <c r="O93">
        <f t="shared" si="13"/>
        <v>7.6245076245076301E-2</v>
      </c>
    </row>
    <row r="94" spans="1:15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G94">
        <f t="shared" si="8"/>
        <v>0.11988011988011998</v>
      </c>
      <c r="I94">
        <f t="shared" si="9"/>
        <v>9.9999999999999811E-3</v>
      </c>
      <c r="J94">
        <f t="shared" si="10"/>
        <v>0.10751278491301974</v>
      </c>
      <c r="K94">
        <f t="shared" si="11"/>
        <v>-0.30000000000000071</v>
      </c>
      <c r="L94">
        <f t="shared" si="12"/>
        <v>-0.18248721508698099</v>
      </c>
      <c r="O94">
        <f t="shared" si="13"/>
        <v>0.11988011988011998</v>
      </c>
    </row>
    <row r="95" spans="1:15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G95">
        <f t="shared" si="8"/>
        <v>9.9945099945100105E-2</v>
      </c>
      <c r="I95">
        <f t="shared" si="9"/>
        <v>9.9999999999999811E-3</v>
      </c>
      <c r="J95">
        <f t="shared" si="10"/>
        <v>0.10751278491301974</v>
      </c>
      <c r="K95">
        <f t="shared" si="11"/>
        <v>-0.30000000000000071</v>
      </c>
      <c r="L95">
        <f t="shared" si="12"/>
        <v>-0.18248721508698099</v>
      </c>
      <c r="O95">
        <f t="shared" si="13"/>
        <v>9.9945099945100105E-2</v>
      </c>
    </row>
    <row r="96" spans="1:15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G96">
        <f t="shared" si="8"/>
        <v>2.6313026313026355E-2</v>
      </c>
      <c r="I96">
        <f t="shared" si="9"/>
        <v>9.9999999999999811E-3</v>
      </c>
      <c r="J96">
        <f t="shared" si="10"/>
        <v>0.10751278491301974</v>
      </c>
      <c r="K96">
        <f t="shared" si="11"/>
        <v>-0.30000000000000071</v>
      </c>
      <c r="L96">
        <f t="shared" si="12"/>
        <v>-0.18248721508698099</v>
      </c>
      <c r="O96">
        <f t="shared" si="13"/>
        <v>2.6313026313026355E-2</v>
      </c>
    </row>
    <row r="97" spans="1:15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G97">
        <f t="shared" si="8"/>
        <v>0.11459711459711462</v>
      </c>
      <c r="I97">
        <f t="shared" si="9"/>
        <v>9.9999999999999811E-3</v>
      </c>
      <c r="J97">
        <f t="shared" si="10"/>
        <v>0.10751278491301974</v>
      </c>
      <c r="K97">
        <f t="shared" si="11"/>
        <v>-0.30000000000000071</v>
      </c>
      <c r="L97">
        <f t="shared" si="12"/>
        <v>-0.18248721508698099</v>
      </c>
      <c r="O97">
        <f t="shared" si="13"/>
        <v>0.11459711459711462</v>
      </c>
    </row>
    <row r="98" spans="1:15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G98">
        <f t="shared" si="8"/>
        <v>0.14822114822114832</v>
      </c>
      <c r="I98">
        <f t="shared" si="9"/>
        <v>9.9999999999999811E-3</v>
      </c>
      <c r="J98">
        <f t="shared" si="10"/>
        <v>0.10751278491301974</v>
      </c>
      <c r="K98">
        <f t="shared" si="11"/>
        <v>-0.30000000000000071</v>
      </c>
      <c r="L98">
        <f t="shared" si="12"/>
        <v>-0.18248721508698099</v>
      </c>
      <c r="O98">
        <f t="shared" si="13"/>
        <v>0.14822114822114832</v>
      </c>
    </row>
    <row r="99" spans="1:15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G99">
        <f t="shared" si="8"/>
        <v>0.11827211827211837</v>
      </c>
      <c r="I99">
        <f t="shared" si="9"/>
        <v>9.9999999999999811E-3</v>
      </c>
      <c r="J99">
        <f t="shared" si="10"/>
        <v>0.10751278491301974</v>
      </c>
      <c r="K99">
        <f t="shared" si="11"/>
        <v>-0.30000000000000071</v>
      </c>
      <c r="L99">
        <f t="shared" si="12"/>
        <v>-0.18248721508698099</v>
      </c>
      <c r="O99">
        <f t="shared" si="13"/>
        <v>0.11827211827211837</v>
      </c>
    </row>
    <row r="100" spans="1:15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G100">
        <f t="shared" si="8"/>
        <v>8.0295080295080423E-2</v>
      </c>
      <c r="I100">
        <f t="shared" si="9"/>
        <v>9.9999999999999811E-3</v>
      </c>
      <c r="J100">
        <f t="shared" si="10"/>
        <v>0.10751278491301974</v>
      </c>
      <c r="K100">
        <f t="shared" si="11"/>
        <v>-0.30000000000000071</v>
      </c>
      <c r="L100">
        <f t="shared" si="12"/>
        <v>-0.18248721508698099</v>
      </c>
      <c r="O100">
        <f t="shared" si="13"/>
        <v>8.0295080295080423E-2</v>
      </c>
    </row>
    <row r="101" spans="1:15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G101">
        <f t="shared" si="8"/>
        <v>0.13963513963513968</v>
      </c>
      <c r="I101">
        <f t="shared" si="9"/>
        <v>9.9999999999999811E-3</v>
      </c>
      <c r="J101">
        <f t="shared" si="10"/>
        <v>0.10751278491301974</v>
      </c>
      <c r="K101">
        <f t="shared" si="11"/>
        <v>-0.30000000000000071</v>
      </c>
      <c r="L101">
        <f t="shared" si="12"/>
        <v>-0.18248721508698099</v>
      </c>
      <c r="O101">
        <f t="shared" si="13"/>
        <v>0.13963513963513968</v>
      </c>
    </row>
    <row r="102" spans="1:15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G102">
        <f t="shared" si="8"/>
        <v>9.0018090018090094E-2</v>
      </c>
      <c r="I102">
        <f t="shared" si="9"/>
        <v>9.9999999999999811E-3</v>
      </c>
      <c r="J102">
        <f t="shared" si="10"/>
        <v>0.23702034092308999</v>
      </c>
      <c r="K102">
        <f t="shared" si="11"/>
        <v>-0.30000000000000071</v>
      </c>
      <c r="L102">
        <f t="shared" si="12"/>
        <v>-5.297965907691074E-2</v>
      </c>
      <c r="O102">
        <f t="shared" si="13"/>
        <v>9.0018090018090094E-2</v>
      </c>
    </row>
    <row r="103" spans="1:15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G103">
        <f t="shared" si="8"/>
        <v>6.7830067830067869E-2</v>
      </c>
      <c r="I103">
        <f t="shared" si="9"/>
        <v>9.9999999999999811E-3</v>
      </c>
      <c r="J103">
        <f t="shared" si="10"/>
        <v>0.23702034092308999</v>
      </c>
      <c r="K103">
        <f t="shared" si="11"/>
        <v>-0.30000000000000071</v>
      </c>
      <c r="L103">
        <f t="shared" si="12"/>
        <v>-5.297965907691074E-2</v>
      </c>
      <c r="O103">
        <f t="shared" si="13"/>
        <v>6.7830067830067869E-2</v>
      </c>
    </row>
    <row r="104" spans="1:15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G104">
        <f t="shared" si="8"/>
        <v>0.12582012582012597</v>
      </c>
      <c r="I104">
        <f t="shared" si="9"/>
        <v>9.9999999999999811E-3</v>
      </c>
      <c r="J104">
        <f t="shared" si="10"/>
        <v>0.23702034092308999</v>
      </c>
      <c r="K104">
        <f t="shared" si="11"/>
        <v>-0.30000000000000071</v>
      </c>
      <c r="L104">
        <f t="shared" si="12"/>
        <v>-5.297965907691074E-2</v>
      </c>
      <c r="O104">
        <f t="shared" si="13"/>
        <v>0.12582012582012597</v>
      </c>
    </row>
    <row r="105" spans="1:15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G105">
        <f t="shared" si="8"/>
        <v>8.5638085638085781E-2</v>
      </c>
      <c r="I105">
        <f t="shared" si="9"/>
        <v>9.9999999999999811E-3</v>
      </c>
      <c r="J105">
        <f t="shared" si="10"/>
        <v>0.23702034092308999</v>
      </c>
      <c r="K105">
        <f t="shared" si="11"/>
        <v>-0.30000000000000071</v>
      </c>
      <c r="L105">
        <f t="shared" si="12"/>
        <v>-5.297965907691074E-2</v>
      </c>
      <c r="O105">
        <f t="shared" si="13"/>
        <v>8.5638085638085781E-2</v>
      </c>
    </row>
    <row r="106" spans="1:15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G106">
        <f t="shared" si="8"/>
        <v>0.12505512505512506</v>
      </c>
      <c r="I106">
        <f t="shared" si="9"/>
        <v>9.9999999999999811E-3</v>
      </c>
      <c r="J106">
        <f t="shared" si="10"/>
        <v>0.23702034092308999</v>
      </c>
      <c r="K106">
        <f t="shared" si="11"/>
        <v>-0.30000000000000071</v>
      </c>
      <c r="L106">
        <f t="shared" si="12"/>
        <v>-5.297965907691074E-2</v>
      </c>
      <c r="O106">
        <f t="shared" si="13"/>
        <v>0.12505512505512506</v>
      </c>
    </row>
    <row r="107" spans="1:15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G107">
        <f t="shared" si="8"/>
        <v>0.11157611157611159</v>
      </c>
      <c r="I107">
        <f t="shared" si="9"/>
        <v>9.9999999999999811E-3</v>
      </c>
      <c r="J107">
        <f t="shared" si="10"/>
        <v>0.23702034092308999</v>
      </c>
      <c r="K107">
        <f t="shared" si="11"/>
        <v>-0.30000000000000071</v>
      </c>
      <c r="L107">
        <f t="shared" si="12"/>
        <v>-5.297965907691074E-2</v>
      </c>
      <c r="O107">
        <f t="shared" si="13"/>
        <v>0.11157611157611159</v>
      </c>
    </row>
    <row r="108" spans="1:15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G108">
        <f t="shared" si="8"/>
        <v>5.7864057864057891E-2</v>
      </c>
      <c r="I108">
        <f t="shared" si="9"/>
        <v>9.9999999999999811E-3</v>
      </c>
      <c r="J108">
        <f t="shared" si="10"/>
        <v>0.23702034092308999</v>
      </c>
      <c r="K108">
        <f t="shared" si="11"/>
        <v>-0.30000000000000071</v>
      </c>
      <c r="L108">
        <f t="shared" si="12"/>
        <v>-5.297965907691074E-2</v>
      </c>
      <c r="O108">
        <f t="shared" si="13"/>
        <v>5.7864057864057891E-2</v>
      </c>
    </row>
    <row r="109" spans="1:15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G109">
        <f t="shared" si="8"/>
        <v>5.2425052425052486E-2</v>
      </c>
      <c r="I109">
        <f t="shared" si="9"/>
        <v>9.9999999999999811E-3</v>
      </c>
      <c r="J109">
        <f t="shared" si="10"/>
        <v>0.23702034092308999</v>
      </c>
      <c r="K109">
        <f t="shared" si="11"/>
        <v>-0.30000000000000071</v>
      </c>
      <c r="L109">
        <f t="shared" si="12"/>
        <v>-5.297965907691074E-2</v>
      </c>
      <c r="O109">
        <f t="shared" si="13"/>
        <v>5.2425052425052486E-2</v>
      </c>
    </row>
    <row r="110" spans="1:15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G110">
        <f t="shared" si="8"/>
        <v>8.8752088752088759E-2</v>
      </c>
      <c r="I110">
        <f t="shared" si="9"/>
        <v>9.9999999999999811E-3</v>
      </c>
      <c r="J110">
        <f t="shared" si="10"/>
        <v>0.23702034092308999</v>
      </c>
      <c r="K110">
        <f t="shared" si="11"/>
        <v>-0.30000000000000071</v>
      </c>
      <c r="L110">
        <f t="shared" si="12"/>
        <v>-5.297965907691074E-2</v>
      </c>
      <c r="O110">
        <f t="shared" si="13"/>
        <v>8.8752088752088759E-2</v>
      </c>
    </row>
    <row r="111" spans="1:15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G111">
        <f t="shared" si="8"/>
        <v>8.5953085953085984E-2</v>
      </c>
      <c r="I111">
        <f t="shared" si="9"/>
        <v>9.9999999999999811E-3</v>
      </c>
      <c r="J111">
        <f t="shared" si="10"/>
        <v>0.29892521684180018</v>
      </c>
      <c r="K111">
        <f t="shared" si="11"/>
        <v>-0.30000000000000071</v>
      </c>
      <c r="L111">
        <f t="shared" si="12"/>
        <v>8.9252168417994771E-3</v>
      </c>
      <c r="O111">
        <f t="shared" si="13"/>
        <v>8.5953085953085984E-2</v>
      </c>
    </row>
    <row r="112" spans="1:15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G112">
        <f t="shared" si="8"/>
        <v>0.17851217851217854</v>
      </c>
      <c r="I112">
        <f t="shared" si="9"/>
        <v>9.9999999999999811E-3</v>
      </c>
      <c r="J112">
        <f t="shared" si="10"/>
        <v>0.29892521684180018</v>
      </c>
      <c r="K112">
        <f t="shared" si="11"/>
        <v>-0.30000000000000071</v>
      </c>
      <c r="L112">
        <f t="shared" si="12"/>
        <v>8.9252168417994771E-3</v>
      </c>
      <c r="O112">
        <f t="shared" si="13"/>
        <v>0.17851217851217854</v>
      </c>
    </row>
    <row r="113" spans="1:15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G113">
        <f t="shared" si="8"/>
        <v>9.2046092046092085E-2</v>
      </c>
      <c r="I113">
        <f t="shared" si="9"/>
        <v>9.9999999999999811E-3</v>
      </c>
      <c r="J113">
        <f t="shared" si="10"/>
        <v>0.29892521684180018</v>
      </c>
      <c r="K113">
        <f t="shared" si="11"/>
        <v>-0.30000000000000071</v>
      </c>
      <c r="L113">
        <f t="shared" si="12"/>
        <v>8.9252168417994771E-3</v>
      </c>
      <c r="O113">
        <f t="shared" si="13"/>
        <v>9.2046092046092085E-2</v>
      </c>
    </row>
    <row r="114" spans="1:15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G114">
        <f t="shared" si="8"/>
        <v>0.22262722262722262</v>
      </c>
      <c r="I114">
        <f t="shared" si="9"/>
        <v>9.9999999999999811E-3</v>
      </c>
      <c r="J114">
        <f t="shared" si="10"/>
        <v>0.29892521684180018</v>
      </c>
      <c r="K114">
        <f t="shared" si="11"/>
        <v>-0.30000000000000071</v>
      </c>
      <c r="L114">
        <f t="shared" si="12"/>
        <v>8.9252168417994771E-3</v>
      </c>
      <c r="O114">
        <f t="shared" si="13"/>
        <v>0.22262722262722262</v>
      </c>
    </row>
    <row r="115" spans="1:15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G115">
        <f t="shared" si="8"/>
        <v>0.28587628587628594</v>
      </c>
      <c r="I115">
        <f t="shared" si="9"/>
        <v>9.9999999999999811E-3</v>
      </c>
      <c r="J115">
        <f t="shared" si="10"/>
        <v>0.29892521684180018</v>
      </c>
      <c r="K115">
        <f t="shared" si="11"/>
        <v>-0.30000000000000071</v>
      </c>
      <c r="L115">
        <f t="shared" si="12"/>
        <v>8.9252168417994771E-3</v>
      </c>
      <c r="O115">
        <f t="shared" ref="O115:O134" si="14">G115</f>
        <v>0.28587628587628594</v>
      </c>
    </row>
    <row r="116" spans="1:15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G116">
        <f t="shared" si="8"/>
        <v>0.36977136977136976</v>
      </c>
      <c r="I116">
        <f t="shared" si="9"/>
        <v>9.9999999999999811E-3</v>
      </c>
      <c r="J116">
        <f t="shared" si="10"/>
        <v>0.29892521684180018</v>
      </c>
      <c r="K116">
        <f t="shared" si="11"/>
        <v>-0.30000000000000071</v>
      </c>
      <c r="L116">
        <f t="shared" si="12"/>
        <v>8.9252168417994771E-3</v>
      </c>
      <c r="O116">
        <f t="shared" si="14"/>
        <v>0.36977136977136976</v>
      </c>
    </row>
    <row r="117" spans="1:15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G117">
        <f t="shared" si="8"/>
        <v>0.35826035826035829</v>
      </c>
      <c r="I117">
        <f t="shared" si="9"/>
        <v>9.9999999999999811E-3</v>
      </c>
      <c r="J117">
        <f t="shared" si="10"/>
        <v>0.29892521684180018</v>
      </c>
      <c r="K117">
        <f t="shared" si="11"/>
        <v>-0.30000000000000071</v>
      </c>
      <c r="L117">
        <f t="shared" si="12"/>
        <v>8.9252168417994771E-3</v>
      </c>
      <c r="O117">
        <f t="shared" si="14"/>
        <v>0.35826035826035829</v>
      </c>
    </row>
    <row r="118" spans="1:15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G118">
        <f t="shared" si="8"/>
        <v>0.30790230790230794</v>
      </c>
      <c r="I118">
        <f t="shared" si="9"/>
        <v>9.9999999999999811E-3</v>
      </c>
      <c r="J118">
        <f t="shared" si="10"/>
        <v>0.29892521684180018</v>
      </c>
      <c r="K118">
        <f t="shared" si="11"/>
        <v>-0.30000000000000071</v>
      </c>
      <c r="L118">
        <f t="shared" si="12"/>
        <v>8.9252168417994771E-3</v>
      </c>
      <c r="O118">
        <f t="shared" si="14"/>
        <v>0.30790230790230794</v>
      </c>
    </row>
    <row r="119" spans="1:15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G119">
        <f t="shared" si="8"/>
        <v>8.5824085824085836E-2</v>
      </c>
      <c r="I119">
        <f t="shared" si="9"/>
        <v>9.9999999999999811E-3</v>
      </c>
      <c r="J119">
        <f t="shared" si="10"/>
        <v>0.29892521684180018</v>
      </c>
      <c r="K119">
        <f t="shared" si="11"/>
        <v>-0.30000000000000071</v>
      </c>
      <c r="L119">
        <f t="shared" si="12"/>
        <v>8.9252168417994771E-3</v>
      </c>
      <c r="O119">
        <f t="shared" si="14"/>
        <v>8.5824085824085836E-2</v>
      </c>
    </row>
    <row r="120" spans="1:15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G120">
        <f t="shared" si="8"/>
        <v>0.12098412098412106</v>
      </c>
      <c r="I120">
        <f t="shared" si="9"/>
        <v>9.9999999999999811E-3</v>
      </c>
      <c r="J120">
        <f t="shared" si="10"/>
        <v>0.29892521684180018</v>
      </c>
      <c r="K120">
        <f t="shared" si="11"/>
        <v>-0.30000000000000071</v>
      </c>
      <c r="L120">
        <f t="shared" si="12"/>
        <v>8.9252168417994771E-3</v>
      </c>
      <c r="O120">
        <f t="shared" si="14"/>
        <v>0.12098412098412106</v>
      </c>
    </row>
    <row r="121" spans="1:15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G121">
        <f t="shared" si="8"/>
        <v>0.205854205854206</v>
      </c>
      <c r="I121">
        <f t="shared" si="9"/>
        <v>0</v>
      </c>
      <c r="J121">
        <f t="shared" si="10"/>
        <v>0.35483025985621008</v>
      </c>
      <c r="K121">
        <f t="shared" si="11"/>
        <v>-0.30000000000000071</v>
      </c>
      <c r="L121">
        <f t="shared" si="12"/>
        <v>5.4830259856209373E-2</v>
      </c>
      <c r="O121">
        <f t="shared" si="14"/>
        <v>0.205854205854206</v>
      </c>
    </row>
    <row r="122" spans="1:15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G122">
        <f t="shared" si="8"/>
        <v>0.17593517593517605</v>
      </c>
      <c r="I122">
        <f t="shared" si="9"/>
        <v>0</v>
      </c>
      <c r="J122">
        <f t="shared" si="10"/>
        <v>0.35483025985621008</v>
      </c>
      <c r="K122">
        <f t="shared" si="11"/>
        <v>-0.30000000000000071</v>
      </c>
      <c r="L122">
        <f t="shared" si="12"/>
        <v>5.4830259856209373E-2</v>
      </c>
      <c r="O122">
        <f t="shared" si="14"/>
        <v>0.17593517593517605</v>
      </c>
    </row>
    <row r="123" spans="1:15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G123">
        <f t="shared" si="8"/>
        <v>0.23281223281223293</v>
      </c>
      <c r="I123">
        <f t="shared" si="9"/>
        <v>0</v>
      </c>
      <c r="J123">
        <f t="shared" si="10"/>
        <v>0.35483025985621008</v>
      </c>
      <c r="K123">
        <f t="shared" si="11"/>
        <v>-0.30000000000000071</v>
      </c>
      <c r="L123">
        <f t="shared" si="12"/>
        <v>5.4830259856209373E-2</v>
      </c>
      <c r="O123">
        <f t="shared" si="14"/>
        <v>0.23281223281223293</v>
      </c>
    </row>
    <row r="124" spans="1:15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G124">
        <f t="shared" si="8"/>
        <v>0.1909771909771911</v>
      </c>
      <c r="I124">
        <f t="shared" si="9"/>
        <v>0</v>
      </c>
      <c r="J124">
        <f t="shared" si="10"/>
        <v>0.35483025985621008</v>
      </c>
      <c r="K124">
        <f t="shared" si="11"/>
        <v>-0.30000000000000071</v>
      </c>
      <c r="L124">
        <f t="shared" si="12"/>
        <v>5.4830259856209373E-2</v>
      </c>
      <c r="O124">
        <f t="shared" si="14"/>
        <v>0.1909771909771911</v>
      </c>
    </row>
    <row r="125" spans="1:15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G125">
        <f t="shared" si="8"/>
        <v>0.26901326901326916</v>
      </c>
      <c r="I125">
        <f t="shared" si="9"/>
        <v>0</v>
      </c>
      <c r="J125">
        <f t="shared" si="10"/>
        <v>0.35483025985621008</v>
      </c>
      <c r="K125">
        <f t="shared" si="11"/>
        <v>-0.30000000000000071</v>
      </c>
      <c r="L125">
        <f t="shared" si="12"/>
        <v>5.4830259856209373E-2</v>
      </c>
      <c r="O125">
        <f t="shared" si="14"/>
        <v>0.26901326901326916</v>
      </c>
    </row>
    <row r="126" spans="1:15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G126">
        <f t="shared" si="8"/>
        <v>0.14352014352014361</v>
      </c>
      <c r="I126">
        <f t="shared" si="9"/>
        <v>0</v>
      </c>
      <c r="J126">
        <f t="shared" si="10"/>
        <v>0.35483025985621008</v>
      </c>
      <c r="K126">
        <f t="shared" si="11"/>
        <v>-0.30000000000000071</v>
      </c>
      <c r="L126">
        <f t="shared" si="12"/>
        <v>5.4830259856209373E-2</v>
      </c>
      <c r="O126">
        <f t="shared" si="14"/>
        <v>0.14352014352014361</v>
      </c>
    </row>
    <row r="127" spans="1:15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G127">
        <f t="shared" si="8"/>
        <v>0.277023277023277</v>
      </c>
      <c r="I127">
        <f t="shared" si="9"/>
        <v>0</v>
      </c>
      <c r="J127">
        <f t="shared" si="10"/>
        <v>0.35483025985621008</v>
      </c>
      <c r="K127">
        <f t="shared" si="11"/>
        <v>-0.30000000000000071</v>
      </c>
      <c r="L127">
        <f t="shared" si="12"/>
        <v>5.4830259856209373E-2</v>
      </c>
      <c r="O127">
        <f t="shared" si="14"/>
        <v>0.277023277023277</v>
      </c>
    </row>
    <row r="128" spans="1:15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G128">
        <f t="shared" si="8"/>
        <v>0.23099423099423111</v>
      </c>
      <c r="I128">
        <f t="shared" si="9"/>
        <v>0</v>
      </c>
      <c r="J128">
        <f t="shared" si="10"/>
        <v>0.35483025985621008</v>
      </c>
      <c r="K128">
        <f t="shared" si="11"/>
        <v>-0.30000000000000071</v>
      </c>
      <c r="L128">
        <f t="shared" si="12"/>
        <v>5.4830259856209373E-2</v>
      </c>
      <c r="O128">
        <f t="shared" si="14"/>
        <v>0.23099423099423111</v>
      </c>
    </row>
    <row r="129" spans="1:16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G129">
        <f t="shared" si="8"/>
        <v>0.21545121545121546</v>
      </c>
      <c r="I129">
        <f t="shared" si="9"/>
        <v>0</v>
      </c>
      <c r="J129">
        <f t="shared" si="10"/>
        <v>0.35483025985621008</v>
      </c>
      <c r="K129">
        <f t="shared" si="11"/>
        <v>-0.30000000000000071</v>
      </c>
      <c r="L129">
        <f t="shared" si="12"/>
        <v>5.4830259856209373E-2</v>
      </c>
      <c r="O129">
        <f t="shared" si="14"/>
        <v>0.21545121545121546</v>
      </c>
    </row>
    <row r="130" spans="1:16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G130">
        <f t="shared" si="8"/>
        <v>0.23685023685023696</v>
      </c>
      <c r="I130">
        <f t="shared" si="9"/>
        <v>0</v>
      </c>
      <c r="J130">
        <f t="shared" si="10"/>
        <v>0.35483025985621008</v>
      </c>
      <c r="K130">
        <f t="shared" si="11"/>
        <v>-0.30000000000000071</v>
      </c>
      <c r="L130">
        <f t="shared" si="12"/>
        <v>5.4830259856209373E-2</v>
      </c>
      <c r="O130">
        <f t="shared" si="14"/>
        <v>0.23685023685023696</v>
      </c>
    </row>
    <row r="131" spans="1:16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G131">
        <f t="shared" ref="G131:G194" si="15">($F$343-F131)/$F$343</f>
        <v>0.24973524973524974</v>
      </c>
      <c r="I131">
        <f t="shared" ref="I131:I194" si="16">(E131-0.17)*$U$2</f>
        <v>0</v>
      </c>
      <c r="J131">
        <f t="shared" ref="J131:J194" si="17">(8-D131)*$U$4</f>
        <v>0.35483025985621008</v>
      </c>
      <c r="K131">
        <f t="shared" ref="K131:K194" si="18">(C131-20)*$U$3</f>
        <v>-0.30000000000000071</v>
      </c>
      <c r="L131">
        <f t="shared" ref="L131:L194" si="19">SUM(I131:K131)</f>
        <v>5.4830259856209373E-2</v>
      </c>
      <c r="O131">
        <f t="shared" si="14"/>
        <v>0.24973524973524974</v>
      </c>
    </row>
    <row r="132" spans="1:16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G132">
        <f t="shared" si="15"/>
        <v>0.18558618558618564</v>
      </c>
      <c r="I132">
        <f t="shared" si="16"/>
        <v>0</v>
      </c>
      <c r="J132">
        <f t="shared" si="17"/>
        <v>0.35483025985621008</v>
      </c>
      <c r="K132">
        <f t="shared" si="18"/>
        <v>-0.30000000000000071</v>
      </c>
      <c r="L132">
        <f t="shared" si="19"/>
        <v>5.4830259856209373E-2</v>
      </c>
      <c r="O132">
        <f t="shared" si="14"/>
        <v>0.18558618558618564</v>
      </c>
    </row>
    <row r="133" spans="1:16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G133">
        <f t="shared" si="15"/>
        <v>0.28875328875328882</v>
      </c>
      <c r="I133">
        <f t="shared" si="16"/>
        <v>0</v>
      </c>
      <c r="J133">
        <f t="shared" si="17"/>
        <v>0.35483025985621008</v>
      </c>
      <c r="K133">
        <f t="shared" si="18"/>
        <v>-0.30000000000000071</v>
      </c>
      <c r="L133">
        <f t="shared" si="19"/>
        <v>5.4830259856209373E-2</v>
      </c>
      <c r="O133">
        <f t="shared" si="14"/>
        <v>0.28875328875328882</v>
      </c>
    </row>
    <row r="134" spans="1:16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G134">
        <f t="shared" si="15"/>
        <v>0.25128925128925139</v>
      </c>
      <c r="I134">
        <f t="shared" si="16"/>
        <v>0</v>
      </c>
      <c r="J134">
        <f t="shared" si="17"/>
        <v>0.35483025985621008</v>
      </c>
      <c r="K134">
        <f t="shared" si="18"/>
        <v>-0.30000000000000071</v>
      </c>
      <c r="L134">
        <f t="shared" si="19"/>
        <v>5.4830259856209373E-2</v>
      </c>
      <c r="O134">
        <f t="shared" si="14"/>
        <v>0.25128925128925139</v>
      </c>
    </row>
    <row r="135" spans="1:16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G135">
        <f t="shared" si="15"/>
        <v>0.48698748698748695</v>
      </c>
      <c r="I135">
        <f t="shared" si="16"/>
        <v>9.9999999999999811E-3</v>
      </c>
      <c r="J135">
        <f t="shared" si="17"/>
        <v>-2.6193325609860096E-2</v>
      </c>
      <c r="K135">
        <f t="shared" si="18"/>
        <v>-7.6999999999999993</v>
      </c>
      <c r="L135">
        <f t="shared" si="19"/>
        <v>-7.7161933256098596</v>
      </c>
      <c r="P135">
        <f t="shared" ref="P135:P166" si="20">G135</f>
        <v>0.48698748698748695</v>
      </c>
    </row>
    <row r="136" spans="1:16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G136">
        <f t="shared" si="15"/>
        <v>0.42843642843642843</v>
      </c>
      <c r="I136">
        <f t="shared" si="16"/>
        <v>9.9999999999999811E-3</v>
      </c>
      <c r="J136">
        <f t="shared" si="17"/>
        <v>-2.6193325609860096E-2</v>
      </c>
      <c r="K136">
        <f t="shared" si="18"/>
        <v>-7.6999999999999993</v>
      </c>
      <c r="L136">
        <f t="shared" si="19"/>
        <v>-7.7161933256098596</v>
      </c>
      <c r="P136">
        <f t="shared" si="20"/>
        <v>0.42843642843642843</v>
      </c>
    </row>
    <row r="137" spans="1:16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G137">
        <f t="shared" si="15"/>
        <v>0.4558984558984559</v>
      </c>
      <c r="I137">
        <f t="shared" si="16"/>
        <v>9.9999999999999811E-3</v>
      </c>
      <c r="J137">
        <f t="shared" si="17"/>
        <v>-2.6193325609860096E-2</v>
      </c>
      <c r="K137">
        <f t="shared" si="18"/>
        <v>-7.6999999999999993</v>
      </c>
      <c r="L137">
        <f t="shared" si="19"/>
        <v>-7.7161933256098596</v>
      </c>
      <c r="P137">
        <f t="shared" si="20"/>
        <v>0.4558984558984559</v>
      </c>
    </row>
    <row r="138" spans="1:16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G138">
        <f t="shared" si="15"/>
        <v>0.41305241305241308</v>
      </c>
      <c r="I138">
        <f t="shared" si="16"/>
        <v>9.9999999999999811E-3</v>
      </c>
      <c r="J138">
        <f t="shared" si="17"/>
        <v>-2.6193325609860096E-2</v>
      </c>
      <c r="K138">
        <f t="shared" si="18"/>
        <v>-7.6999999999999993</v>
      </c>
      <c r="L138">
        <f t="shared" si="19"/>
        <v>-7.7161933256098596</v>
      </c>
      <c r="P138">
        <f t="shared" si="20"/>
        <v>0.41305241305241308</v>
      </c>
    </row>
    <row r="139" spans="1:16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G139">
        <f t="shared" si="15"/>
        <v>0.42921342921342925</v>
      </c>
      <c r="I139">
        <f t="shared" si="16"/>
        <v>9.9999999999999811E-3</v>
      </c>
      <c r="J139">
        <f t="shared" si="17"/>
        <v>-2.6193325609860096E-2</v>
      </c>
      <c r="K139">
        <f t="shared" si="18"/>
        <v>-7.6999999999999993</v>
      </c>
      <c r="L139">
        <f t="shared" si="19"/>
        <v>-7.7161933256098596</v>
      </c>
      <c r="P139">
        <f t="shared" si="20"/>
        <v>0.42921342921342925</v>
      </c>
    </row>
    <row r="140" spans="1:16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G140">
        <f t="shared" si="15"/>
        <v>0.46170346170346171</v>
      </c>
      <c r="I140">
        <f t="shared" si="16"/>
        <v>9.9999999999999811E-3</v>
      </c>
      <c r="J140">
        <f t="shared" si="17"/>
        <v>-2.6193325609860096E-2</v>
      </c>
      <c r="K140">
        <f t="shared" si="18"/>
        <v>-7.6999999999999993</v>
      </c>
      <c r="L140">
        <f t="shared" si="19"/>
        <v>-7.7161933256098596</v>
      </c>
      <c r="P140">
        <f t="shared" si="20"/>
        <v>0.46170346170346171</v>
      </c>
    </row>
    <row r="141" spans="1:16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G141">
        <f t="shared" si="15"/>
        <v>0.40313740313740315</v>
      </c>
      <c r="I141">
        <f t="shared" si="16"/>
        <v>9.9999999999999811E-3</v>
      </c>
      <c r="J141">
        <f t="shared" si="17"/>
        <v>-2.6193325609860096E-2</v>
      </c>
      <c r="K141">
        <f t="shared" si="18"/>
        <v>-7.6999999999999993</v>
      </c>
      <c r="L141">
        <f t="shared" si="19"/>
        <v>-7.7161933256098596</v>
      </c>
      <c r="P141">
        <f t="shared" si="20"/>
        <v>0.40313740313740315</v>
      </c>
    </row>
    <row r="142" spans="1:16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G142">
        <f t="shared" si="15"/>
        <v>0.40715440715440715</v>
      </c>
      <c r="I142">
        <f t="shared" si="16"/>
        <v>9.9999999999999811E-3</v>
      </c>
      <c r="J142">
        <f t="shared" si="17"/>
        <v>-2.6193325609860096E-2</v>
      </c>
      <c r="K142">
        <f t="shared" si="18"/>
        <v>-7.6999999999999993</v>
      </c>
      <c r="L142">
        <f t="shared" si="19"/>
        <v>-7.7161933256098596</v>
      </c>
      <c r="P142">
        <f t="shared" si="20"/>
        <v>0.40715440715440715</v>
      </c>
    </row>
    <row r="143" spans="1:16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G143">
        <f t="shared" si="15"/>
        <v>0.44755544755544752</v>
      </c>
      <c r="I143">
        <f t="shared" si="16"/>
        <v>9.9999999999999811E-3</v>
      </c>
      <c r="J143">
        <f t="shared" si="17"/>
        <v>-2.6193325609860096E-2</v>
      </c>
      <c r="K143">
        <f t="shared" si="18"/>
        <v>-7.6999999999999993</v>
      </c>
      <c r="L143">
        <f t="shared" si="19"/>
        <v>-7.7161933256098596</v>
      </c>
      <c r="P143">
        <f t="shared" si="20"/>
        <v>0.44755544755544752</v>
      </c>
    </row>
    <row r="144" spans="1:16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G144">
        <f t="shared" si="15"/>
        <v>0.47937647937647943</v>
      </c>
      <c r="I144">
        <f t="shared" si="16"/>
        <v>9.9999999999999811E-3</v>
      </c>
      <c r="J144">
        <f t="shared" si="17"/>
        <v>-2.6193325609860096E-2</v>
      </c>
      <c r="K144">
        <f t="shared" si="18"/>
        <v>-7.6999999999999993</v>
      </c>
      <c r="L144">
        <f t="shared" si="19"/>
        <v>-7.7161933256098596</v>
      </c>
      <c r="P144">
        <f t="shared" si="20"/>
        <v>0.47937647937647943</v>
      </c>
    </row>
    <row r="145" spans="1:16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G145">
        <f t="shared" si="15"/>
        <v>0.4563994563994565</v>
      </c>
      <c r="I145">
        <f t="shared" si="16"/>
        <v>9.9999999999999811E-3</v>
      </c>
      <c r="J145">
        <f t="shared" si="17"/>
        <v>-2.6193325609860096E-2</v>
      </c>
      <c r="K145">
        <f t="shared" si="18"/>
        <v>-7.6999999999999993</v>
      </c>
      <c r="L145">
        <f t="shared" si="19"/>
        <v>-7.7161933256098596</v>
      </c>
      <c r="P145">
        <f t="shared" si="20"/>
        <v>0.4563994563994565</v>
      </c>
    </row>
    <row r="146" spans="1:16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G146">
        <f t="shared" si="15"/>
        <v>0.45899145899145899</v>
      </c>
      <c r="I146">
        <f t="shared" si="16"/>
        <v>9.9999999999999811E-3</v>
      </c>
      <c r="J146">
        <f t="shared" si="17"/>
        <v>-2.6193325609860096E-2</v>
      </c>
      <c r="K146">
        <f t="shared" si="18"/>
        <v>-7.6999999999999993</v>
      </c>
      <c r="L146">
        <f t="shared" si="19"/>
        <v>-7.7161933256098596</v>
      </c>
      <c r="P146">
        <f t="shared" si="20"/>
        <v>0.45899145899145899</v>
      </c>
    </row>
    <row r="147" spans="1:16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G147">
        <f t="shared" si="15"/>
        <v>0.10250410250410251</v>
      </c>
      <c r="I147">
        <f t="shared" si="16"/>
        <v>0</v>
      </c>
      <c r="J147">
        <f t="shared" si="17"/>
        <v>-5.5920811269292159E-3</v>
      </c>
      <c r="K147">
        <f t="shared" si="18"/>
        <v>-4.0999999999999996</v>
      </c>
      <c r="L147">
        <f t="shared" si="19"/>
        <v>-4.1055920811269289</v>
      </c>
      <c r="P147">
        <f t="shared" si="20"/>
        <v>0.10250410250410251</v>
      </c>
    </row>
    <row r="148" spans="1:16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G148">
        <f t="shared" si="15"/>
        <v>6.3549063549063686E-2</v>
      </c>
      <c r="I148">
        <f t="shared" si="16"/>
        <v>0</v>
      </c>
      <c r="J148">
        <f t="shared" si="17"/>
        <v>-5.5920811269292159E-3</v>
      </c>
      <c r="K148">
        <f t="shared" si="18"/>
        <v>-4.0999999999999996</v>
      </c>
      <c r="L148">
        <f t="shared" si="19"/>
        <v>-4.1055920811269289</v>
      </c>
      <c r="P148">
        <f t="shared" si="20"/>
        <v>6.3549063549063686E-2</v>
      </c>
    </row>
    <row r="149" spans="1:16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G149">
        <f t="shared" si="15"/>
        <v>4.2606042606042768E-2</v>
      </c>
      <c r="I149">
        <f t="shared" si="16"/>
        <v>0</v>
      </c>
      <c r="J149">
        <f t="shared" si="17"/>
        <v>-5.5920811269292159E-3</v>
      </c>
      <c r="K149">
        <f t="shared" si="18"/>
        <v>-4.0999999999999996</v>
      </c>
      <c r="L149">
        <f t="shared" si="19"/>
        <v>-4.1055920811269289</v>
      </c>
      <c r="P149">
        <f t="shared" si="20"/>
        <v>4.2606042606042768E-2</v>
      </c>
    </row>
    <row r="150" spans="1:16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G150">
        <f t="shared" si="15"/>
        <v>0.12865212865212869</v>
      </c>
      <c r="I150">
        <f t="shared" si="16"/>
        <v>0</v>
      </c>
      <c r="J150">
        <f t="shared" si="17"/>
        <v>-5.5920811269292159E-3</v>
      </c>
      <c r="K150">
        <f t="shared" si="18"/>
        <v>-4.0999999999999996</v>
      </c>
      <c r="L150">
        <f t="shared" si="19"/>
        <v>-4.1055920811269289</v>
      </c>
      <c r="P150">
        <f t="shared" si="20"/>
        <v>0.12865212865212869</v>
      </c>
    </row>
    <row r="151" spans="1:16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G151">
        <f t="shared" si="15"/>
        <v>9.0783090783090853E-2</v>
      </c>
      <c r="I151">
        <f t="shared" si="16"/>
        <v>0</v>
      </c>
      <c r="J151">
        <f t="shared" si="17"/>
        <v>-5.5920811269292159E-3</v>
      </c>
      <c r="K151">
        <f t="shared" si="18"/>
        <v>-4.0999999999999996</v>
      </c>
      <c r="L151">
        <f t="shared" si="19"/>
        <v>-4.1055920811269289</v>
      </c>
      <c r="P151">
        <f t="shared" si="20"/>
        <v>9.0783090783090853E-2</v>
      </c>
    </row>
    <row r="152" spans="1:16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G152">
        <f t="shared" si="15"/>
        <v>6.9741069741069778E-2</v>
      </c>
      <c r="I152">
        <f t="shared" si="16"/>
        <v>0</v>
      </c>
      <c r="J152">
        <f t="shared" si="17"/>
        <v>-5.5920811269292159E-3</v>
      </c>
      <c r="K152">
        <f t="shared" si="18"/>
        <v>-4.0999999999999996</v>
      </c>
      <c r="L152">
        <f t="shared" si="19"/>
        <v>-4.1055920811269289</v>
      </c>
      <c r="P152">
        <f t="shared" si="20"/>
        <v>6.9741069741069778E-2</v>
      </c>
    </row>
    <row r="153" spans="1:16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G153">
        <f t="shared" si="15"/>
        <v>3.6132036132036249E-2</v>
      </c>
      <c r="I153">
        <f t="shared" si="16"/>
        <v>0</v>
      </c>
      <c r="J153">
        <f t="shared" si="17"/>
        <v>-5.5920811269292159E-3</v>
      </c>
      <c r="K153">
        <f t="shared" si="18"/>
        <v>-4.0999999999999996</v>
      </c>
      <c r="L153">
        <f t="shared" si="19"/>
        <v>-4.1055920811269289</v>
      </c>
      <c r="P153">
        <f t="shared" si="20"/>
        <v>3.6132036132036249E-2</v>
      </c>
    </row>
    <row r="154" spans="1:16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G154">
        <f t="shared" si="15"/>
        <v>0.18434718434718436</v>
      </c>
      <c r="I154">
        <f t="shared" si="16"/>
        <v>0</v>
      </c>
      <c r="J154">
        <f t="shared" si="17"/>
        <v>-5.5920811269292159E-3</v>
      </c>
      <c r="K154">
        <f t="shared" si="18"/>
        <v>-4.0999999999999996</v>
      </c>
      <c r="L154">
        <f t="shared" si="19"/>
        <v>-4.1055920811269289</v>
      </c>
      <c r="P154">
        <f t="shared" si="20"/>
        <v>0.18434718434718436</v>
      </c>
    </row>
    <row r="155" spans="1:16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G155">
        <f t="shared" si="15"/>
        <v>3.4062034062034188E-2</v>
      </c>
      <c r="I155">
        <f t="shared" si="16"/>
        <v>0</v>
      </c>
      <c r="J155">
        <f t="shared" si="17"/>
        <v>-5.5920811269292159E-3</v>
      </c>
      <c r="K155">
        <f t="shared" si="18"/>
        <v>-4.0999999999999996</v>
      </c>
      <c r="L155">
        <f t="shared" si="19"/>
        <v>-4.1055920811269289</v>
      </c>
      <c r="P155">
        <f t="shared" si="20"/>
        <v>3.4062034062034188E-2</v>
      </c>
    </row>
    <row r="156" spans="1:16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G156">
        <f t="shared" si="15"/>
        <v>0.10909510909510911</v>
      </c>
      <c r="I156">
        <f t="shared" si="16"/>
        <v>0</v>
      </c>
      <c r="J156">
        <f t="shared" si="17"/>
        <v>-5.5920811269292159E-3</v>
      </c>
      <c r="K156">
        <f t="shared" si="18"/>
        <v>-4.0999999999999996</v>
      </c>
      <c r="L156">
        <f t="shared" si="19"/>
        <v>-4.1055920811269289</v>
      </c>
      <c r="P156">
        <f t="shared" si="20"/>
        <v>0.10909510909510911</v>
      </c>
    </row>
    <row r="157" spans="1:16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G157">
        <f t="shared" si="15"/>
        <v>0.12196512196512205</v>
      </c>
      <c r="I157">
        <f t="shared" si="16"/>
        <v>0</v>
      </c>
      <c r="J157">
        <f t="shared" si="17"/>
        <v>-5.5920811269292159E-3</v>
      </c>
      <c r="K157">
        <f t="shared" si="18"/>
        <v>-4.0999999999999996</v>
      </c>
      <c r="L157">
        <f t="shared" si="19"/>
        <v>-4.1055920811269289</v>
      </c>
      <c r="P157">
        <f t="shared" si="20"/>
        <v>0.12196512196512205</v>
      </c>
    </row>
    <row r="158" spans="1:16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G158">
        <f t="shared" si="15"/>
        <v>9.5691095691095823E-2</v>
      </c>
      <c r="I158">
        <f t="shared" si="16"/>
        <v>0</v>
      </c>
      <c r="J158">
        <f t="shared" si="17"/>
        <v>-5.5920811269292159E-3</v>
      </c>
      <c r="K158">
        <f t="shared" si="18"/>
        <v>-4.0999999999999996</v>
      </c>
      <c r="L158">
        <f t="shared" si="19"/>
        <v>-4.1055920811269289</v>
      </c>
      <c r="P158">
        <f t="shared" si="20"/>
        <v>9.5691095691095823E-2</v>
      </c>
    </row>
    <row r="159" spans="1:16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G159">
        <f t="shared" si="15"/>
        <v>0.1656691656691657</v>
      </c>
      <c r="I159">
        <f t="shared" si="16"/>
        <v>0.03</v>
      </c>
      <c r="J159">
        <f t="shared" si="17"/>
        <v>-1.3091904553299116E-2</v>
      </c>
      <c r="K159">
        <f t="shared" si="18"/>
        <v>-0.30000000000000071</v>
      </c>
      <c r="L159">
        <f t="shared" si="19"/>
        <v>-0.2830919045532998</v>
      </c>
      <c r="P159">
        <f t="shared" si="20"/>
        <v>0.1656691656691657</v>
      </c>
    </row>
    <row r="160" spans="1:16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G160">
        <f t="shared" si="15"/>
        <v>0.11066111066111066</v>
      </c>
      <c r="I160">
        <f t="shared" si="16"/>
        <v>0.03</v>
      </c>
      <c r="J160">
        <f t="shared" si="17"/>
        <v>-1.3091904553299116E-2</v>
      </c>
      <c r="K160">
        <f t="shared" si="18"/>
        <v>-0.30000000000000071</v>
      </c>
      <c r="L160">
        <f t="shared" si="19"/>
        <v>-0.2830919045532998</v>
      </c>
      <c r="P160">
        <f t="shared" si="20"/>
        <v>0.11066111066111066</v>
      </c>
    </row>
    <row r="161" spans="1:16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G161">
        <f t="shared" si="15"/>
        <v>8.7324087324087335E-2</v>
      </c>
      <c r="I161">
        <f t="shared" si="16"/>
        <v>0.03</v>
      </c>
      <c r="J161">
        <f t="shared" si="17"/>
        <v>-1.3091904553299116E-2</v>
      </c>
      <c r="K161">
        <f t="shared" si="18"/>
        <v>-0.30000000000000071</v>
      </c>
      <c r="L161">
        <f t="shared" si="19"/>
        <v>-0.2830919045532998</v>
      </c>
      <c r="P161">
        <f t="shared" si="20"/>
        <v>8.7324087324087335E-2</v>
      </c>
    </row>
    <row r="162" spans="1:16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G162">
        <f t="shared" si="15"/>
        <v>0.13644313644313658</v>
      </c>
      <c r="I162">
        <f t="shared" si="16"/>
        <v>0.03</v>
      </c>
      <c r="J162">
        <f t="shared" si="17"/>
        <v>-1.3091904553299116E-2</v>
      </c>
      <c r="K162">
        <f t="shared" si="18"/>
        <v>-0.30000000000000071</v>
      </c>
      <c r="L162">
        <f t="shared" si="19"/>
        <v>-0.2830919045532998</v>
      </c>
      <c r="P162">
        <f t="shared" si="20"/>
        <v>0.13644313644313658</v>
      </c>
    </row>
    <row r="163" spans="1:16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G163">
        <f t="shared" si="15"/>
        <v>3.3822033822033824E-2</v>
      </c>
      <c r="I163">
        <f t="shared" si="16"/>
        <v>0.03</v>
      </c>
      <c r="J163">
        <f t="shared" si="17"/>
        <v>-1.3091904553299116E-2</v>
      </c>
      <c r="K163">
        <f t="shared" si="18"/>
        <v>-0.30000000000000071</v>
      </c>
      <c r="L163">
        <f t="shared" si="19"/>
        <v>-0.2830919045532998</v>
      </c>
      <c r="P163">
        <f t="shared" si="20"/>
        <v>3.3822033822033824E-2</v>
      </c>
    </row>
    <row r="164" spans="1:16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G164">
        <f t="shared" si="15"/>
        <v>0.14568314568314578</v>
      </c>
      <c r="I164">
        <f t="shared" si="16"/>
        <v>0.03</v>
      </c>
      <c r="J164">
        <f t="shared" si="17"/>
        <v>-1.3091904553299116E-2</v>
      </c>
      <c r="K164">
        <f t="shared" si="18"/>
        <v>-0.30000000000000071</v>
      </c>
      <c r="L164">
        <f t="shared" si="19"/>
        <v>-0.2830919045532998</v>
      </c>
      <c r="P164">
        <f t="shared" si="20"/>
        <v>0.14568314568314578</v>
      </c>
    </row>
    <row r="165" spans="1:16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G165">
        <f t="shared" si="15"/>
        <v>8.9760089760089798E-2</v>
      </c>
      <c r="I165">
        <f t="shared" si="16"/>
        <v>0.03</v>
      </c>
      <c r="J165">
        <f t="shared" si="17"/>
        <v>-1.3091904553299116E-2</v>
      </c>
      <c r="K165">
        <f t="shared" si="18"/>
        <v>-0.30000000000000071</v>
      </c>
      <c r="L165">
        <f t="shared" si="19"/>
        <v>-0.2830919045532998</v>
      </c>
      <c r="P165">
        <f t="shared" si="20"/>
        <v>8.9760089760089798E-2</v>
      </c>
    </row>
    <row r="166" spans="1:16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G166">
        <f t="shared" si="15"/>
        <v>0.13192213192213206</v>
      </c>
      <c r="I166">
        <f t="shared" si="16"/>
        <v>0.03</v>
      </c>
      <c r="J166">
        <f t="shared" si="17"/>
        <v>-1.3091904553299116E-2</v>
      </c>
      <c r="K166">
        <f t="shared" si="18"/>
        <v>-0.30000000000000071</v>
      </c>
      <c r="L166">
        <f t="shared" si="19"/>
        <v>-0.2830919045532998</v>
      </c>
      <c r="P166">
        <f t="shared" si="20"/>
        <v>0.13192213192213206</v>
      </c>
    </row>
    <row r="167" spans="1:16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G167">
        <f t="shared" si="15"/>
        <v>0.1171411171411172</v>
      </c>
      <c r="I167">
        <f t="shared" si="16"/>
        <v>0.03</v>
      </c>
      <c r="J167">
        <f t="shared" si="17"/>
        <v>-1.3091904553299116E-2</v>
      </c>
      <c r="K167">
        <f t="shared" si="18"/>
        <v>-0.30000000000000071</v>
      </c>
      <c r="L167">
        <f t="shared" si="19"/>
        <v>-0.2830919045532998</v>
      </c>
      <c r="P167">
        <f t="shared" ref="P167:P191" si="21">G167</f>
        <v>0.1171411171411172</v>
      </c>
    </row>
    <row r="168" spans="1:16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G168">
        <f t="shared" si="15"/>
        <v>9.7017097017097001E-2</v>
      </c>
      <c r="I168">
        <f t="shared" si="16"/>
        <v>0.03</v>
      </c>
      <c r="J168">
        <f t="shared" si="17"/>
        <v>-1.3091904553299116E-2</v>
      </c>
      <c r="K168">
        <f t="shared" si="18"/>
        <v>-0.30000000000000071</v>
      </c>
      <c r="L168">
        <f t="shared" si="19"/>
        <v>-0.2830919045532998</v>
      </c>
      <c r="P168">
        <f t="shared" si="21"/>
        <v>9.7017097017097001E-2</v>
      </c>
    </row>
    <row r="169" spans="1:16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G169">
        <f t="shared" si="15"/>
        <v>0.1142911142911144</v>
      </c>
      <c r="I169">
        <f t="shared" si="16"/>
        <v>0.03</v>
      </c>
      <c r="J169">
        <f t="shared" si="17"/>
        <v>-1.3091904553299116E-2</v>
      </c>
      <c r="K169">
        <f t="shared" si="18"/>
        <v>-0.30000000000000071</v>
      </c>
      <c r="L169">
        <f t="shared" si="19"/>
        <v>-0.2830919045532998</v>
      </c>
      <c r="P169">
        <f t="shared" si="21"/>
        <v>0.1142911142911144</v>
      </c>
    </row>
    <row r="170" spans="1:16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G170">
        <f t="shared" si="15"/>
        <v>0.11204411204411208</v>
      </c>
      <c r="I170">
        <f t="shared" si="16"/>
        <v>0.03</v>
      </c>
      <c r="J170">
        <f t="shared" si="17"/>
        <v>-1.3091904553299116E-2</v>
      </c>
      <c r="K170">
        <f t="shared" si="18"/>
        <v>-0.30000000000000071</v>
      </c>
      <c r="L170">
        <f t="shared" si="19"/>
        <v>-0.2830919045532998</v>
      </c>
      <c r="P170">
        <f t="shared" si="21"/>
        <v>0.11204411204411208</v>
      </c>
    </row>
    <row r="171" spans="1:16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G171">
        <f t="shared" si="15"/>
        <v>0.12794112794112808</v>
      </c>
      <c r="I171">
        <f t="shared" si="16"/>
        <v>0.03</v>
      </c>
      <c r="J171">
        <f t="shared" si="17"/>
        <v>-1.3091904553299116E-2</v>
      </c>
      <c r="K171">
        <f t="shared" si="18"/>
        <v>-0.30000000000000071</v>
      </c>
      <c r="L171">
        <f t="shared" si="19"/>
        <v>-0.2830919045532998</v>
      </c>
      <c r="P171">
        <f t="shared" si="21"/>
        <v>0.12794112794112808</v>
      </c>
    </row>
    <row r="172" spans="1:16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G172">
        <f t="shared" si="15"/>
        <v>3.9654039654039706E-2</v>
      </c>
      <c r="I172">
        <f t="shared" si="16"/>
        <v>0.03</v>
      </c>
      <c r="J172">
        <f t="shared" si="17"/>
        <v>-1.3091904553299116E-2</v>
      </c>
      <c r="K172">
        <f t="shared" si="18"/>
        <v>-0.30000000000000071</v>
      </c>
      <c r="L172">
        <f t="shared" si="19"/>
        <v>-0.2830919045532998</v>
      </c>
      <c r="P172">
        <f t="shared" si="21"/>
        <v>3.9654039654039706E-2</v>
      </c>
    </row>
    <row r="173" spans="1:16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G173">
        <f t="shared" si="15"/>
        <v>9.6456096456096582E-2</v>
      </c>
      <c r="I173">
        <f t="shared" si="16"/>
        <v>0.03</v>
      </c>
      <c r="J173">
        <f t="shared" si="17"/>
        <v>-1.3091904553299116E-2</v>
      </c>
      <c r="K173">
        <f t="shared" si="18"/>
        <v>-0.30000000000000071</v>
      </c>
      <c r="L173">
        <f t="shared" si="19"/>
        <v>-0.2830919045532998</v>
      </c>
      <c r="P173">
        <f t="shared" si="21"/>
        <v>9.6456096456096582E-2</v>
      </c>
    </row>
    <row r="174" spans="1:16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G174">
        <f t="shared" si="15"/>
        <v>8.4594084594084698E-2</v>
      </c>
      <c r="I174">
        <f t="shared" si="16"/>
        <v>0.03</v>
      </c>
      <c r="J174">
        <f t="shared" si="17"/>
        <v>-1.3091904553299116E-2</v>
      </c>
      <c r="K174">
        <f t="shared" si="18"/>
        <v>-0.30000000000000071</v>
      </c>
      <c r="L174">
        <f t="shared" si="19"/>
        <v>-0.2830919045532998</v>
      </c>
      <c r="P174">
        <f t="shared" si="21"/>
        <v>8.4594084594084698E-2</v>
      </c>
    </row>
    <row r="175" spans="1:16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G175">
        <f t="shared" si="15"/>
        <v>0.23499323499323502</v>
      </c>
      <c r="I175">
        <f t="shared" si="16"/>
        <v>1.999999999999999E-2</v>
      </c>
      <c r="J175">
        <f t="shared" si="17"/>
        <v>-4.0906636758499815E-3</v>
      </c>
      <c r="K175">
        <f t="shared" si="18"/>
        <v>5.1000000000000014</v>
      </c>
      <c r="L175">
        <f t="shared" si="19"/>
        <v>5.115909336324151</v>
      </c>
      <c r="P175">
        <f t="shared" si="21"/>
        <v>0.23499323499323502</v>
      </c>
    </row>
    <row r="176" spans="1:16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G176">
        <f t="shared" si="15"/>
        <v>0.10325710325710337</v>
      </c>
      <c r="I176">
        <f t="shared" si="16"/>
        <v>1.999999999999999E-2</v>
      </c>
      <c r="J176">
        <f t="shared" si="17"/>
        <v>-4.0906636758499815E-3</v>
      </c>
      <c r="K176">
        <f t="shared" si="18"/>
        <v>5.1000000000000014</v>
      </c>
      <c r="L176">
        <f t="shared" si="19"/>
        <v>5.115909336324151</v>
      </c>
      <c r="P176">
        <f t="shared" si="21"/>
        <v>0.10325710325710337</v>
      </c>
    </row>
    <row r="177" spans="1:17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G177">
        <f t="shared" si="15"/>
        <v>0.21282921282921294</v>
      </c>
      <c r="I177">
        <f t="shared" si="16"/>
        <v>1.999999999999999E-2</v>
      </c>
      <c r="J177">
        <f t="shared" si="17"/>
        <v>-4.0906636758499815E-3</v>
      </c>
      <c r="K177">
        <f t="shared" si="18"/>
        <v>5.1000000000000014</v>
      </c>
      <c r="L177">
        <f t="shared" si="19"/>
        <v>5.115909336324151</v>
      </c>
      <c r="P177">
        <f t="shared" si="21"/>
        <v>0.21282921282921294</v>
      </c>
    </row>
    <row r="178" spans="1:17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G178">
        <f t="shared" si="15"/>
        <v>0.12303012303012316</v>
      </c>
      <c r="I178">
        <f t="shared" si="16"/>
        <v>1.999999999999999E-2</v>
      </c>
      <c r="J178">
        <f t="shared" si="17"/>
        <v>-4.0906636758499815E-3</v>
      </c>
      <c r="K178">
        <f t="shared" si="18"/>
        <v>5.1000000000000014</v>
      </c>
      <c r="L178">
        <f t="shared" si="19"/>
        <v>5.115909336324151</v>
      </c>
      <c r="P178">
        <f t="shared" si="21"/>
        <v>0.12303012303012316</v>
      </c>
    </row>
    <row r="179" spans="1:17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G179">
        <f t="shared" si="15"/>
        <v>0.17189717189717199</v>
      </c>
      <c r="I179">
        <f t="shared" si="16"/>
        <v>1.999999999999999E-2</v>
      </c>
      <c r="J179">
        <f t="shared" si="17"/>
        <v>-4.0906636758499815E-3</v>
      </c>
      <c r="K179">
        <f t="shared" si="18"/>
        <v>5.1000000000000014</v>
      </c>
      <c r="L179">
        <f t="shared" si="19"/>
        <v>5.115909336324151</v>
      </c>
      <c r="P179">
        <f t="shared" si="21"/>
        <v>0.17189717189717199</v>
      </c>
    </row>
    <row r="180" spans="1:17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G180">
        <f t="shared" si="15"/>
        <v>0.1584421584421585</v>
      </c>
      <c r="I180">
        <f t="shared" si="16"/>
        <v>1.999999999999999E-2</v>
      </c>
      <c r="J180">
        <f t="shared" si="17"/>
        <v>-4.0906636758499815E-3</v>
      </c>
      <c r="K180">
        <f t="shared" si="18"/>
        <v>5.1000000000000014</v>
      </c>
      <c r="L180">
        <f t="shared" si="19"/>
        <v>5.115909336324151</v>
      </c>
      <c r="P180">
        <f t="shared" si="21"/>
        <v>0.1584421584421585</v>
      </c>
    </row>
    <row r="181" spans="1:17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G181">
        <f t="shared" si="15"/>
        <v>7.83060783060784E-2</v>
      </c>
      <c r="I181">
        <f t="shared" si="16"/>
        <v>1.999999999999999E-2</v>
      </c>
      <c r="J181">
        <f t="shared" si="17"/>
        <v>-4.0906636758499815E-3</v>
      </c>
      <c r="K181">
        <f t="shared" si="18"/>
        <v>5.1000000000000014</v>
      </c>
      <c r="L181">
        <f t="shared" si="19"/>
        <v>5.115909336324151</v>
      </c>
      <c r="P181">
        <f t="shared" si="21"/>
        <v>7.83060783060784E-2</v>
      </c>
    </row>
    <row r="182" spans="1:17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G182">
        <f t="shared" si="15"/>
        <v>0.11038811038811053</v>
      </c>
      <c r="I182">
        <f t="shared" si="16"/>
        <v>1.999999999999999E-2</v>
      </c>
      <c r="J182">
        <f t="shared" si="17"/>
        <v>-4.0906636758499815E-3</v>
      </c>
      <c r="K182">
        <f t="shared" si="18"/>
        <v>5.1000000000000014</v>
      </c>
      <c r="L182">
        <f t="shared" si="19"/>
        <v>5.115909336324151</v>
      </c>
      <c r="P182">
        <f t="shared" si="21"/>
        <v>0.11038811038811053</v>
      </c>
    </row>
    <row r="183" spans="1:17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G183">
        <f t="shared" si="15"/>
        <v>9.659109659109659E-2</v>
      </c>
      <c r="I183">
        <f t="shared" si="16"/>
        <v>1.999999999999999E-2</v>
      </c>
      <c r="J183">
        <f t="shared" si="17"/>
        <v>-4.0906636758499815E-3</v>
      </c>
      <c r="K183">
        <f t="shared" si="18"/>
        <v>5.1000000000000014</v>
      </c>
      <c r="L183">
        <f t="shared" si="19"/>
        <v>5.115909336324151</v>
      </c>
      <c r="P183">
        <f t="shared" si="21"/>
        <v>9.659109659109659E-2</v>
      </c>
    </row>
    <row r="184" spans="1:17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G184">
        <f t="shared" si="15"/>
        <v>0.17363417363417374</v>
      </c>
      <c r="I184">
        <f t="shared" si="16"/>
        <v>1.999999999999999E-2</v>
      </c>
      <c r="J184">
        <f t="shared" si="17"/>
        <v>-4.0906636758499815E-3</v>
      </c>
      <c r="K184">
        <f t="shared" si="18"/>
        <v>5.1000000000000014</v>
      </c>
      <c r="L184">
        <f t="shared" si="19"/>
        <v>5.115909336324151</v>
      </c>
      <c r="P184">
        <f t="shared" si="21"/>
        <v>0.17363417363417374</v>
      </c>
    </row>
    <row r="185" spans="1:17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G185">
        <f t="shared" si="15"/>
        <v>0.32979932979932991</v>
      </c>
      <c r="I185">
        <f t="shared" si="16"/>
        <v>1.999999999999999E-2</v>
      </c>
      <c r="J185">
        <f t="shared" si="17"/>
        <v>-4.3491600124449192E-2</v>
      </c>
      <c r="K185">
        <f t="shared" si="18"/>
        <v>10.199999999999999</v>
      </c>
      <c r="L185">
        <f t="shared" si="19"/>
        <v>10.17650839987555</v>
      </c>
      <c r="P185">
        <f t="shared" si="21"/>
        <v>0.32979932979932991</v>
      </c>
    </row>
    <row r="186" spans="1:17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G186">
        <f t="shared" si="15"/>
        <v>0.31899931899931905</v>
      </c>
      <c r="I186">
        <f t="shared" si="16"/>
        <v>1.999999999999999E-2</v>
      </c>
      <c r="J186">
        <f t="shared" si="17"/>
        <v>-4.3491600124449192E-2</v>
      </c>
      <c r="K186">
        <f t="shared" si="18"/>
        <v>10.199999999999999</v>
      </c>
      <c r="L186">
        <f t="shared" si="19"/>
        <v>10.17650839987555</v>
      </c>
      <c r="P186">
        <f t="shared" si="21"/>
        <v>0.31899931899931905</v>
      </c>
    </row>
    <row r="187" spans="1:17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G187">
        <f t="shared" si="15"/>
        <v>0.3282993282993284</v>
      </c>
      <c r="I187">
        <f t="shared" si="16"/>
        <v>1.999999999999999E-2</v>
      </c>
      <c r="J187">
        <f t="shared" si="17"/>
        <v>-4.3491600124449192E-2</v>
      </c>
      <c r="K187">
        <f t="shared" si="18"/>
        <v>10.199999999999999</v>
      </c>
      <c r="L187">
        <f t="shared" si="19"/>
        <v>10.17650839987555</v>
      </c>
      <c r="P187">
        <f t="shared" si="21"/>
        <v>0.3282993282993284</v>
      </c>
    </row>
    <row r="188" spans="1:17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G188">
        <f t="shared" si="15"/>
        <v>0.21579921579921593</v>
      </c>
      <c r="I188">
        <f t="shared" si="16"/>
        <v>1.999999999999999E-2</v>
      </c>
      <c r="J188">
        <f t="shared" si="17"/>
        <v>-4.3491600124449192E-2</v>
      </c>
      <c r="K188">
        <f t="shared" si="18"/>
        <v>10.199999999999999</v>
      </c>
      <c r="L188">
        <f t="shared" si="19"/>
        <v>10.17650839987555</v>
      </c>
      <c r="P188">
        <f t="shared" si="21"/>
        <v>0.21579921579921593</v>
      </c>
    </row>
    <row r="189" spans="1:17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G189">
        <f t="shared" si="15"/>
        <v>0.12459912459912463</v>
      </c>
      <c r="I189">
        <f t="shared" si="16"/>
        <v>1.999999999999999E-2</v>
      </c>
      <c r="J189">
        <f t="shared" si="17"/>
        <v>-4.3491600124449192E-2</v>
      </c>
      <c r="K189">
        <f t="shared" si="18"/>
        <v>10.199999999999999</v>
      </c>
      <c r="L189">
        <f t="shared" si="19"/>
        <v>10.17650839987555</v>
      </c>
      <c r="P189">
        <f t="shared" si="21"/>
        <v>0.12459912459912463</v>
      </c>
    </row>
    <row r="190" spans="1:17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G190">
        <f t="shared" si="15"/>
        <v>0.29289929289929301</v>
      </c>
      <c r="I190">
        <f t="shared" si="16"/>
        <v>1.999999999999999E-2</v>
      </c>
      <c r="J190">
        <f t="shared" si="17"/>
        <v>-4.3491600124449192E-2</v>
      </c>
      <c r="K190">
        <f t="shared" si="18"/>
        <v>10.199999999999999</v>
      </c>
      <c r="L190">
        <f t="shared" si="19"/>
        <v>10.17650839987555</v>
      </c>
      <c r="P190">
        <f t="shared" si="21"/>
        <v>0.29289929289929301</v>
      </c>
    </row>
    <row r="191" spans="1:17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G191">
        <f t="shared" si="15"/>
        <v>0.11949911949911957</v>
      </c>
      <c r="I191">
        <f t="shared" si="16"/>
        <v>1.999999999999999E-2</v>
      </c>
      <c r="J191">
        <f t="shared" si="17"/>
        <v>-4.3491600124449192E-2</v>
      </c>
      <c r="K191">
        <f t="shared" si="18"/>
        <v>10.199999999999999</v>
      </c>
      <c r="L191">
        <f t="shared" si="19"/>
        <v>10.17650839987555</v>
      </c>
      <c r="P191">
        <f t="shared" si="21"/>
        <v>0.11949911949911957</v>
      </c>
    </row>
    <row r="192" spans="1:17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G192">
        <f t="shared" si="15"/>
        <v>0.25837825837825845</v>
      </c>
      <c r="I192">
        <f t="shared" si="16"/>
        <v>1.999999999999999E-2</v>
      </c>
      <c r="J192">
        <f t="shared" si="17"/>
        <v>0.32368517400000041</v>
      </c>
      <c r="K192">
        <f t="shared" si="18"/>
        <v>0.5</v>
      </c>
      <c r="L192">
        <f t="shared" si="19"/>
        <v>0.84368517400000043</v>
      </c>
      <c r="Q192">
        <f t="shared" ref="Q192:Q223" si="22">G192</f>
        <v>0.25837825837825845</v>
      </c>
    </row>
    <row r="193" spans="1:17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G193">
        <f t="shared" si="15"/>
        <v>0.36250536250536258</v>
      </c>
      <c r="I193">
        <f t="shared" si="16"/>
        <v>1.999999999999999E-2</v>
      </c>
      <c r="J193">
        <f t="shared" si="17"/>
        <v>0.32368517400000041</v>
      </c>
      <c r="K193">
        <f t="shared" si="18"/>
        <v>0.5</v>
      </c>
      <c r="L193">
        <f t="shared" si="19"/>
        <v>0.84368517400000043</v>
      </c>
      <c r="Q193">
        <f t="shared" si="22"/>
        <v>0.36250536250536258</v>
      </c>
    </row>
    <row r="194" spans="1:17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G194">
        <f t="shared" si="15"/>
        <v>0.22014622014622015</v>
      </c>
      <c r="I194">
        <f t="shared" si="16"/>
        <v>1.999999999999999E-2</v>
      </c>
      <c r="J194">
        <f t="shared" si="17"/>
        <v>0.32368517400000041</v>
      </c>
      <c r="K194">
        <f t="shared" si="18"/>
        <v>0.5</v>
      </c>
      <c r="L194">
        <f t="shared" si="19"/>
        <v>0.84368517400000043</v>
      </c>
      <c r="Q194">
        <f t="shared" si="22"/>
        <v>0.22014622014622015</v>
      </c>
    </row>
    <row r="195" spans="1:17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G195">
        <f t="shared" ref="G195:G258" si="23">($F$343-F195)/$F$343</f>
        <v>0.1317931317931319</v>
      </c>
      <c r="I195">
        <f t="shared" ref="I195:I258" si="24">(E195-0.17)*$U$2</f>
        <v>1.999999999999999E-2</v>
      </c>
      <c r="J195">
        <f t="shared" ref="J195:J258" si="25">(8-D195)*$U$4</f>
        <v>0.32368517400000041</v>
      </c>
      <c r="K195">
        <f t="shared" ref="K195:K258" si="26">(C195-20)*$U$3</f>
        <v>0.5</v>
      </c>
      <c r="L195">
        <f t="shared" ref="L195:L258" si="27">SUM(I195:K195)</f>
        <v>0.84368517400000043</v>
      </c>
      <c r="Q195">
        <f t="shared" si="22"/>
        <v>0.1317931317931319</v>
      </c>
    </row>
    <row r="196" spans="1:17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G196">
        <f t="shared" si="23"/>
        <v>0.16340416340416344</v>
      </c>
      <c r="I196">
        <f t="shared" si="24"/>
        <v>1.999999999999999E-2</v>
      </c>
      <c r="J196">
        <f t="shared" si="25"/>
        <v>0.32368517400000041</v>
      </c>
      <c r="K196">
        <f t="shared" si="26"/>
        <v>0.5</v>
      </c>
      <c r="L196">
        <f t="shared" si="27"/>
        <v>0.84368517400000043</v>
      </c>
      <c r="Q196">
        <f t="shared" si="22"/>
        <v>0.16340416340416344</v>
      </c>
    </row>
    <row r="197" spans="1:17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G197">
        <f t="shared" si="23"/>
        <v>0.10337710337710337</v>
      </c>
      <c r="I197">
        <f t="shared" si="24"/>
        <v>1.999999999999999E-2</v>
      </c>
      <c r="J197">
        <f t="shared" si="25"/>
        <v>0.32368517400000041</v>
      </c>
      <c r="K197">
        <f t="shared" si="26"/>
        <v>0.5</v>
      </c>
      <c r="L197">
        <f t="shared" si="27"/>
        <v>0.84368517400000043</v>
      </c>
      <c r="Q197">
        <f t="shared" si="22"/>
        <v>0.10337710337710337</v>
      </c>
    </row>
    <row r="198" spans="1:17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G198">
        <f t="shared" si="23"/>
        <v>0.22258222258222263</v>
      </c>
      <c r="I198">
        <f t="shared" si="24"/>
        <v>1.999999999999999E-2</v>
      </c>
      <c r="J198">
        <f t="shared" si="25"/>
        <v>0.32368517400000041</v>
      </c>
      <c r="K198">
        <f t="shared" si="26"/>
        <v>0.5</v>
      </c>
      <c r="L198">
        <f t="shared" si="27"/>
        <v>0.84368517400000043</v>
      </c>
      <c r="Q198">
        <f t="shared" si="22"/>
        <v>0.22258222258222263</v>
      </c>
    </row>
    <row r="199" spans="1:17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G199">
        <f t="shared" si="23"/>
        <v>0.31978531978531982</v>
      </c>
      <c r="I199">
        <f t="shared" si="24"/>
        <v>1.999999999999999E-2</v>
      </c>
      <c r="J199">
        <f t="shared" si="25"/>
        <v>0.32368517400000041</v>
      </c>
      <c r="K199">
        <f t="shared" si="26"/>
        <v>0.5</v>
      </c>
      <c r="L199">
        <f t="shared" si="27"/>
        <v>0.84368517400000043</v>
      </c>
      <c r="Q199">
        <f t="shared" si="22"/>
        <v>0.31978531978531982</v>
      </c>
    </row>
    <row r="200" spans="1:17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G200">
        <f t="shared" si="23"/>
        <v>0.20973620973620982</v>
      </c>
      <c r="I200">
        <f t="shared" si="24"/>
        <v>1.999999999999999E-2</v>
      </c>
      <c r="J200">
        <f t="shared" si="25"/>
        <v>0.32368517400000041</v>
      </c>
      <c r="K200">
        <f t="shared" si="26"/>
        <v>0.5</v>
      </c>
      <c r="L200">
        <f t="shared" si="27"/>
        <v>0.84368517400000043</v>
      </c>
      <c r="Q200">
        <f t="shared" si="22"/>
        <v>0.20973620973620982</v>
      </c>
    </row>
    <row r="201" spans="1:17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G201">
        <f t="shared" si="23"/>
        <v>0.30717630717630728</v>
      </c>
      <c r="I201">
        <f t="shared" si="24"/>
        <v>1.999999999999999E-2</v>
      </c>
      <c r="J201">
        <f t="shared" si="25"/>
        <v>0.32368517400000041</v>
      </c>
      <c r="K201">
        <f t="shared" si="26"/>
        <v>0.5</v>
      </c>
      <c r="L201">
        <f t="shared" si="27"/>
        <v>0.84368517400000043</v>
      </c>
      <c r="Q201">
        <f t="shared" si="22"/>
        <v>0.30717630717630728</v>
      </c>
    </row>
    <row r="202" spans="1:17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G202">
        <f t="shared" si="23"/>
        <v>0.27905127905127919</v>
      </c>
      <c r="I202">
        <f t="shared" si="24"/>
        <v>1.999999999999999E-2</v>
      </c>
      <c r="J202">
        <f t="shared" si="25"/>
        <v>0.32368517400000041</v>
      </c>
      <c r="K202">
        <f t="shared" si="26"/>
        <v>0.5</v>
      </c>
      <c r="L202">
        <f t="shared" si="27"/>
        <v>0.84368517400000043</v>
      </c>
      <c r="Q202">
        <f t="shared" si="22"/>
        <v>0.27905127905127919</v>
      </c>
    </row>
    <row r="203" spans="1:17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G203">
        <f t="shared" si="23"/>
        <v>0.30697530697530706</v>
      </c>
      <c r="I203">
        <f t="shared" si="24"/>
        <v>9.9999999999999811E-3</v>
      </c>
      <c r="J203">
        <f t="shared" si="25"/>
        <v>0.32368517400000041</v>
      </c>
      <c r="K203">
        <f t="shared" si="26"/>
        <v>0.69999999999999929</v>
      </c>
      <c r="L203">
        <f t="shared" si="27"/>
        <v>1.0336851739999997</v>
      </c>
      <c r="Q203">
        <f t="shared" si="22"/>
        <v>0.30697530697530706</v>
      </c>
    </row>
    <row r="204" spans="1:17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G204">
        <f t="shared" si="23"/>
        <v>0.13455913455913457</v>
      </c>
      <c r="I204">
        <f t="shared" si="24"/>
        <v>9.9999999999999811E-3</v>
      </c>
      <c r="J204">
        <f t="shared" si="25"/>
        <v>0.32368517400000041</v>
      </c>
      <c r="K204">
        <f t="shared" si="26"/>
        <v>0.69999999999999929</v>
      </c>
      <c r="L204">
        <f t="shared" si="27"/>
        <v>1.0336851739999997</v>
      </c>
      <c r="Q204">
        <f t="shared" si="22"/>
        <v>0.13455913455913457</v>
      </c>
    </row>
    <row r="205" spans="1:17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G205">
        <f t="shared" si="23"/>
        <v>7.4910074910074981E-2</v>
      </c>
      <c r="I205">
        <f t="shared" si="24"/>
        <v>9.9999999999999811E-3</v>
      </c>
      <c r="J205">
        <f t="shared" si="25"/>
        <v>0.32368517400000041</v>
      </c>
      <c r="K205">
        <f t="shared" si="26"/>
        <v>0.69999999999999929</v>
      </c>
      <c r="L205">
        <f t="shared" si="27"/>
        <v>1.0336851739999997</v>
      </c>
      <c r="Q205">
        <f t="shared" si="22"/>
        <v>7.4910074910074981E-2</v>
      </c>
    </row>
    <row r="206" spans="1:17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G206">
        <f t="shared" si="23"/>
        <v>0.16990816990816995</v>
      </c>
      <c r="I206">
        <f t="shared" si="24"/>
        <v>9.9999999999999811E-3</v>
      </c>
      <c r="J206">
        <f t="shared" si="25"/>
        <v>0.32368517400000041</v>
      </c>
      <c r="K206">
        <f t="shared" si="26"/>
        <v>0.69999999999999929</v>
      </c>
      <c r="L206">
        <f t="shared" si="27"/>
        <v>1.0336851739999997</v>
      </c>
      <c r="Q206">
        <f t="shared" si="22"/>
        <v>0.16990816990816995</v>
      </c>
    </row>
    <row r="207" spans="1:17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G207">
        <f t="shared" si="23"/>
        <v>0.26257226257226257</v>
      </c>
      <c r="I207">
        <f t="shared" si="24"/>
        <v>6.83</v>
      </c>
      <c r="J207">
        <f t="shared" si="25"/>
        <v>3.1491190999999752E-2</v>
      </c>
      <c r="K207">
        <f t="shared" si="26"/>
        <v>0.60000000000000142</v>
      </c>
      <c r="L207">
        <f t="shared" si="27"/>
        <v>7.4614911910000012</v>
      </c>
      <c r="Q207">
        <f t="shared" si="22"/>
        <v>0.26257226257226257</v>
      </c>
    </row>
    <row r="208" spans="1:17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G208">
        <f t="shared" si="23"/>
        <v>0.17667617667617683</v>
      </c>
      <c r="I208">
        <f t="shared" si="24"/>
        <v>6.83</v>
      </c>
      <c r="J208">
        <f t="shared" si="25"/>
        <v>3.1491190999999752E-2</v>
      </c>
      <c r="K208">
        <f t="shared" si="26"/>
        <v>0.60000000000000142</v>
      </c>
      <c r="L208">
        <f t="shared" si="27"/>
        <v>7.4614911910000012</v>
      </c>
      <c r="Q208">
        <f t="shared" si="22"/>
        <v>0.17667617667617683</v>
      </c>
    </row>
    <row r="209" spans="1:17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G209">
        <f t="shared" si="23"/>
        <v>0.33030033030033035</v>
      </c>
      <c r="I209">
        <f t="shared" si="24"/>
        <v>6.83</v>
      </c>
      <c r="J209">
        <f t="shared" si="25"/>
        <v>3.1491190999999752E-2</v>
      </c>
      <c r="K209">
        <f t="shared" si="26"/>
        <v>0.60000000000000142</v>
      </c>
      <c r="L209">
        <f t="shared" si="27"/>
        <v>7.4614911910000012</v>
      </c>
      <c r="Q209">
        <f t="shared" si="22"/>
        <v>0.33030033030033035</v>
      </c>
    </row>
    <row r="210" spans="1:17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G210">
        <f t="shared" si="23"/>
        <v>0.12861312861312871</v>
      </c>
      <c r="I210">
        <f t="shared" si="24"/>
        <v>6.83</v>
      </c>
      <c r="J210">
        <f t="shared" si="25"/>
        <v>3.1491190999999752E-2</v>
      </c>
      <c r="K210">
        <f t="shared" si="26"/>
        <v>0.60000000000000142</v>
      </c>
      <c r="L210">
        <f t="shared" si="27"/>
        <v>7.4614911910000012</v>
      </c>
      <c r="Q210">
        <f t="shared" si="22"/>
        <v>0.12861312861312871</v>
      </c>
    </row>
    <row r="211" spans="1:17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G211">
        <f t="shared" si="23"/>
        <v>0.11312111312111327</v>
      </c>
      <c r="I211">
        <f t="shared" si="24"/>
        <v>6.83</v>
      </c>
      <c r="J211">
        <f t="shared" si="25"/>
        <v>3.1491190999999752E-2</v>
      </c>
      <c r="K211">
        <f t="shared" si="26"/>
        <v>0.60000000000000142</v>
      </c>
      <c r="L211">
        <f t="shared" si="27"/>
        <v>7.4614911910000012</v>
      </c>
      <c r="Q211">
        <f t="shared" si="22"/>
        <v>0.11312111312111327</v>
      </c>
    </row>
    <row r="212" spans="1:17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G212">
        <f t="shared" si="23"/>
        <v>0.10810510810510818</v>
      </c>
      <c r="I212">
        <f t="shared" si="24"/>
        <v>6.83</v>
      </c>
      <c r="J212">
        <f t="shared" si="25"/>
        <v>3.1491190999999752E-2</v>
      </c>
      <c r="K212">
        <f t="shared" si="26"/>
        <v>0.60000000000000142</v>
      </c>
      <c r="L212">
        <f t="shared" si="27"/>
        <v>7.4614911910000012</v>
      </c>
      <c r="Q212">
        <f t="shared" si="22"/>
        <v>0.10810510810510818</v>
      </c>
    </row>
    <row r="213" spans="1:17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G213">
        <f t="shared" si="23"/>
        <v>0.17821217821217836</v>
      </c>
      <c r="I213">
        <f t="shared" si="24"/>
        <v>6.83</v>
      </c>
      <c r="J213">
        <f t="shared" si="25"/>
        <v>3.1491190999999752E-2</v>
      </c>
      <c r="K213">
        <f t="shared" si="26"/>
        <v>0.60000000000000142</v>
      </c>
      <c r="L213">
        <f t="shared" si="27"/>
        <v>7.4614911910000012</v>
      </c>
      <c r="Q213">
        <f t="shared" si="22"/>
        <v>0.17821217821217836</v>
      </c>
    </row>
    <row r="214" spans="1:17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G214">
        <f t="shared" si="23"/>
        <v>0.23441423441423451</v>
      </c>
      <c r="I214">
        <f t="shared" si="24"/>
        <v>6.83</v>
      </c>
      <c r="J214">
        <f t="shared" si="25"/>
        <v>3.1491190999999752E-2</v>
      </c>
      <c r="K214">
        <f t="shared" si="26"/>
        <v>0.60000000000000142</v>
      </c>
      <c r="L214">
        <f t="shared" si="27"/>
        <v>7.4614911910000012</v>
      </c>
      <c r="Q214">
        <f t="shared" si="22"/>
        <v>0.23441423441423451</v>
      </c>
    </row>
    <row r="215" spans="1:17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G215">
        <f t="shared" si="23"/>
        <v>0.22345222345222354</v>
      </c>
      <c r="I215">
        <f t="shared" si="24"/>
        <v>6.83</v>
      </c>
      <c r="J215">
        <f t="shared" si="25"/>
        <v>3.1491190999999752E-2</v>
      </c>
      <c r="K215">
        <f t="shared" si="26"/>
        <v>0.60000000000000142</v>
      </c>
      <c r="L215">
        <f t="shared" si="27"/>
        <v>7.4614911910000012</v>
      </c>
      <c r="Q215">
        <f t="shared" si="22"/>
        <v>0.22345222345222354</v>
      </c>
    </row>
    <row r="216" spans="1:17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G216">
        <f t="shared" si="23"/>
        <v>0.32388632388632399</v>
      </c>
      <c r="I216">
        <f t="shared" si="24"/>
        <v>6.83</v>
      </c>
      <c r="J216">
        <f t="shared" si="25"/>
        <v>3.1491190999999752E-2</v>
      </c>
      <c r="K216">
        <f t="shared" si="26"/>
        <v>0.60000000000000142</v>
      </c>
      <c r="L216">
        <f t="shared" si="27"/>
        <v>7.4614911910000012</v>
      </c>
      <c r="Q216">
        <f t="shared" si="22"/>
        <v>0.32388632388632399</v>
      </c>
    </row>
    <row r="217" spans="1:17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G217">
        <f t="shared" si="23"/>
        <v>0.14104214104214105</v>
      </c>
      <c r="I217">
        <f t="shared" si="24"/>
        <v>7.83</v>
      </c>
      <c r="J217">
        <f t="shared" si="25"/>
        <v>3.1491190999999752E-2</v>
      </c>
      <c r="K217">
        <f t="shared" si="26"/>
        <v>0.5</v>
      </c>
      <c r="L217">
        <f t="shared" si="27"/>
        <v>8.3614911909999989</v>
      </c>
      <c r="Q217">
        <f t="shared" si="22"/>
        <v>0.14104214104214105</v>
      </c>
    </row>
    <row r="218" spans="1:17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G218">
        <f t="shared" si="23"/>
        <v>0.11504111504111514</v>
      </c>
      <c r="I218">
        <f t="shared" si="24"/>
        <v>7.83</v>
      </c>
      <c r="J218">
        <f t="shared" si="25"/>
        <v>3.1491190999999752E-2</v>
      </c>
      <c r="K218">
        <f t="shared" si="26"/>
        <v>0.5</v>
      </c>
      <c r="L218">
        <f t="shared" si="27"/>
        <v>8.3614911909999989</v>
      </c>
      <c r="Q218">
        <f t="shared" si="22"/>
        <v>0.11504111504111514</v>
      </c>
    </row>
    <row r="219" spans="1:17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G219">
        <f t="shared" si="23"/>
        <v>0.20247320247320258</v>
      </c>
      <c r="I219">
        <f t="shared" si="24"/>
        <v>7.83</v>
      </c>
      <c r="J219">
        <f t="shared" si="25"/>
        <v>3.1491190999999752E-2</v>
      </c>
      <c r="K219">
        <f t="shared" si="26"/>
        <v>0.5</v>
      </c>
      <c r="L219">
        <f t="shared" si="27"/>
        <v>8.3614911909999989</v>
      </c>
      <c r="Q219">
        <f t="shared" si="22"/>
        <v>0.20247320247320258</v>
      </c>
    </row>
    <row r="220" spans="1:17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G220">
        <f t="shared" si="23"/>
        <v>0.18697818697818702</v>
      </c>
      <c r="I220">
        <f t="shared" si="24"/>
        <v>7.83</v>
      </c>
      <c r="J220">
        <f t="shared" si="25"/>
        <v>3.1491190999999752E-2</v>
      </c>
      <c r="K220">
        <f t="shared" si="26"/>
        <v>0.5</v>
      </c>
      <c r="L220">
        <f t="shared" si="27"/>
        <v>8.3614911909999989</v>
      </c>
      <c r="Q220">
        <f t="shared" si="22"/>
        <v>0.18697818697818702</v>
      </c>
    </row>
    <row r="221" spans="1:17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G221">
        <f t="shared" si="23"/>
        <v>0.13763113763113766</v>
      </c>
      <c r="I221">
        <f t="shared" si="24"/>
        <v>7.83</v>
      </c>
      <c r="J221">
        <f t="shared" si="25"/>
        <v>3.1491190999999752E-2</v>
      </c>
      <c r="K221">
        <f t="shared" si="26"/>
        <v>0.5</v>
      </c>
      <c r="L221">
        <f t="shared" si="27"/>
        <v>8.3614911909999989</v>
      </c>
      <c r="Q221">
        <f t="shared" si="22"/>
        <v>0.13763113763113766</v>
      </c>
    </row>
    <row r="222" spans="1:17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G222">
        <f t="shared" si="23"/>
        <v>7.3737073737073749E-2</v>
      </c>
      <c r="I222">
        <f t="shared" si="24"/>
        <v>7.83</v>
      </c>
      <c r="J222">
        <f t="shared" si="25"/>
        <v>3.1491190999999752E-2</v>
      </c>
      <c r="K222">
        <f t="shared" si="26"/>
        <v>0.5</v>
      </c>
      <c r="L222">
        <f t="shared" si="27"/>
        <v>8.3614911909999989</v>
      </c>
      <c r="Q222">
        <f t="shared" si="22"/>
        <v>7.3737073737073749E-2</v>
      </c>
    </row>
    <row r="223" spans="1:17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G223">
        <f t="shared" si="23"/>
        <v>3.7203037203037234E-2</v>
      </c>
      <c r="I223">
        <f t="shared" si="24"/>
        <v>7.83</v>
      </c>
      <c r="J223">
        <f t="shared" si="25"/>
        <v>3.1491190999999752E-2</v>
      </c>
      <c r="K223">
        <f t="shared" si="26"/>
        <v>0.5</v>
      </c>
      <c r="L223">
        <f t="shared" si="27"/>
        <v>8.3614911909999989</v>
      </c>
      <c r="Q223">
        <f t="shared" si="22"/>
        <v>3.7203037203037234E-2</v>
      </c>
    </row>
    <row r="224" spans="1:17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G224">
        <f t="shared" si="23"/>
        <v>0.20415020415020416</v>
      </c>
      <c r="I224">
        <f t="shared" si="24"/>
        <v>7.83</v>
      </c>
      <c r="J224">
        <f t="shared" si="25"/>
        <v>3.1491190999999752E-2</v>
      </c>
      <c r="K224">
        <f t="shared" si="26"/>
        <v>0.5</v>
      </c>
      <c r="L224">
        <f t="shared" si="27"/>
        <v>8.3614911909999989</v>
      </c>
      <c r="Q224">
        <f t="shared" ref="Q224:Q255" si="28">G224</f>
        <v>0.20415020415020416</v>
      </c>
    </row>
    <row r="225" spans="1:17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G225">
        <f t="shared" si="23"/>
        <v>0.19727719727719731</v>
      </c>
      <c r="I225">
        <f t="shared" si="24"/>
        <v>0</v>
      </c>
      <c r="J225">
        <f t="shared" si="25"/>
        <v>0.24750613500000007</v>
      </c>
      <c r="K225">
        <f t="shared" si="26"/>
        <v>5.5</v>
      </c>
      <c r="L225">
        <f t="shared" si="27"/>
        <v>5.7475061350000001</v>
      </c>
      <c r="Q225">
        <f t="shared" si="28"/>
        <v>0.19727719727719731</v>
      </c>
    </row>
    <row r="226" spans="1:17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G226">
        <f t="shared" si="23"/>
        <v>2.0073020073020163E-2</v>
      </c>
      <c r="I226">
        <f t="shared" si="24"/>
        <v>0</v>
      </c>
      <c r="J226">
        <f t="shared" si="25"/>
        <v>0.24750613500000007</v>
      </c>
      <c r="K226">
        <f t="shared" si="26"/>
        <v>5.5</v>
      </c>
      <c r="L226">
        <f t="shared" si="27"/>
        <v>5.7475061350000001</v>
      </c>
      <c r="Q226">
        <f t="shared" si="28"/>
        <v>2.0073020073020163E-2</v>
      </c>
    </row>
    <row r="227" spans="1:17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G227">
        <f t="shared" si="23"/>
        <v>0.13100113100113109</v>
      </c>
      <c r="I227">
        <f t="shared" si="24"/>
        <v>0</v>
      </c>
      <c r="J227">
        <f t="shared" si="25"/>
        <v>0.24750613500000007</v>
      </c>
      <c r="K227">
        <f t="shared" si="26"/>
        <v>5.5</v>
      </c>
      <c r="L227">
        <f t="shared" si="27"/>
        <v>5.7475061350000001</v>
      </c>
      <c r="Q227">
        <f t="shared" si="28"/>
        <v>0.13100113100113109</v>
      </c>
    </row>
    <row r="228" spans="1:17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G228">
        <f t="shared" si="23"/>
        <v>0.20960420960420975</v>
      </c>
      <c r="I228">
        <f t="shared" si="24"/>
        <v>0</v>
      </c>
      <c r="J228">
        <f t="shared" si="25"/>
        <v>0.24750613500000007</v>
      </c>
      <c r="K228">
        <f t="shared" si="26"/>
        <v>5.5</v>
      </c>
      <c r="L228">
        <f t="shared" si="27"/>
        <v>5.7475061350000001</v>
      </c>
      <c r="Q228">
        <f t="shared" si="28"/>
        <v>0.20960420960420975</v>
      </c>
    </row>
    <row r="229" spans="1:17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G229">
        <f t="shared" si="23"/>
        <v>9.6078096078096101E-2</v>
      </c>
      <c r="I229">
        <f t="shared" si="24"/>
        <v>0</v>
      </c>
      <c r="J229">
        <f t="shared" si="25"/>
        <v>0.24750613500000007</v>
      </c>
      <c r="K229">
        <f t="shared" si="26"/>
        <v>5.5</v>
      </c>
      <c r="L229">
        <f t="shared" si="27"/>
        <v>5.7475061350000001</v>
      </c>
      <c r="Q229">
        <f t="shared" si="28"/>
        <v>9.6078096078096101E-2</v>
      </c>
    </row>
    <row r="230" spans="1:17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G230">
        <f t="shared" si="23"/>
        <v>0.14110214110214123</v>
      </c>
      <c r="I230">
        <f t="shared" si="24"/>
        <v>0</v>
      </c>
      <c r="J230">
        <f t="shared" si="25"/>
        <v>0.24750613500000007</v>
      </c>
      <c r="K230">
        <f t="shared" si="26"/>
        <v>5.5</v>
      </c>
      <c r="L230">
        <f t="shared" si="27"/>
        <v>5.7475061350000001</v>
      </c>
      <c r="Q230">
        <f t="shared" si="28"/>
        <v>0.14110214110214123</v>
      </c>
    </row>
    <row r="231" spans="1:17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G231">
        <f t="shared" si="23"/>
        <v>1.4343014343014359E-2</v>
      </c>
      <c r="I231">
        <f t="shared" si="24"/>
        <v>0</v>
      </c>
      <c r="J231">
        <f t="shared" si="25"/>
        <v>0.24750613500000007</v>
      </c>
      <c r="K231">
        <f t="shared" si="26"/>
        <v>5.5</v>
      </c>
      <c r="L231">
        <f t="shared" si="27"/>
        <v>5.7475061350000001</v>
      </c>
      <c r="Q231">
        <f t="shared" si="28"/>
        <v>1.4343014343014359E-2</v>
      </c>
    </row>
    <row r="232" spans="1:17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G232">
        <f t="shared" si="23"/>
        <v>0.13047913047913062</v>
      </c>
      <c r="I232">
        <f t="shared" si="24"/>
        <v>0</v>
      </c>
      <c r="J232">
        <f t="shared" si="25"/>
        <v>0.24750613500000007</v>
      </c>
      <c r="K232">
        <f t="shared" si="26"/>
        <v>5.5</v>
      </c>
      <c r="L232">
        <f t="shared" si="27"/>
        <v>5.7475061350000001</v>
      </c>
      <c r="Q232">
        <f t="shared" si="28"/>
        <v>0.13047913047913062</v>
      </c>
    </row>
    <row r="233" spans="1:17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G233">
        <f t="shared" si="23"/>
        <v>6.0534060534060692E-2</v>
      </c>
      <c r="I233">
        <f t="shared" si="24"/>
        <v>0</v>
      </c>
      <c r="J233">
        <f t="shared" si="25"/>
        <v>0.24750613500000007</v>
      </c>
      <c r="K233">
        <f t="shared" si="26"/>
        <v>5.5</v>
      </c>
      <c r="L233">
        <f t="shared" si="27"/>
        <v>5.7475061350000001</v>
      </c>
      <c r="Q233">
        <f t="shared" si="28"/>
        <v>6.0534060534060692E-2</v>
      </c>
    </row>
    <row r="234" spans="1:17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G234">
        <f t="shared" si="23"/>
        <v>4.8807048807048822E-2</v>
      </c>
      <c r="I234">
        <f t="shared" si="24"/>
        <v>0</v>
      </c>
      <c r="J234">
        <f t="shared" si="25"/>
        <v>0.24750613500000007</v>
      </c>
      <c r="K234">
        <f t="shared" si="26"/>
        <v>5.5</v>
      </c>
      <c r="L234">
        <f t="shared" si="27"/>
        <v>5.7475061350000001</v>
      </c>
      <c r="Q234">
        <f t="shared" si="28"/>
        <v>4.8807048807048822E-2</v>
      </c>
    </row>
    <row r="235" spans="1:17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G235">
        <f t="shared" si="23"/>
        <v>0.1012471012471013</v>
      </c>
      <c r="I235">
        <f t="shared" si="24"/>
        <v>0</v>
      </c>
      <c r="J235">
        <f t="shared" si="25"/>
        <v>0.24750613500000007</v>
      </c>
      <c r="K235">
        <f t="shared" si="26"/>
        <v>5.5</v>
      </c>
      <c r="L235">
        <f t="shared" si="27"/>
        <v>5.7475061350000001</v>
      </c>
      <c r="Q235">
        <f t="shared" si="28"/>
        <v>0.1012471012471013</v>
      </c>
    </row>
    <row r="236" spans="1:17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G236">
        <f t="shared" si="23"/>
        <v>0.10315210315210319</v>
      </c>
      <c r="I236">
        <f t="shared" si="24"/>
        <v>0</v>
      </c>
      <c r="J236">
        <f t="shared" si="25"/>
        <v>0.24750613500000007</v>
      </c>
      <c r="K236">
        <f t="shared" si="26"/>
        <v>5.5</v>
      </c>
      <c r="L236">
        <f t="shared" si="27"/>
        <v>5.7475061350000001</v>
      </c>
      <c r="Q236">
        <f t="shared" si="28"/>
        <v>0.10315210315210319</v>
      </c>
    </row>
    <row r="237" spans="1:17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G237">
        <f t="shared" si="23"/>
        <v>0.17132117132117139</v>
      </c>
      <c r="I237">
        <f t="shared" si="24"/>
        <v>9.9999999999999811E-3</v>
      </c>
      <c r="J237">
        <f t="shared" si="25"/>
        <v>0.2408375610000002</v>
      </c>
      <c r="K237">
        <f t="shared" si="26"/>
        <v>5.3999999999999986</v>
      </c>
      <c r="L237">
        <f t="shared" si="27"/>
        <v>5.6508375609999986</v>
      </c>
      <c r="Q237">
        <f t="shared" si="28"/>
        <v>0.17132117132117139</v>
      </c>
    </row>
    <row r="238" spans="1:17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G238">
        <f t="shared" si="23"/>
        <v>0.15905415905415912</v>
      </c>
      <c r="I238">
        <f t="shared" si="24"/>
        <v>9.9999999999999811E-3</v>
      </c>
      <c r="J238">
        <f t="shared" si="25"/>
        <v>0.2408375610000002</v>
      </c>
      <c r="K238">
        <f t="shared" si="26"/>
        <v>5.3999999999999986</v>
      </c>
      <c r="L238">
        <f t="shared" si="27"/>
        <v>5.6508375609999986</v>
      </c>
      <c r="Q238">
        <f t="shared" si="28"/>
        <v>0.15905415905415912</v>
      </c>
    </row>
    <row r="239" spans="1:17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G239">
        <f t="shared" si="23"/>
        <v>5.6358056358056359E-2</v>
      </c>
      <c r="I239">
        <f t="shared" si="24"/>
        <v>9.9999999999999811E-3</v>
      </c>
      <c r="J239">
        <f t="shared" si="25"/>
        <v>0.2408375610000002</v>
      </c>
      <c r="K239">
        <f t="shared" si="26"/>
        <v>5.3999999999999986</v>
      </c>
      <c r="L239">
        <f t="shared" si="27"/>
        <v>5.6508375609999986</v>
      </c>
      <c r="Q239">
        <f t="shared" si="28"/>
        <v>5.6358056358056359E-2</v>
      </c>
    </row>
    <row r="240" spans="1:17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G240">
        <f t="shared" si="23"/>
        <v>0.19703119703119709</v>
      </c>
      <c r="I240">
        <f t="shared" si="24"/>
        <v>9.9999999999999811E-3</v>
      </c>
      <c r="J240">
        <f t="shared" si="25"/>
        <v>0.2408375610000002</v>
      </c>
      <c r="K240">
        <f t="shared" si="26"/>
        <v>5.3999999999999986</v>
      </c>
      <c r="L240">
        <f t="shared" si="27"/>
        <v>5.6508375609999986</v>
      </c>
      <c r="Q240">
        <f t="shared" si="28"/>
        <v>0.19703119703119709</v>
      </c>
    </row>
    <row r="241" spans="1:17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G241">
        <f t="shared" si="23"/>
        <v>0.15677415677415688</v>
      </c>
      <c r="I241">
        <f t="shared" si="24"/>
        <v>9.9999999999999811E-3</v>
      </c>
      <c r="J241">
        <f t="shared" si="25"/>
        <v>0.2408375610000002</v>
      </c>
      <c r="K241">
        <f t="shared" si="26"/>
        <v>5.3999999999999986</v>
      </c>
      <c r="L241">
        <f t="shared" si="27"/>
        <v>5.6508375609999986</v>
      </c>
      <c r="Q241">
        <f t="shared" si="28"/>
        <v>0.15677415677415688</v>
      </c>
    </row>
    <row r="242" spans="1:17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G242">
        <f t="shared" si="23"/>
        <v>0.11691611691611702</v>
      </c>
      <c r="I242">
        <f t="shared" si="24"/>
        <v>9.9999999999999811E-3</v>
      </c>
      <c r="J242">
        <f t="shared" si="25"/>
        <v>0.2408375610000002</v>
      </c>
      <c r="K242">
        <f t="shared" si="26"/>
        <v>5.3999999999999986</v>
      </c>
      <c r="L242">
        <f t="shared" si="27"/>
        <v>5.6508375609999986</v>
      </c>
      <c r="Q242">
        <f t="shared" si="28"/>
        <v>0.11691611691611702</v>
      </c>
    </row>
    <row r="243" spans="1:17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G243">
        <f t="shared" si="23"/>
        <v>0.14549114549114553</v>
      </c>
      <c r="I243">
        <f t="shared" si="24"/>
        <v>9.9999999999999811E-3</v>
      </c>
      <c r="J243">
        <f t="shared" si="25"/>
        <v>0.2408375610000002</v>
      </c>
      <c r="K243">
        <f t="shared" si="26"/>
        <v>5.3999999999999986</v>
      </c>
      <c r="L243">
        <f t="shared" si="27"/>
        <v>5.6508375609999986</v>
      </c>
      <c r="Q243">
        <f t="shared" si="28"/>
        <v>0.14549114549114553</v>
      </c>
    </row>
    <row r="244" spans="1:17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G244">
        <f t="shared" si="23"/>
        <v>0.16092016092016104</v>
      </c>
      <c r="I244">
        <f t="shared" si="24"/>
        <v>9.9999999999999811E-3</v>
      </c>
      <c r="J244">
        <f t="shared" si="25"/>
        <v>0.2408375610000002</v>
      </c>
      <c r="K244">
        <f t="shared" si="26"/>
        <v>5.3999999999999986</v>
      </c>
      <c r="L244">
        <f t="shared" si="27"/>
        <v>5.6508375609999986</v>
      </c>
      <c r="Q244">
        <f t="shared" si="28"/>
        <v>0.16092016092016104</v>
      </c>
    </row>
    <row r="245" spans="1:17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G245">
        <f t="shared" si="23"/>
        <v>0.12416112416112415</v>
      </c>
      <c r="I245">
        <f t="shared" si="24"/>
        <v>9.9999999999999811E-3</v>
      </c>
      <c r="J245">
        <f t="shared" si="25"/>
        <v>0.2408375610000002</v>
      </c>
      <c r="K245">
        <f t="shared" si="26"/>
        <v>5.3999999999999986</v>
      </c>
      <c r="L245">
        <f t="shared" si="27"/>
        <v>5.6508375609999986</v>
      </c>
      <c r="Q245">
        <f t="shared" si="28"/>
        <v>0.12416112416112415</v>
      </c>
    </row>
    <row r="246" spans="1:17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G246">
        <f t="shared" si="23"/>
        <v>0.11270111270111272</v>
      </c>
      <c r="I246">
        <f t="shared" si="24"/>
        <v>9.9999999999999811E-3</v>
      </c>
      <c r="J246">
        <f t="shared" si="25"/>
        <v>0.2408375610000002</v>
      </c>
      <c r="K246">
        <f t="shared" si="26"/>
        <v>5.3999999999999986</v>
      </c>
      <c r="L246">
        <f t="shared" si="27"/>
        <v>5.6508375609999986</v>
      </c>
      <c r="Q246">
        <f t="shared" si="28"/>
        <v>0.11270111270111272</v>
      </c>
    </row>
    <row r="247" spans="1:17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G247">
        <f t="shared" si="23"/>
        <v>0.14176814176814184</v>
      </c>
      <c r="I247">
        <f t="shared" si="24"/>
        <v>9.9999999999999811E-3</v>
      </c>
      <c r="J247">
        <f t="shared" si="25"/>
        <v>0.2408375610000002</v>
      </c>
      <c r="K247">
        <f t="shared" si="26"/>
        <v>5.3999999999999986</v>
      </c>
      <c r="L247">
        <f t="shared" si="27"/>
        <v>5.6508375609999986</v>
      </c>
      <c r="Q247">
        <f t="shared" si="28"/>
        <v>0.14176814176814184</v>
      </c>
    </row>
    <row r="248" spans="1:17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G248">
        <f t="shared" si="23"/>
        <v>0.24393324393324403</v>
      </c>
      <c r="I248">
        <f t="shared" si="24"/>
        <v>9.9999999999999811E-3</v>
      </c>
      <c r="J248">
        <f t="shared" si="25"/>
        <v>0.2408375610000002</v>
      </c>
      <c r="K248">
        <f t="shared" si="26"/>
        <v>5.3999999999999986</v>
      </c>
      <c r="L248">
        <f t="shared" si="27"/>
        <v>5.6508375609999986</v>
      </c>
      <c r="Q248">
        <f t="shared" si="28"/>
        <v>0.24393324393324403</v>
      </c>
    </row>
    <row r="249" spans="1:17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G249">
        <f t="shared" si="23"/>
        <v>7.855207855207863E-2</v>
      </c>
      <c r="I249">
        <f t="shared" si="24"/>
        <v>9.9999999999999811E-3</v>
      </c>
      <c r="J249">
        <f t="shared" si="25"/>
        <v>0.2408375610000002</v>
      </c>
      <c r="K249">
        <f t="shared" si="26"/>
        <v>5.3999999999999986</v>
      </c>
      <c r="L249">
        <f t="shared" si="27"/>
        <v>5.6508375609999986</v>
      </c>
      <c r="Q249">
        <f t="shared" si="28"/>
        <v>7.855207855207863E-2</v>
      </c>
    </row>
    <row r="250" spans="1:17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G250">
        <f t="shared" si="23"/>
        <v>0.13231213231213243</v>
      </c>
      <c r="I250">
        <f t="shared" si="24"/>
        <v>9.9999999999999811E-3</v>
      </c>
      <c r="J250">
        <f t="shared" si="25"/>
        <v>0.2408375610000002</v>
      </c>
      <c r="K250">
        <f t="shared" si="26"/>
        <v>5.3999999999999986</v>
      </c>
      <c r="L250">
        <f t="shared" si="27"/>
        <v>5.6508375609999986</v>
      </c>
      <c r="Q250">
        <f t="shared" si="28"/>
        <v>0.13231213231213243</v>
      </c>
    </row>
    <row r="251" spans="1:17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G251">
        <f t="shared" si="23"/>
        <v>8.1444081444081509E-2</v>
      </c>
      <c r="I251">
        <f t="shared" si="24"/>
        <v>9.9999999999999811E-3</v>
      </c>
      <c r="J251">
        <f t="shared" si="25"/>
        <v>0.2408375610000002</v>
      </c>
      <c r="K251">
        <f t="shared" si="26"/>
        <v>5.3999999999999986</v>
      </c>
      <c r="L251">
        <f t="shared" si="27"/>
        <v>5.6508375609999986</v>
      </c>
      <c r="Q251">
        <f t="shared" si="28"/>
        <v>8.1444081444081509E-2</v>
      </c>
    </row>
    <row r="252" spans="1:17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G252">
        <f t="shared" si="23"/>
        <v>0.19050319050319059</v>
      </c>
      <c r="I252">
        <f t="shared" si="24"/>
        <v>6.83</v>
      </c>
      <c r="J252">
        <f t="shared" si="25"/>
        <v>2.6772076000000311E-2</v>
      </c>
      <c r="K252">
        <f t="shared" si="26"/>
        <v>5.3999999999999986</v>
      </c>
      <c r="L252">
        <f t="shared" si="27"/>
        <v>12.256772075999999</v>
      </c>
      <c r="Q252">
        <f t="shared" si="28"/>
        <v>0.19050319050319059</v>
      </c>
    </row>
    <row r="253" spans="1:17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G253">
        <f t="shared" si="23"/>
        <v>0.15411915411915425</v>
      </c>
      <c r="I253">
        <f t="shared" si="24"/>
        <v>6.83</v>
      </c>
      <c r="J253">
        <f t="shared" si="25"/>
        <v>2.6772076000000311E-2</v>
      </c>
      <c r="K253">
        <f t="shared" si="26"/>
        <v>5.3999999999999986</v>
      </c>
      <c r="L253">
        <f t="shared" si="27"/>
        <v>12.256772075999999</v>
      </c>
      <c r="Q253">
        <f t="shared" si="28"/>
        <v>0.15411915411915425</v>
      </c>
    </row>
    <row r="254" spans="1:17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G254">
        <f t="shared" si="23"/>
        <v>0.27693627693627693</v>
      </c>
      <c r="I254">
        <f t="shared" si="24"/>
        <v>6.83</v>
      </c>
      <c r="J254">
        <f t="shared" si="25"/>
        <v>2.6772076000000311E-2</v>
      </c>
      <c r="K254">
        <f t="shared" si="26"/>
        <v>5.3999999999999986</v>
      </c>
      <c r="L254">
        <f t="shared" si="27"/>
        <v>12.256772075999999</v>
      </c>
      <c r="Q254">
        <f t="shared" si="28"/>
        <v>0.27693627693627693</v>
      </c>
    </row>
    <row r="255" spans="1:17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G255">
        <f t="shared" si="23"/>
        <v>0.14572514572514586</v>
      </c>
      <c r="I255">
        <f t="shared" si="24"/>
        <v>6.83</v>
      </c>
      <c r="J255">
        <f t="shared" si="25"/>
        <v>2.6772076000000311E-2</v>
      </c>
      <c r="K255">
        <f t="shared" si="26"/>
        <v>5.3999999999999986</v>
      </c>
      <c r="L255">
        <f t="shared" si="27"/>
        <v>12.256772075999999</v>
      </c>
      <c r="Q255">
        <f t="shared" si="28"/>
        <v>0.14572514572514586</v>
      </c>
    </row>
    <row r="256" spans="1:17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G256">
        <f t="shared" si="23"/>
        <v>0.10215010215010217</v>
      </c>
      <c r="I256">
        <f t="shared" si="24"/>
        <v>6.83</v>
      </c>
      <c r="J256">
        <f t="shared" si="25"/>
        <v>2.6772076000000311E-2</v>
      </c>
      <c r="K256">
        <f t="shared" si="26"/>
        <v>5.3999999999999986</v>
      </c>
      <c r="L256">
        <f t="shared" si="27"/>
        <v>12.256772075999999</v>
      </c>
      <c r="Q256">
        <f t="shared" ref="Q256:Q287" si="29">G256</f>
        <v>0.10215010215010217</v>
      </c>
    </row>
    <row r="257" spans="1:17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G257">
        <f t="shared" si="23"/>
        <v>0.15085515085515092</v>
      </c>
      <c r="I257">
        <f t="shared" si="24"/>
        <v>6.83</v>
      </c>
      <c r="J257">
        <f t="shared" si="25"/>
        <v>2.6772076000000311E-2</v>
      </c>
      <c r="K257">
        <f t="shared" si="26"/>
        <v>5.3999999999999986</v>
      </c>
      <c r="L257">
        <f t="shared" si="27"/>
        <v>12.256772075999999</v>
      </c>
      <c r="Q257">
        <f t="shared" si="29"/>
        <v>0.15085515085515092</v>
      </c>
    </row>
    <row r="258" spans="1:17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G258">
        <f t="shared" si="23"/>
        <v>0.1175791175791177</v>
      </c>
      <c r="I258">
        <f t="shared" si="24"/>
        <v>6.83</v>
      </c>
      <c r="J258">
        <f t="shared" si="25"/>
        <v>2.6772076000000311E-2</v>
      </c>
      <c r="K258">
        <f t="shared" si="26"/>
        <v>5.3999999999999986</v>
      </c>
      <c r="L258">
        <f t="shared" si="27"/>
        <v>12.256772075999999</v>
      </c>
      <c r="Q258">
        <f t="shared" si="29"/>
        <v>0.1175791175791177</v>
      </c>
    </row>
    <row r="259" spans="1:17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G259">
        <f t="shared" ref="G259:G322" si="30">($F$343-F259)/$F$343</f>
        <v>0.18104718104718118</v>
      </c>
      <c r="I259">
        <f t="shared" ref="I259:I322" si="31">(E259-0.17)*$U$2</f>
        <v>6.83</v>
      </c>
      <c r="J259">
        <f t="shared" ref="J259:J322" si="32">(8-D259)*$U$4</f>
        <v>2.6772076000000311E-2</v>
      </c>
      <c r="K259">
        <f t="shared" ref="K259:K322" si="33">(C259-20)*$U$3</f>
        <v>5.3999999999999986</v>
      </c>
      <c r="L259">
        <f t="shared" ref="L259:L322" si="34">SUM(I259:K259)</f>
        <v>12.256772075999999</v>
      </c>
      <c r="Q259">
        <f t="shared" si="29"/>
        <v>0.18104718104718118</v>
      </c>
    </row>
    <row r="260" spans="1:17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G260">
        <f t="shared" si="30"/>
        <v>7.0062070062070186E-2</v>
      </c>
      <c r="I260">
        <f t="shared" si="31"/>
        <v>6.83</v>
      </c>
      <c r="J260">
        <f t="shared" si="32"/>
        <v>2.6772076000000311E-2</v>
      </c>
      <c r="K260">
        <f t="shared" si="33"/>
        <v>5.3999999999999986</v>
      </c>
      <c r="L260">
        <f t="shared" si="34"/>
        <v>12.256772075999999</v>
      </c>
      <c r="Q260">
        <f t="shared" si="29"/>
        <v>7.0062070062070186E-2</v>
      </c>
    </row>
    <row r="261" spans="1:17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G261">
        <f t="shared" si="30"/>
        <v>7.4181074181074266E-2</v>
      </c>
      <c r="I261">
        <f t="shared" si="31"/>
        <v>6.83</v>
      </c>
      <c r="J261">
        <f t="shared" si="32"/>
        <v>2.6772076000000311E-2</v>
      </c>
      <c r="K261">
        <f t="shared" si="33"/>
        <v>5.3999999999999986</v>
      </c>
      <c r="L261">
        <f t="shared" si="34"/>
        <v>12.256772075999999</v>
      </c>
      <c r="Q261">
        <f t="shared" si="29"/>
        <v>7.4181074181074266E-2</v>
      </c>
    </row>
    <row r="262" spans="1:17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G262">
        <f t="shared" si="30"/>
        <v>0.14717714717714725</v>
      </c>
      <c r="I262">
        <f t="shared" si="31"/>
        <v>6.83</v>
      </c>
      <c r="J262">
        <f t="shared" si="32"/>
        <v>2.6772076000000311E-2</v>
      </c>
      <c r="K262">
        <f t="shared" si="33"/>
        <v>5.3999999999999986</v>
      </c>
      <c r="L262">
        <f t="shared" si="34"/>
        <v>12.256772075999999</v>
      </c>
      <c r="Q262">
        <f t="shared" si="29"/>
        <v>0.14717714717714725</v>
      </c>
    </row>
    <row r="263" spans="1:17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G263">
        <f t="shared" si="30"/>
        <v>7.3629073629073644E-2</v>
      </c>
      <c r="I263">
        <f t="shared" si="31"/>
        <v>6.83</v>
      </c>
      <c r="J263">
        <f t="shared" si="32"/>
        <v>2.4834440000000235E-2</v>
      </c>
      <c r="K263">
        <f t="shared" si="33"/>
        <v>5.3000000000000007</v>
      </c>
      <c r="L263">
        <f t="shared" si="34"/>
        <v>12.154834440000002</v>
      </c>
      <c r="Q263">
        <f t="shared" si="29"/>
        <v>7.3629073629073644E-2</v>
      </c>
    </row>
    <row r="264" spans="1:17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G264">
        <f t="shared" si="30"/>
        <v>0.13739713739713749</v>
      </c>
      <c r="I264">
        <f t="shared" si="31"/>
        <v>6.83</v>
      </c>
      <c r="J264">
        <f t="shared" si="32"/>
        <v>2.4834440000000235E-2</v>
      </c>
      <c r="K264">
        <f t="shared" si="33"/>
        <v>5.3000000000000007</v>
      </c>
      <c r="L264">
        <f t="shared" si="34"/>
        <v>12.154834440000002</v>
      </c>
      <c r="Q264">
        <f t="shared" si="29"/>
        <v>0.13739713739713749</v>
      </c>
    </row>
    <row r="265" spans="1:17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G265">
        <f t="shared" si="30"/>
        <v>8.94750894750896E-2</v>
      </c>
      <c r="I265">
        <f t="shared" si="31"/>
        <v>6.83</v>
      </c>
      <c r="J265">
        <f t="shared" si="32"/>
        <v>2.4834440000000235E-2</v>
      </c>
      <c r="K265">
        <f t="shared" si="33"/>
        <v>5.3000000000000007</v>
      </c>
      <c r="L265">
        <f t="shared" si="34"/>
        <v>12.154834440000002</v>
      </c>
      <c r="Q265">
        <f t="shared" si="29"/>
        <v>8.94750894750896E-2</v>
      </c>
    </row>
    <row r="266" spans="1:17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G266">
        <f t="shared" si="30"/>
        <v>0.12066312066312067</v>
      </c>
      <c r="I266">
        <f t="shared" si="31"/>
        <v>6.83</v>
      </c>
      <c r="J266">
        <f t="shared" si="32"/>
        <v>2.4834440000000235E-2</v>
      </c>
      <c r="K266">
        <f t="shared" si="33"/>
        <v>5.3000000000000007</v>
      </c>
      <c r="L266">
        <f t="shared" si="34"/>
        <v>12.154834440000002</v>
      </c>
      <c r="Q266">
        <f t="shared" si="29"/>
        <v>0.12066312066312067</v>
      </c>
    </row>
    <row r="267" spans="1:17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G267">
        <f t="shared" si="30"/>
        <v>0.2465672465672466</v>
      </c>
      <c r="I267">
        <f t="shared" si="31"/>
        <v>6.83</v>
      </c>
      <c r="J267">
        <f t="shared" si="32"/>
        <v>2.4834440000000235E-2</v>
      </c>
      <c r="K267">
        <f t="shared" si="33"/>
        <v>5.3000000000000007</v>
      </c>
      <c r="L267">
        <f t="shared" si="34"/>
        <v>12.154834440000002</v>
      </c>
      <c r="Q267">
        <f t="shared" si="29"/>
        <v>0.2465672465672466</v>
      </c>
    </row>
    <row r="268" spans="1:17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G268">
        <f t="shared" si="30"/>
        <v>0.15322815322815328</v>
      </c>
      <c r="I268">
        <f t="shared" si="31"/>
        <v>6.83</v>
      </c>
      <c r="J268">
        <f t="shared" si="32"/>
        <v>2.4834440000000235E-2</v>
      </c>
      <c r="K268">
        <f t="shared" si="33"/>
        <v>5.3000000000000007</v>
      </c>
      <c r="L268">
        <f t="shared" si="34"/>
        <v>12.154834440000002</v>
      </c>
      <c r="Q268">
        <f t="shared" si="29"/>
        <v>0.15322815322815328</v>
      </c>
    </row>
    <row r="269" spans="1:17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G269">
        <f t="shared" si="30"/>
        <v>0.26970926970926973</v>
      </c>
      <c r="I269">
        <f t="shared" si="31"/>
        <v>6.83</v>
      </c>
      <c r="J269">
        <f t="shared" si="32"/>
        <v>2.4834440000000235E-2</v>
      </c>
      <c r="K269">
        <f t="shared" si="33"/>
        <v>5.3000000000000007</v>
      </c>
      <c r="L269">
        <f t="shared" si="34"/>
        <v>12.154834440000002</v>
      </c>
      <c r="Q269">
        <f t="shared" si="29"/>
        <v>0.26970926970926973</v>
      </c>
    </row>
    <row r="270" spans="1:17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G270">
        <f t="shared" si="30"/>
        <v>0.15381915381915387</v>
      </c>
      <c r="I270">
        <f t="shared" si="31"/>
        <v>6.83</v>
      </c>
      <c r="J270">
        <f t="shared" si="32"/>
        <v>2.4834440000000235E-2</v>
      </c>
      <c r="K270">
        <f t="shared" si="33"/>
        <v>5.3000000000000007</v>
      </c>
      <c r="L270">
        <f t="shared" si="34"/>
        <v>12.154834440000002</v>
      </c>
      <c r="Q270">
        <f t="shared" si="29"/>
        <v>0.15381915381915387</v>
      </c>
    </row>
    <row r="271" spans="1:17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G271">
        <f t="shared" si="30"/>
        <v>0.25558525558525569</v>
      </c>
      <c r="I271">
        <f t="shared" si="31"/>
        <v>9.9999999999999811E-3</v>
      </c>
      <c r="J271">
        <f t="shared" si="32"/>
        <v>3.7116787000000429E-2</v>
      </c>
      <c r="K271">
        <f t="shared" si="33"/>
        <v>0.89999999999999858</v>
      </c>
      <c r="L271">
        <f t="shared" si="34"/>
        <v>0.94711678699999902</v>
      </c>
      <c r="Q271">
        <f t="shared" si="29"/>
        <v>0.25558525558525569</v>
      </c>
    </row>
    <row r="272" spans="1:17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G272">
        <f t="shared" si="30"/>
        <v>0.23082323082323089</v>
      </c>
      <c r="I272">
        <f t="shared" si="31"/>
        <v>9.9999999999999811E-3</v>
      </c>
      <c r="J272">
        <f t="shared" si="32"/>
        <v>3.7116787000000429E-2</v>
      </c>
      <c r="K272">
        <f t="shared" si="33"/>
        <v>0.89999999999999858</v>
      </c>
      <c r="L272">
        <f t="shared" si="34"/>
        <v>0.94711678699999902</v>
      </c>
      <c r="Q272">
        <f t="shared" si="29"/>
        <v>0.23082323082323089</v>
      </c>
    </row>
    <row r="273" spans="1:17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G273">
        <f t="shared" si="30"/>
        <v>0.20715320715320726</v>
      </c>
      <c r="I273">
        <f t="shared" si="31"/>
        <v>9.9999999999999811E-3</v>
      </c>
      <c r="J273">
        <f t="shared" si="32"/>
        <v>3.7116787000000429E-2</v>
      </c>
      <c r="K273">
        <f t="shared" si="33"/>
        <v>0.89999999999999858</v>
      </c>
      <c r="L273">
        <f t="shared" si="34"/>
        <v>0.94711678699999902</v>
      </c>
      <c r="Q273">
        <f t="shared" si="29"/>
        <v>0.20715320715320726</v>
      </c>
    </row>
    <row r="274" spans="1:17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G274">
        <f t="shared" si="30"/>
        <v>0.22769122769122782</v>
      </c>
      <c r="I274">
        <f t="shared" si="31"/>
        <v>9.9999999999999811E-3</v>
      </c>
      <c r="J274">
        <f t="shared" si="32"/>
        <v>3.7116787000000429E-2</v>
      </c>
      <c r="K274">
        <f t="shared" si="33"/>
        <v>0.89999999999999858</v>
      </c>
      <c r="L274">
        <f t="shared" si="34"/>
        <v>0.94711678699999902</v>
      </c>
      <c r="Q274">
        <f t="shared" si="29"/>
        <v>0.22769122769122782</v>
      </c>
    </row>
    <row r="275" spans="1:17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G275">
        <f t="shared" si="30"/>
        <v>0.22735822735822733</v>
      </c>
      <c r="I275">
        <f t="shared" si="31"/>
        <v>9.9999999999999811E-3</v>
      </c>
      <c r="J275">
        <f t="shared" si="32"/>
        <v>3.7116787000000429E-2</v>
      </c>
      <c r="K275">
        <f t="shared" si="33"/>
        <v>0.89999999999999858</v>
      </c>
      <c r="L275">
        <f t="shared" si="34"/>
        <v>0.94711678699999902</v>
      </c>
      <c r="Q275">
        <f t="shared" si="29"/>
        <v>0.22735822735822733</v>
      </c>
    </row>
    <row r="276" spans="1:17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G276">
        <f t="shared" si="30"/>
        <v>0.22098022098022105</v>
      </c>
      <c r="I276">
        <f t="shared" si="31"/>
        <v>9.9999999999999811E-3</v>
      </c>
      <c r="J276">
        <f t="shared" si="32"/>
        <v>3.7116787000000429E-2</v>
      </c>
      <c r="K276">
        <f t="shared" si="33"/>
        <v>0.89999999999999858</v>
      </c>
      <c r="L276">
        <f t="shared" si="34"/>
        <v>0.94711678699999902</v>
      </c>
      <c r="Q276">
        <f t="shared" si="29"/>
        <v>0.22098022098022105</v>
      </c>
    </row>
    <row r="277" spans="1:17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G277">
        <f t="shared" si="30"/>
        <v>0.23842223842223853</v>
      </c>
      <c r="I277">
        <f t="shared" si="31"/>
        <v>9.9999999999999811E-3</v>
      </c>
      <c r="J277">
        <f t="shared" si="32"/>
        <v>3.7116787000000429E-2</v>
      </c>
      <c r="K277">
        <f t="shared" si="33"/>
        <v>0.89999999999999858</v>
      </c>
      <c r="L277">
        <f t="shared" si="34"/>
        <v>0.94711678699999902</v>
      </c>
      <c r="Q277">
        <f t="shared" si="29"/>
        <v>0.23842223842223853</v>
      </c>
    </row>
    <row r="278" spans="1:17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G278">
        <f t="shared" si="30"/>
        <v>0.22718122718122727</v>
      </c>
      <c r="I278">
        <f t="shared" si="31"/>
        <v>9.9999999999999811E-3</v>
      </c>
      <c r="J278">
        <f t="shared" si="32"/>
        <v>3.7116787000000429E-2</v>
      </c>
      <c r="K278">
        <f t="shared" si="33"/>
        <v>0.89999999999999858</v>
      </c>
      <c r="L278">
        <f t="shared" si="34"/>
        <v>0.94711678699999902</v>
      </c>
      <c r="Q278">
        <f t="shared" si="29"/>
        <v>0.22718122718122727</v>
      </c>
    </row>
    <row r="279" spans="1:17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G279">
        <f t="shared" si="30"/>
        <v>0.2756972756972757</v>
      </c>
      <c r="I279">
        <f t="shared" si="31"/>
        <v>9.9999999999999811E-3</v>
      </c>
      <c r="J279">
        <f t="shared" si="32"/>
        <v>3.7116787000000429E-2</v>
      </c>
      <c r="K279">
        <f t="shared" si="33"/>
        <v>0.89999999999999858</v>
      </c>
      <c r="L279">
        <f t="shared" si="34"/>
        <v>0.94711678699999902</v>
      </c>
      <c r="Q279">
        <f t="shared" si="29"/>
        <v>0.2756972756972757</v>
      </c>
    </row>
    <row r="280" spans="1:17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G280">
        <f t="shared" si="30"/>
        <v>0.11672411672411676</v>
      </c>
      <c r="I280">
        <f t="shared" si="31"/>
        <v>9.9999999999999811E-3</v>
      </c>
      <c r="J280">
        <f t="shared" si="32"/>
        <v>2.8435468999999713E-2</v>
      </c>
      <c r="K280">
        <f t="shared" si="33"/>
        <v>0.69999999999999929</v>
      </c>
      <c r="L280">
        <f t="shared" si="34"/>
        <v>0.73843546899999901</v>
      </c>
      <c r="Q280">
        <f t="shared" si="29"/>
        <v>0.11672411672411676</v>
      </c>
    </row>
    <row r="281" spans="1:17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G281">
        <f t="shared" si="30"/>
        <v>0.11248811248811259</v>
      </c>
      <c r="I281">
        <f t="shared" si="31"/>
        <v>9.9999999999999811E-3</v>
      </c>
      <c r="J281">
        <f t="shared" si="32"/>
        <v>2.8435468999999713E-2</v>
      </c>
      <c r="K281">
        <f t="shared" si="33"/>
        <v>0.69999999999999929</v>
      </c>
      <c r="L281">
        <f t="shared" si="34"/>
        <v>0.73843546899999901</v>
      </c>
      <c r="Q281">
        <f t="shared" si="29"/>
        <v>0.11248811248811259</v>
      </c>
    </row>
    <row r="282" spans="1:17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G282">
        <f t="shared" si="30"/>
        <v>0.10500610500610502</v>
      </c>
      <c r="I282">
        <f t="shared" si="31"/>
        <v>9.9999999999999811E-3</v>
      </c>
      <c r="J282">
        <f t="shared" si="32"/>
        <v>2.8435468999999713E-2</v>
      </c>
      <c r="K282">
        <f t="shared" si="33"/>
        <v>0.69999999999999929</v>
      </c>
      <c r="L282">
        <f t="shared" si="34"/>
        <v>0.73843546899999901</v>
      </c>
      <c r="Q282">
        <f t="shared" si="29"/>
        <v>0.10500610500610502</v>
      </c>
    </row>
    <row r="283" spans="1:17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G283">
        <f t="shared" si="30"/>
        <v>6.7614067614067644E-2</v>
      </c>
      <c r="I283">
        <f t="shared" si="31"/>
        <v>9.9999999999999811E-3</v>
      </c>
      <c r="J283">
        <f t="shared" si="32"/>
        <v>2.8435468999999713E-2</v>
      </c>
      <c r="K283">
        <f t="shared" si="33"/>
        <v>0.69999999999999929</v>
      </c>
      <c r="L283">
        <f t="shared" si="34"/>
        <v>0.73843546899999901</v>
      </c>
      <c r="Q283">
        <f t="shared" si="29"/>
        <v>6.7614067614067644E-2</v>
      </c>
    </row>
    <row r="284" spans="1:17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G284">
        <f t="shared" si="30"/>
        <v>9.0486090486090576E-2</v>
      </c>
      <c r="I284">
        <f t="shared" si="31"/>
        <v>9.9999999999999811E-3</v>
      </c>
      <c r="J284">
        <f t="shared" si="32"/>
        <v>2.8435468999999713E-2</v>
      </c>
      <c r="K284">
        <f t="shared" si="33"/>
        <v>0.69999999999999929</v>
      </c>
      <c r="L284">
        <f t="shared" si="34"/>
        <v>0.73843546899999901</v>
      </c>
      <c r="Q284">
        <f t="shared" si="29"/>
        <v>9.0486090486090576E-2</v>
      </c>
    </row>
    <row r="285" spans="1:17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G285">
        <f t="shared" si="30"/>
        <v>9.0402090402090435E-2</v>
      </c>
      <c r="I285">
        <f t="shared" si="31"/>
        <v>9.9999999999999811E-3</v>
      </c>
      <c r="J285">
        <f t="shared" si="32"/>
        <v>2.8435468999999713E-2</v>
      </c>
      <c r="K285">
        <f t="shared" si="33"/>
        <v>0.69999999999999929</v>
      </c>
      <c r="L285">
        <f t="shared" si="34"/>
        <v>0.73843546899999901</v>
      </c>
      <c r="Q285">
        <f t="shared" si="29"/>
        <v>9.0402090402090435E-2</v>
      </c>
    </row>
    <row r="286" spans="1:17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G286">
        <f t="shared" si="30"/>
        <v>0.14240414240414245</v>
      </c>
      <c r="I286">
        <f t="shared" si="31"/>
        <v>9.9999999999999811E-3</v>
      </c>
      <c r="J286">
        <f t="shared" si="32"/>
        <v>2.8435468999999713E-2</v>
      </c>
      <c r="K286">
        <f t="shared" si="33"/>
        <v>0.69999999999999929</v>
      </c>
      <c r="L286">
        <f t="shared" si="34"/>
        <v>0.73843546899999901</v>
      </c>
      <c r="Q286">
        <f t="shared" si="29"/>
        <v>0.14240414240414245</v>
      </c>
    </row>
    <row r="287" spans="1:17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G287">
        <f t="shared" si="30"/>
        <v>0.10371610371610372</v>
      </c>
      <c r="I287">
        <f t="shared" si="31"/>
        <v>9.9999999999999811E-3</v>
      </c>
      <c r="J287">
        <f t="shared" si="32"/>
        <v>2.8435468999999713E-2</v>
      </c>
      <c r="K287">
        <f t="shared" si="33"/>
        <v>0.69999999999999929</v>
      </c>
      <c r="L287">
        <f t="shared" si="34"/>
        <v>0.73843546899999901</v>
      </c>
      <c r="Q287">
        <f t="shared" si="29"/>
        <v>0.10371610371610372</v>
      </c>
    </row>
    <row r="288" spans="1:17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G288">
        <f t="shared" si="30"/>
        <v>8.8428088428088414E-2</v>
      </c>
      <c r="I288">
        <f t="shared" si="31"/>
        <v>9.9999999999999811E-3</v>
      </c>
      <c r="J288">
        <f t="shared" si="32"/>
        <v>2.8435468999999713E-2</v>
      </c>
      <c r="K288">
        <f t="shared" si="33"/>
        <v>0.69999999999999929</v>
      </c>
      <c r="L288">
        <f t="shared" si="34"/>
        <v>0.73843546899999901</v>
      </c>
      <c r="Q288">
        <f t="shared" ref="Q288:Q319" si="35">G288</f>
        <v>8.8428088428088414E-2</v>
      </c>
    </row>
    <row r="289" spans="1:17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G289">
        <f t="shared" si="30"/>
        <v>9.7842097842097936E-2</v>
      </c>
      <c r="I289">
        <f t="shared" si="31"/>
        <v>9.9999999999999811E-3</v>
      </c>
      <c r="J289">
        <f t="shared" si="32"/>
        <v>2.8435468999999713E-2</v>
      </c>
      <c r="K289">
        <f t="shared" si="33"/>
        <v>0.69999999999999929</v>
      </c>
      <c r="L289">
        <f t="shared" si="34"/>
        <v>0.73843546899999901</v>
      </c>
      <c r="Q289">
        <f t="shared" si="35"/>
        <v>9.7842097842097936E-2</v>
      </c>
    </row>
    <row r="290" spans="1:17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G290">
        <f t="shared" si="30"/>
        <v>0.20388920388920395</v>
      </c>
      <c r="I290">
        <f t="shared" si="31"/>
        <v>6.83</v>
      </c>
      <c r="J290">
        <f t="shared" si="32"/>
        <v>0.32005830900000021</v>
      </c>
      <c r="K290">
        <f t="shared" si="33"/>
        <v>0.80000000000000071</v>
      </c>
      <c r="L290">
        <f t="shared" si="34"/>
        <v>7.950058309000001</v>
      </c>
      <c r="Q290">
        <f t="shared" si="35"/>
        <v>0.20388920388920395</v>
      </c>
    </row>
    <row r="291" spans="1:17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G291">
        <f t="shared" si="30"/>
        <v>0.11933711933711949</v>
      </c>
      <c r="I291">
        <f t="shared" si="31"/>
        <v>6.83</v>
      </c>
      <c r="J291">
        <f t="shared" si="32"/>
        <v>0.32005830900000021</v>
      </c>
      <c r="K291">
        <f t="shared" si="33"/>
        <v>0.80000000000000071</v>
      </c>
      <c r="L291">
        <f t="shared" si="34"/>
        <v>7.950058309000001</v>
      </c>
      <c r="Q291">
        <f t="shared" si="35"/>
        <v>0.11933711933711949</v>
      </c>
    </row>
    <row r="292" spans="1:17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G292">
        <f t="shared" si="30"/>
        <v>0.14784014784014793</v>
      </c>
      <c r="I292">
        <f t="shared" si="31"/>
        <v>6.83</v>
      </c>
      <c r="J292">
        <f t="shared" si="32"/>
        <v>0.32005830900000021</v>
      </c>
      <c r="K292">
        <f t="shared" si="33"/>
        <v>0.80000000000000071</v>
      </c>
      <c r="L292">
        <f t="shared" si="34"/>
        <v>7.950058309000001</v>
      </c>
      <c r="Q292">
        <f t="shared" si="35"/>
        <v>0.14784014784014793</v>
      </c>
    </row>
    <row r="293" spans="1:17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G293">
        <f t="shared" si="30"/>
        <v>9.933009933009937E-2</v>
      </c>
      <c r="I293">
        <f t="shared" si="31"/>
        <v>6.83</v>
      </c>
      <c r="J293">
        <f t="shared" si="32"/>
        <v>0.32005830900000021</v>
      </c>
      <c r="K293">
        <f t="shared" si="33"/>
        <v>0.80000000000000071</v>
      </c>
      <c r="L293">
        <f t="shared" si="34"/>
        <v>7.950058309000001</v>
      </c>
      <c r="Q293">
        <f t="shared" si="35"/>
        <v>9.933009933009937E-2</v>
      </c>
    </row>
    <row r="294" spans="1:17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G294">
        <f t="shared" si="30"/>
        <v>6.1533061533061602E-2</v>
      </c>
      <c r="I294">
        <f t="shared" si="31"/>
        <v>6.83</v>
      </c>
      <c r="J294">
        <f t="shared" si="32"/>
        <v>0.32005830900000021</v>
      </c>
      <c r="K294">
        <f t="shared" si="33"/>
        <v>0.80000000000000071</v>
      </c>
      <c r="L294">
        <f t="shared" si="34"/>
        <v>7.950058309000001</v>
      </c>
      <c r="Q294">
        <f t="shared" si="35"/>
        <v>6.1533061533061602E-2</v>
      </c>
    </row>
    <row r="295" spans="1:17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G295">
        <f t="shared" si="30"/>
        <v>5.2374052374052453E-2</v>
      </c>
      <c r="I295">
        <f t="shared" si="31"/>
        <v>6.83</v>
      </c>
      <c r="J295">
        <f t="shared" si="32"/>
        <v>0.32005830900000021</v>
      </c>
      <c r="K295">
        <f t="shared" si="33"/>
        <v>0.80000000000000071</v>
      </c>
      <c r="L295">
        <f t="shared" si="34"/>
        <v>7.950058309000001</v>
      </c>
      <c r="Q295">
        <f t="shared" si="35"/>
        <v>5.2374052374052453E-2</v>
      </c>
    </row>
    <row r="296" spans="1:17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G296">
        <f t="shared" si="30"/>
        <v>0.11134211134211143</v>
      </c>
      <c r="I296">
        <f t="shared" si="31"/>
        <v>7.83</v>
      </c>
      <c r="J296">
        <f t="shared" si="32"/>
        <v>0.32005830900000021</v>
      </c>
      <c r="K296">
        <f t="shared" si="33"/>
        <v>0.5</v>
      </c>
      <c r="L296">
        <f t="shared" si="34"/>
        <v>8.6500583090000003</v>
      </c>
      <c r="Q296">
        <f t="shared" si="35"/>
        <v>0.11134211134211143</v>
      </c>
    </row>
    <row r="297" spans="1:17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G297">
        <f t="shared" si="30"/>
        <v>0.10250410250410251</v>
      </c>
      <c r="I297">
        <f t="shared" si="31"/>
        <v>7.83</v>
      </c>
      <c r="J297">
        <f t="shared" si="32"/>
        <v>0.32005830900000021</v>
      </c>
      <c r="K297">
        <f t="shared" si="33"/>
        <v>0.5</v>
      </c>
      <c r="L297">
        <f t="shared" si="34"/>
        <v>8.6500583090000003</v>
      </c>
      <c r="Q297">
        <f t="shared" si="35"/>
        <v>0.10250410250410251</v>
      </c>
    </row>
    <row r="298" spans="1:17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G298">
        <f t="shared" si="30"/>
        <v>0.18879918879918894</v>
      </c>
      <c r="I298">
        <f t="shared" si="31"/>
        <v>7.83</v>
      </c>
      <c r="J298">
        <f t="shared" si="32"/>
        <v>0.32005830900000021</v>
      </c>
      <c r="K298">
        <f t="shared" si="33"/>
        <v>0.5</v>
      </c>
      <c r="L298">
        <f t="shared" si="34"/>
        <v>8.6500583090000003</v>
      </c>
      <c r="Q298">
        <f t="shared" si="35"/>
        <v>0.18879918879918894</v>
      </c>
    </row>
    <row r="299" spans="1:17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G299">
        <f t="shared" si="30"/>
        <v>0.22381822381822394</v>
      </c>
      <c r="I299">
        <f t="shared" si="31"/>
        <v>7.83</v>
      </c>
      <c r="J299">
        <f t="shared" si="32"/>
        <v>0.32005830900000021</v>
      </c>
      <c r="K299">
        <f t="shared" si="33"/>
        <v>0.5</v>
      </c>
      <c r="L299">
        <f t="shared" si="34"/>
        <v>8.6500583090000003</v>
      </c>
      <c r="Q299">
        <f t="shared" si="35"/>
        <v>0.22381822381822394</v>
      </c>
    </row>
    <row r="300" spans="1:17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G300">
        <f t="shared" si="30"/>
        <v>0.18609018609018615</v>
      </c>
      <c r="I300">
        <f t="shared" si="31"/>
        <v>7.83</v>
      </c>
      <c r="J300">
        <f t="shared" si="32"/>
        <v>0.32005830900000021</v>
      </c>
      <c r="K300">
        <f t="shared" si="33"/>
        <v>0.5</v>
      </c>
      <c r="L300">
        <f t="shared" si="34"/>
        <v>8.6500583090000003</v>
      </c>
      <c r="Q300">
        <f t="shared" si="35"/>
        <v>0.18609018609018615</v>
      </c>
    </row>
    <row r="301" spans="1:17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G301">
        <f t="shared" si="30"/>
        <v>0.21418221418221417</v>
      </c>
      <c r="I301">
        <f t="shared" si="31"/>
        <v>7.83</v>
      </c>
      <c r="J301">
        <f t="shared" si="32"/>
        <v>0.32005830900000021</v>
      </c>
      <c r="K301">
        <f t="shared" si="33"/>
        <v>0.5</v>
      </c>
      <c r="L301">
        <f t="shared" si="34"/>
        <v>8.6500583090000003</v>
      </c>
      <c r="Q301">
        <f t="shared" si="35"/>
        <v>0.21418221418221417</v>
      </c>
    </row>
    <row r="302" spans="1:17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G302">
        <f t="shared" si="30"/>
        <v>7.2501072501072586E-2</v>
      </c>
      <c r="I302">
        <f t="shared" si="31"/>
        <v>7.83</v>
      </c>
      <c r="J302">
        <f t="shared" si="32"/>
        <v>0.32005830900000021</v>
      </c>
      <c r="K302">
        <f t="shared" si="33"/>
        <v>0.5</v>
      </c>
      <c r="L302">
        <f t="shared" si="34"/>
        <v>8.6500583090000003</v>
      </c>
      <c r="Q302">
        <f t="shared" si="35"/>
        <v>7.2501072501072586E-2</v>
      </c>
    </row>
    <row r="303" spans="1:17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G303">
        <f t="shared" si="30"/>
        <v>2.9700029700043614E-4</v>
      </c>
      <c r="I303">
        <f t="shared" si="31"/>
        <v>9.9999999999999811E-3</v>
      </c>
      <c r="J303">
        <f t="shared" si="32"/>
        <v>3.1163283999999791E-2</v>
      </c>
      <c r="K303">
        <f t="shared" si="33"/>
        <v>5.5</v>
      </c>
      <c r="L303">
        <f t="shared" si="34"/>
        <v>5.5411632839999996</v>
      </c>
      <c r="Q303">
        <f t="shared" si="35"/>
        <v>2.9700029700043614E-4</v>
      </c>
    </row>
    <row r="304" spans="1:17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G304">
        <f t="shared" si="30"/>
        <v>4.6170046170047486E-3</v>
      </c>
      <c r="I304">
        <f t="shared" si="31"/>
        <v>9.9999999999999811E-3</v>
      </c>
      <c r="J304">
        <f t="shared" si="32"/>
        <v>3.1163283999999791E-2</v>
      </c>
      <c r="K304">
        <f t="shared" si="33"/>
        <v>5.5</v>
      </c>
      <c r="L304">
        <f t="shared" si="34"/>
        <v>5.5411632839999996</v>
      </c>
      <c r="Q304">
        <f t="shared" si="35"/>
        <v>4.6170046170047486E-3</v>
      </c>
    </row>
    <row r="305" spans="1:17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G305">
        <f t="shared" si="30"/>
        <v>0.15562515562515561</v>
      </c>
      <c r="I305">
        <f t="shared" si="31"/>
        <v>9.9999999999999811E-3</v>
      </c>
      <c r="J305">
        <f t="shared" si="32"/>
        <v>3.1163283999999791E-2</v>
      </c>
      <c r="K305">
        <f t="shared" si="33"/>
        <v>5.5</v>
      </c>
      <c r="L305">
        <f t="shared" si="34"/>
        <v>5.5411632839999996</v>
      </c>
      <c r="Q305">
        <f t="shared" si="35"/>
        <v>0.15562515562515561</v>
      </c>
    </row>
    <row r="306" spans="1:17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G306">
        <f t="shared" si="30"/>
        <v>0.19969219969219973</v>
      </c>
      <c r="I306">
        <f t="shared" si="31"/>
        <v>9.9999999999999811E-3</v>
      </c>
      <c r="J306">
        <f t="shared" si="32"/>
        <v>3.1163283999999791E-2</v>
      </c>
      <c r="K306">
        <f t="shared" si="33"/>
        <v>5.5</v>
      </c>
      <c r="L306">
        <f t="shared" si="34"/>
        <v>5.5411632839999996</v>
      </c>
      <c r="Q306">
        <f t="shared" si="35"/>
        <v>0.19969219969219973</v>
      </c>
    </row>
    <row r="307" spans="1:17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G307">
        <f t="shared" si="30"/>
        <v>0.12656412656412669</v>
      </c>
      <c r="I307">
        <f t="shared" si="31"/>
        <v>9.9999999999999811E-3</v>
      </c>
      <c r="J307">
        <f t="shared" si="32"/>
        <v>3.1163283999999791E-2</v>
      </c>
      <c r="K307">
        <f t="shared" si="33"/>
        <v>5.5</v>
      </c>
      <c r="L307">
        <f t="shared" si="34"/>
        <v>5.5411632839999996</v>
      </c>
      <c r="Q307">
        <f t="shared" si="35"/>
        <v>0.12656412656412669</v>
      </c>
    </row>
    <row r="308" spans="1:17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G308">
        <f t="shared" si="30"/>
        <v>8.4090084090084172E-2</v>
      </c>
      <c r="I308">
        <f t="shared" si="31"/>
        <v>9.9999999999999811E-3</v>
      </c>
      <c r="J308">
        <f t="shared" si="32"/>
        <v>3.1163283999999791E-2</v>
      </c>
      <c r="K308">
        <f t="shared" si="33"/>
        <v>5.5</v>
      </c>
      <c r="L308">
        <f t="shared" si="34"/>
        <v>5.5411632839999996</v>
      </c>
      <c r="Q308">
        <f t="shared" si="35"/>
        <v>8.4090084090084172E-2</v>
      </c>
    </row>
    <row r="309" spans="1:17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G309">
        <f t="shared" si="30"/>
        <v>9.4743094743094794E-2</v>
      </c>
      <c r="I309">
        <f t="shared" si="31"/>
        <v>9.9999999999999811E-3</v>
      </c>
      <c r="J309">
        <f t="shared" si="32"/>
        <v>3.1163283999999791E-2</v>
      </c>
      <c r="K309">
        <f t="shared" si="33"/>
        <v>5.5</v>
      </c>
      <c r="L309">
        <f t="shared" si="34"/>
        <v>5.5411632839999996</v>
      </c>
      <c r="Q309">
        <f t="shared" si="35"/>
        <v>9.4743094743094794E-2</v>
      </c>
    </row>
    <row r="310" spans="1:17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G310">
        <f t="shared" si="30"/>
        <v>9.5298095298095353E-2</v>
      </c>
      <c r="I310">
        <f t="shared" si="31"/>
        <v>9.9999999999999811E-3</v>
      </c>
      <c r="J310">
        <f t="shared" si="32"/>
        <v>3.1163283999999791E-2</v>
      </c>
      <c r="K310">
        <f t="shared" si="33"/>
        <v>5.5</v>
      </c>
      <c r="L310">
        <f t="shared" si="34"/>
        <v>5.5411632839999996</v>
      </c>
      <c r="Q310">
        <f t="shared" si="35"/>
        <v>9.5298095298095353E-2</v>
      </c>
    </row>
    <row r="311" spans="1:17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G311">
        <f t="shared" si="30"/>
        <v>0</v>
      </c>
      <c r="I311">
        <f t="shared" si="31"/>
        <v>9.9999999999999811E-3</v>
      </c>
      <c r="J311">
        <f t="shared" si="32"/>
        <v>3.1163283999999791E-2</v>
      </c>
      <c r="K311">
        <f t="shared" si="33"/>
        <v>5.5</v>
      </c>
      <c r="L311">
        <f t="shared" si="34"/>
        <v>5.5411632839999996</v>
      </c>
      <c r="Q311">
        <f t="shared" si="35"/>
        <v>0</v>
      </c>
    </row>
    <row r="312" spans="1:17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G312">
        <f t="shared" si="30"/>
        <v>0.12028212028212043</v>
      </c>
      <c r="I312">
        <f t="shared" si="31"/>
        <v>9.9999999999999811E-3</v>
      </c>
      <c r="J312">
        <f t="shared" si="32"/>
        <v>3.1163283999999791E-2</v>
      </c>
      <c r="K312">
        <f t="shared" si="33"/>
        <v>5.5</v>
      </c>
      <c r="L312">
        <f t="shared" si="34"/>
        <v>5.5411632839999996</v>
      </c>
      <c r="Q312">
        <f t="shared" si="35"/>
        <v>0.12028212028212043</v>
      </c>
    </row>
    <row r="313" spans="1:17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G313">
        <f t="shared" si="30"/>
        <v>0.21714321714321722</v>
      </c>
      <c r="I313">
        <f t="shared" si="31"/>
        <v>9.9999999999999811E-3</v>
      </c>
      <c r="J313">
        <f t="shared" si="32"/>
        <v>3.6212217000000102E-2</v>
      </c>
      <c r="K313">
        <f t="shared" si="33"/>
        <v>5.6000000000000014</v>
      </c>
      <c r="L313">
        <f t="shared" si="34"/>
        <v>5.6462122170000013</v>
      </c>
      <c r="Q313">
        <f t="shared" si="35"/>
        <v>0.21714321714321722</v>
      </c>
    </row>
    <row r="314" spans="1:17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G314">
        <f t="shared" si="30"/>
        <v>0.15693315693315701</v>
      </c>
      <c r="I314">
        <f t="shared" si="31"/>
        <v>9.9999999999999811E-3</v>
      </c>
      <c r="J314">
        <f t="shared" si="32"/>
        <v>3.6212217000000102E-2</v>
      </c>
      <c r="K314">
        <f t="shared" si="33"/>
        <v>5.6000000000000014</v>
      </c>
      <c r="L314">
        <f t="shared" si="34"/>
        <v>5.6462122170000013</v>
      </c>
      <c r="Q314">
        <f t="shared" si="35"/>
        <v>0.15693315693315701</v>
      </c>
    </row>
    <row r="315" spans="1:17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G315">
        <f t="shared" si="30"/>
        <v>0.22968922968922981</v>
      </c>
      <c r="I315">
        <f t="shared" si="31"/>
        <v>9.9999999999999811E-3</v>
      </c>
      <c r="J315">
        <f t="shared" si="32"/>
        <v>3.6212217000000102E-2</v>
      </c>
      <c r="K315">
        <f t="shared" si="33"/>
        <v>5.6000000000000014</v>
      </c>
      <c r="L315">
        <f t="shared" si="34"/>
        <v>5.6462122170000013</v>
      </c>
      <c r="Q315">
        <f t="shared" si="35"/>
        <v>0.22968922968922981</v>
      </c>
    </row>
    <row r="316" spans="1:17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G316">
        <f t="shared" si="30"/>
        <v>0.17288717288717292</v>
      </c>
      <c r="I316">
        <f t="shared" si="31"/>
        <v>9.9999999999999811E-3</v>
      </c>
      <c r="J316">
        <f t="shared" si="32"/>
        <v>3.6212217000000102E-2</v>
      </c>
      <c r="K316">
        <f t="shared" si="33"/>
        <v>5.6000000000000014</v>
      </c>
      <c r="L316">
        <f t="shared" si="34"/>
        <v>5.6462122170000013</v>
      </c>
      <c r="Q316">
        <f t="shared" si="35"/>
        <v>0.17288717288717292</v>
      </c>
    </row>
    <row r="317" spans="1:17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G317">
        <f t="shared" si="30"/>
        <v>0.21685821685821685</v>
      </c>
      <c r="I317">
        <f t="shared" si="31"/>
        <v>9.9999999999999811E-3</v>
      </c>
      <c r="J317">
        <f t="shared" si="32"/>
        <v>3.6212217000000102E-2</v>
      </c>
      <c r="K317">
        <f t="shared" si="33"/>
        <v>5.6000000000000014</v>
      </c>
      <c r="L317">
        <f t="shared" si="34"/>
        <v>5.6462122170000013</v>
      </c>
      <c r="Q317">
        <f t="shared" si="35"/>
        <v>0.21685821685821685</v>
      </c>
    </row>
    <row r="318" spans="1:17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G318">
        <f t="shared" si="30"/>
        <v>0.18166818166818177</v>
      </c>
      <c r="I318">
        <f t="shared" si="31"/>
        <v>9.9999999999999811E-3</v>
      </c>
      <c r="J318">
        <f t="shared" si="32"/>
        <v>3.6212217000000102E-2</v>
      </c>
      <c r="K318">
        <f t="shared" si="33"/>
        <v>5.6000000000000014</v>
      </c>
      <c r="L318">
        <f t="shared" si="34"/>
        <v>5.6462122170000013</v>
      </c>
      <c r="Q318">
        <f t="shared" si="35"/>
        <v>0.18166818166818177</v>
      </c>
    </row>
    <row r="319" spans="1:17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G319">
        <f t="shared" si="30"/>
        <v>0.18460218460218472</v>
      </c>
      <c r="I319">
        <f t="shared" si="31"/>
        <v>9.9999999999999811E-3</v>
      </c>
      <c r="J319">
        <f t="shared" si="32"/>
        <v>3.6212217000000102E-2</v>
      </c>
      <c r="K319">
        <f t="shared" si="33"/>
        <v>5.6000000000000014</v>
      </c>
      <c r="L319">
        <f t="shared" si="34"/>
        <v>5.6462122170000013</v>
      </c>
      <c r="Q319">
        <f t="shared" si="35"/>
        <v>0.18460218460218472</v>
      </c>
    </row>
    <row r="320" spans="1:17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G320">
        <f t="shared" si="30"/>
        <v>0.16716016716016724</v>
      </c>
      <c r="I320">
        <f t="shared" si="31"/>
        <v>9.9999999999999811E-3</v>
      </c>
      <c r="J320">
        <f t="shared" si="32"/>
        <v>3.6212217000000102E-2</v>
      </c>
      <c r="K320">
        <f t="shared" si="33"/>
        <v>5.6000000000000014</v>
      </c>
      <c r="L320">
        <f t="shared" si="34"/>
        <v>5.6462122170000013</v>
      </c>
      <c r="Q320">
        <f t="shared" ref="Q320:Q340" si="36">G320</f>
        <v>0.16716016716016724</v>
      </c>
    </row>
    <row r="321" spans="1:17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G321">
        <f t="shared" si="30"/>
        <v>0.18667518667518673</v>
      </c>
      <c r="I321">
        <f t="shared" si="31"/>
        <v>9.9999999999999811E-3</v>
      </c>
      <c r="J321">
        <f t="shared" si="32"/>
        <v>3.6212217000000102E-2</v>
      </c>
      <c r="K321">
        <f t="shared" si="33"/>
        <v>5.6000000000000014</v>
      </c>
      <c r="L321">
        <f t="shared" si="34"/>
        <v>5.6462122170000013</v>
      </c>
      <c r="Q321">
        <f t="shared" si="36"/>
        <v>0.18667518667518673</v>
      </c>
    </row>
    <row r="322" spans="1:17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G322">
        <f t="shared" si="30"/>
        <v>0.15051915051915052</v>
      </c>
      <c r="I322">
        <f t="shared" si="31"/>
        <v>9.9999999999999811E-3</v>
      </c>
      <c r="J322">
        <f t="shared" si="32"/>
        <v>3.6212217000000102E-2</v>
      </c>
      <c r="K322">
        <f t="shared" si="33"/>
        <v>5.6000000000000014</v>
      </c>
      <c r="L322">
        <f t="shared" si="34"/>
        <v>5.6462122170000013</v>
      </c>
      <c r="Q322">
        <f t="shared" si="36"/>
        <v>0.15051915051915052</v>
      </c>
    </row>
    <row r="323" spans="1:17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G323">
        <f t="shared" ref="G323:G340" si="37">($F$343-F323)/$F$343</f>
        <v>0.1667881667881668</v>
      </c>
      <c r="I323">
        <f t="shared" ref="I323:I340" si="38">(E323-0.17)*$U$2</f>
        <v>6.83</v>
      </c>
      <c r="J323">
        <f t="shared" ref="J323:J340" si="39">(8-D323)*$U$4</f>
        <v>0.239001397</v>
      </c>
      <c r="K323">
        <f t="shared" ref="K323:K340" si="40">(C323-20)*$U$3</f>
        <v>5.5</v>
      </c>
      <c r="L323">
        <f t="shared" ref="L323:L340" si="41">SUM(I323:K323)</f>
        <v>12.569001397000001</v>
      </c>
      <c r="Q323">
        <f t="shared" si="36"/>
        <v>0.1667881667881668</v>
      </c>
    </row>
    <row r="324" spans="1:17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G324">
        <f t="shared" si="37"/>
        <v>0.18057918057918068</v>
      </c>
      <c r="I324">
        <f t="shared" si="38"/>
        <v>6.83</v>
      </c>
      <c r="J324">
        <f t="shared" si="39"/>
        <v>0.239001397</v>
      </c>
      <c r="K324">
        <f t="shared" si="40"/>
        <v>5.5</v>
      </c>
      <c r="L324">
        <f t="shared" si="41"/>
        <v>12.569001397000001</v>
      </c>
      <c r="Q324">
        <f t="shared" si="36"/>
        <v>0.18057918057918068</v>
      </c>
    </row>
    <row r="325" spans="1:17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G325">
        <f t="shared" si="37"/>
        <v>0.16576516576516589</v>
      </c>
      <c r="I325">
        <f t="shared" si="38"/>
        <v>6.83</v>
      </c>
      <c r="J325">
        <f t="shared" si="39"/>
        <v>0.239001397</v>
      </c>
      <c r="K325">
        <f t="shared" si="40"/>
        <v>5.5</v>
      </c>
      <c r="L325">
        <f t="shared" si="41"/>
        <v>12.569001397000001</v>
      </c>
      <c r="Q325">
        <f t="shared" si="36"/>
        <v>0.16576516576516589</v>
      </c>
    </row>
    <row r="326" spans="1:17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G326">
        <f t="shared" si="37"/>
        <v>0.17192117192117196</v>
      </c>
      <c r="I326">
        <f t="shared" si="38"/>
        <v>6.83</v>
      </c>
      <c r="J326">
        <f t="shared" si="39"/>
        <v>0.239001397</v>
      </c>
      <c r="K326">
        <f t="shared" si="40"/>
        <v>5.5</v>
      </c>
      <c r="L326">
        <f t="shared" si="41"/>
        <v>12.569001397000001</v>
      </c>
      <c r="Q326">
        <f t="shared" si="36"/>
        <v>0.17192117192117196</v>
      </c>
    </row>
    <row r="327" spans="1:17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G327">
        <f t="shared" si="37"/>
        <v>0.14863514863514868</v>
      </c>
      <c r="I327">
        <f t="shared" si="38"/>
        <v>6.83</v>
      </c>
      <c r="J327">
        <f t="shared" si="39"/>
        <v>0.239001397</v>
      </c>
      <c r="K327">
        <f t="shared" si="40"/>
        <v>5.5</v>
      </c>
      <c r="L327">
        <f t="shared" si="41"/>
        <v>12.569001397000001</v>
      </c>
      <c r="Q327">
        <f t="shared" si="36"/>
        <v>0.14863514863514868</v>
      </c>
    </row>
    <row r="328" spans="1:17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G328">
        <f t="shared" si="37"/>
        <v>0.14769014769014774</v>
      </c>
      <c r="I328">
        <f t="shared" si="38"/>
        <v>6.83</v>
      </c>
      <c r="J328">
        <f t="shared" si="39"/>
        <v>0.239001397</v>
      </c>
      <c r="K328">
        <f t="shared" si="40"/>
        <v>5.5</v>
      </c>
      <c r="L328">
        <f t="shared" si="41"/>
        <v>12.569001397000001</v>
      </c>
      <c r="Q328">
        <f t="shared" si="36"/>
        <v>0.14769014769014774</v>
      </c>
    </row>
    <row r="329" spans="1:17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G329">
        <f t="shared" si="37"/>
        <v>0.1364881364881366</v>
      </c>
      <c r="I329">
        <f t="shared" si="38"/>
        <v>6.83</v>
      </c>
      <c r="J329">
        <f t="shared" si="39"/>
        <v>0.239001397</v>
      </c>
      <c r="K329">
        <f t="shared" si="40"/>
        <v>5.5</v>
      </c>
      <c r="L329">
        <f t="shared" si="41"/>
        <v>12.569001397000001</v>
      </c>
      <c r="Q329">
        <f t="shared" si="36"/>
        <v>0.1364881364881366</v>
      </c>
    </row>
    <row r="330" spans="1:17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G330">
        <f t="shared" si="37"/>
        <v>0.19389619389619389</v>
      </c>
      <c r="I330">
        <f t="shared" si="38"/>
        <v>6.83</v>
      </c>
      <c r="J330">
        <f t="shared" si="39"/>
        <v>0.239001397</v>
      </c>
      <c r="K330">
        <f t="shared" si="40"/>
        <v>5.5</v>
      </c>
      <c r="L330">
        <f t="shared" si="41"/>
        <v>12.569001397000001</v>
      </c>
      <c r="Q330">
        <f t="shared" si="36"/>
        <v>0.19389619389619389</v>
      </c>
    </row>
    <row r="331" spans="1:17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G331">
        <f t="shared" si="37"/>
        <v>0.17616017616017624</v>
      </c>
      <c r="I331">
        <f t="shared" si="38"/>
        <v>6.83</v>
      </c>
      <c r="J331">
        <f t="shared" si="39"/>
        <v>0.239001397</v>
      </c>
      <c r="K331">
        <f t="shared" si="40"/>
        <v>5.5</v>
      </c>
      <c r="L331">
        <f t="shared" si="41"/>
        <v>12.569001397000001</v>
      </c>
      <c r="Q331">
        <f t="shared" si="36"/>
        <v>0.17616017616017624</v>
      </c>
    </row>
    <row r="332" spans="1:17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G332">
        <f t="shared" si="37"/>
        <v>0.17464217464217463</v>
      </c>
      <c r="I332">
        <f t="shared" si="38"/>
        <v>6.83</v>
      </c>
      <c r="J332">
        <f t="shared" si="39"/>
        <v>0.239001397</v>
      </c>
      <c r="K332">
        <f t="shared" si="40"/>
        <v>5.5</v>
      </c>
      <c r="L332">
        <f t="shared" si="41"/>
        <v>12.569001397000001</v>
      </c>
      <c r="Q332">
        <f t="shared" si="36"/>
        <v>0.17464217464217463</v>
      </c>
    </row>
    <row r="333" spans="1:17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G333">
        <f t="shared" si="37"/>
        <v>0.18889218889218887</v>
      </c>
      <c r="I333">
        <f t="shared" si="38"/>
        <v>7.83</v>
      </c>
      <c r="J333">
        <f t="shared" si="39"/>
        <v>0.24957011999999956</v>
      </c>
      <c r="K333">
        <f t="shared" si="40"/>
        <v>5.6000000000000014</v>
      </c>
      <c r="L333">
        <f t="shared" si="41"/>
        <v>13.679570120000001</v>
      </c>
      <c r="Q333">
        <f t="shared" si="36"/>
        <v>0.18889218889218887</v>
      </c>
    </row>
    <row r="334" spans="1:17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G334">
        <f t="shared" si="37"/>
        <v>0.1958071958071958</v>
      </c>
      <c r="I334">
        <f t="shared" si="38"/>
        <v>7.83</v>
      </c>
      <c r="J334">
        <f t="shared" si="39"/>
        <v>0.24957011999999956</v>
      </c>
      <c r="K334">
        <f t="shared" si="40"/>
        <v>5.6000000000000014</v>
      </c>
      <c r="L334">
        <f t="shared" si="41"/>
        <v>13.679570120000001</v>
      </c>
      <c r="Q334">
        <f t="shared" si="36"/>
        <v>0.1958071958071958</v>
      </c>
    </row>
    <row r="335" spans="1:17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G335">
        <f t="shared" si="37"/>
        <v>4.8474048474048514E-2</v>
      </c>
      <c r="I335">
        <f t="shared" si="38"/>
        <v>7.83</v>
      </c>
      <c r="J335">
        <f t="shared" si="39"/>
        <v>0.24957011999999956</v>
      </c>
      <c r="K335">
        <f t="shared" si="40"/>
        <v>5.6000000000000014</v>
      </c>
      <c r="L335">
        <f t="shared" si="41"/>
        <v>13.679570120000001</v>
      </c>
      <c r="Q335">
        <f t="shared" si="36"/>
        <v>4.8474048474048514E-2</v>
      </c>
    </row>
    <row r="336" spans="1:17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G336">
        <f t="shared" si="37"/>
        <v>0.18214518214518222</v>
      </c>
      <c r="I336">
        <f t="shared" si="38"/>
        <v>7.83</v>
      </c>
      <c r="J336">
        <f t="shared" si="39"/>
        <v>0.24957011999999956</v>
      </c>
      <c r="K336">
        <f t="shared" si="40"/>
        <v>5.6000000000000014</v>
      </c>
      <c r="L336">
        <f t="shared" si="41"/>
        <v>13.679570120000001</v>
      </c>
      <c r="Q336">
        <f t="shared" si="36"/>
        <v>0.18214518214518222</v>
      </c>
    </row>
    <row r="337" spans="1:17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G337">
        <f t="shared" si="37"/>
        <v>0.19021519021519029</v>
      </c>
      <c r="I337">
        <f t="shared" si="38"/>
        <v>7.83</v>
      </c>
      <c r="J337">
        <f t="shared" si="39"/>
        <v>0.24957011999999956</v>
      </c>
      <c r="K337">
        <f t="shared" si="40"/>
        <v>5.6000000000000014</v>
      </c>
      <c r="L337">
        <f t="shared" si="41"/>
        <v>13.679570120000001</v>
      </c>
      <c r="Q337">
        <f t="shared" si="36"/>
        <v>0.19021519021519029</v>
      </c>
    </row>
    <row r="338" spans="1:17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G338">
        <f t="shared" si="37"/>
        <v>0.26022326022326031</v>
      </c>
      <c r="I338">
        <f t="shared" si="38"/>
        <v>7.83</v>
      </c>
      <c r="J338">
        <f t="shared" si="39"/>
        <v>0.24957011999999956</v>
      </c>
      <c r="K338">
        <f t="shared" si="40"/>
        <v>5.6000000000000014</v>
      </c>
      <c r="L338">
        <f t="shared" si="41"/>
        <v>13.679570120000001</v>
      </c>
      <c r="Q338">
        <f t="shared" si="36"/>
        <v>0.26022326022326031</v>
      </c>
    </row>
    <row r="339" spans="1:17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G339">
        <f t="shared" si="37"/>
        <v>0.14310614310614325</v>
      </c>
      <c r="I339">
        <f t="shared" si="38"/>
        <v>7.83</v>
      </c>
      <c r="J339">
        <f t="shared" si="39"/>
        <v>0.24957011999999956</v>
      </c>
      <c r="K339">
        <f t="shared" si="40"/>
        <v>5.6000000000000014</v>
      </c>
      <c r="L339">
        <f t="shared" si="41"/>
        <v>13.679570120000001</v>
      </c>
      <c r="Q339">
        <f t="shared" si="36"/>
        <v>0.14310614310614325</v>
      </c>
    </row>
    <row r="340" spans="1:17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G340">
        <f t="shared" si="37"/>
        <v>0.22889722889722899</v>
      </c>
      <c r="I340">
        <f t="shared" si="38"/>
        <v>7.83</v>
      </c>
      <c r="J340">
        <f t="shared" si="39"/>
        <v>0.24957011999999956</v>
      </c>
      <c r="K340">
        <f t="shared" si="40"/>
        <v>5.6000000000000014</v>
      </c>
      <c r="L340">
        <f t="shared" si="41"/>
        <v>13.679570120000001</v>
      </c>
      <c r="Q340">
        <f t="shared" si="36"/>
        <v>0.22889722889722899</v>
      </c>
    </row>
    <row r="343" spans="1:17" x14ac:dyDescent="0.2">
      <c r="A343" t="s">
        <v>13</v>
      </c>
      <c r="F343">
        <f>MAX(F2:F340)</f>
        <v>83.333250000000007</v>
      </c>
      <c r="G343">
        <f>MAX(G2:G340)</f>
        <v>0.48698748698748695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ABE9-F520-4E69-83EF-F91EA479146C}">
  <dimension ref="A1:U343"/>
  <sheetViews>
    <sheetView topLeftCell="G1" workbookViewId="0">
      <selection activeCell="E44" sqref="E44"/>
    </sheetView>
  </sheetViews>
  <sheetFormatPr baseColWidth="10" defaultColWidth="8.83203125" defaultRowHeight="15" x14ac:dyDescent="0.2"/>
  <sheetData>
    <row r="1" spans="1:21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12</v>
      </c>
      <c r="I1" s="9" t="s">
        <v>19</v>
      </c>
      <c r="J1" s="9" t="s">
        <v>20</v>
      </c>
      <c r="K1" s="9" t="s">
        <v>21</v>
      </c>
      <c r="L1" s="9" t="s">
        <v>25</v>
      </c>
      <c r="N1" s="9" t="s">
        <v>15</v>
      </c>
      <c r="O1" s="9" t="s">
        <v>14</v>
      </c>
      <c r="P1" s="9" t="s">
        <v>17</v>
      </c>
      <c r="Q1" s="9" t="s">
        <v>18</v>
      </c>
      <c r="T1" s="9" t="s">
        <v>22</v>
      </c>
    </row>
    <row r="2" spans="1:21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G2">
        <f>($F$343-F2)/$F$343</f>
        <v>0.12800712800712813</v>
      </c>
      <c r="I2">
        <f>(E2-0.17)*$U$2</f>
        <v>6.9999999999999958E-3</v>
      </c>
      <c r="J2">
        <f>(8-D2)*$U$4</f>
        <v>0.50145796335908344</v>
      </c>
      <c r="K2">
        <f>(C2-20)*$U$3</f>
        <v>-0.30000000000000071</v>
      </c>
      <c r="L2">
        <f>SUM(I2:K2)</f>
        <v>0.20845796335908273</v>
      </c>
      <c r="N2">
        <f t="shared" ref="N2:N33" si="0">G2</f>
        <v>0.12800712800712813</v>
      </c>
      <c r="T2" t="s">
        <v>23</v>
      </c>
      <c r="U2">
        <v>0.35</v>
      </c>
    </row>
    <row r="3" spans="1:21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G3">
        <f t="shared" ref="G3:G66" si="1">($F$343-F3)/$F$343</f>
        <v>7.9749079749079826E-2</v>
      </c>
      <c r="I3">
        <f t="shared" ref="I3:I66" si="2">(E3-0.17)*$U$2</f>
        <v>6.9999999999999958E-3</v>
      </c>
      <c r="J3">
        <f t="shared" ref="J3:J66" si="3">(8-D3)*$U$4</f>
        <v>0.50145796335908344</v>
      </c>
      <c r="K3">
        <f t="shared" ref="K3:K66" si="4">(C3-20)*$U$3</f>
        <v>-0.30000000000000071</v>
      </c>
      <c r="L3">
        <f t="shared" ref="L3:L66" si="5">SUM(I3:K3)</f>
        <v>0.20845796335908273</v>
      </c>
      <c r="N3">
        <f t="shared" si="0"/>
        <v>7.9749079749079826E-2</v>
      </c>
      <c r="T3" t="s">
        <v>24</v>
      </c>
      <c r="U3">
        <v>1</v>
      </c>
    </row>
    <row r="4" spans="1:21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G4">
        <f t="shared" si="1"/>
        <v>0.16524016524016535</v>
      </c>
      <c r="I4">
        <f t="shared" si="2"/>
        <v>6.9999999999999958E-3</v>
      </c>
      <c r="J4">
        <f t="shared" si="3"/>
        <v>0.50145796335908344</v>
      </c>
      <c r="K4">
        <f t="shared" si="4"/>
        <v>-0.30000000000000071</v>
      </c>
      <c r="L4">
        <f t="shared" si="5"/>
        <v>0.20845796335908273</v>
      </c>
      <c r="N4">
        <f t="shared" si="0"/>
        <v>0.16524016524016535</v>
      </c>
      <c r="T4" t="s">
        <v>8</v>
      </c>
      <c r="U4">
        <v>28</v>
      </c>
    </row>
    <row r="5" spans="1:21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G5">
        <f t="shared" si="1"/>
        <v>0.19913719913719918</v>
      </c>
      <c r="I5">
        <f t="shared" si="2"/>
        <v>6.9999999999999958E-3</v>
      </c>
      <c r="J5">
        <f t="shared" si="3"/>
        <v>0.50145796335908344</v>
      </c>
      <c r="K5">
        <f t="shared" si="4"/>
        <v>-0.30000000000000071</v>
      </c>
      <c r="L5">
        <f t="shared" si="5"/>
        <v>0.20845796335908273</v>
      </c>
      <c r="N5">
        <f t="shared" si="0"/>
        <v>0.19913719913719918</v>
      </c>
      <c r="U5" t="s">
        <v>26</v>
      </c>
    </row>
    <row r="6" spans="1:21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G6">
        <f t="shared" si="1"/>
        <v>2.1819021819021889E-2</v>
      </c>
      <c r="I6">
        <f t="shared" si="2"/>
        <v>6.9999999999999958E-3</v>
      </c>
      <c r="J6">
        <f t="shared" si="3"/>
        <v>0.50145796335908344</v>
      </c>
      <c r="K6">
        <f t="shared" si="4"/>
        <v>-0.30000000000000071</v>
      </c>
      <c r="L6">
        <f t="shared" si="5"/>
        <v>0.20845796335908273</v>
      </c>
      <c r="N6">
        <f t="shared" si="0"/>
        <v>2.1819021819021889E-2</v>
      </c>
    </row>
    <row r="7" spans="1:21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G7">
        <f t="shared" si="1"/>
        <v>0.17031617031617044</v>
      </c>
      <c r="I7">
        <f t="shared" si="2"/>
        <v>6.9999999999999958E-3</v>
      </c>
      <c r="J7">
        <f t="shared" si="3"/>
        <v>0.50145796335908344</v>
      </c>
      <c r="K7">
        <f t="shared" si="4"/>
        <v>-0.30000000000000071</v>
      </c>
      <c r="L7">
        <f t="shared" si="5"/>
        <v>0.20845796335908273</v>
      </c>
      <c r="N7">
        <f t="shared" si="0"/>
        <v>0.17031617031617044</v>
      </c>
    </row>
    <row r="8" spans="1:21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G8">
        <f t="shared" si="1"/>
        <v>0.11291711291711294</v>
      </c>
      <c r="I8">
        <f t="shared" si="2"/>
        <v>6.9999999999999958E-3</v>
      </c>
      <c r="J8">
        <f t="shared" si="3"/>
        <v>0.50145796335908344</v>
      </c>
      <c r="K8">
        <f t="shared" si="4"/>
        <v>-0.30000000000000071</v>
      </c>
      <c r="L8">
        <f t="shared" si="5"/>
        <v>0.20845796335908273</v>
      </c>
      <c r="N8">
        <f t="shared" si="0"/>
        <v>0.11291711291711294</v>
      </c>
    </row>
    <row r="9" spans="1:21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G9">
        <f t="shared" si="1"/>
        <v>3.7926037926038082E-2</v>
      </c>
      <c r="I9">
        <f t="shared" si="2"/>
        <v>6.9999999999999958E-3</v>
      </c>
      <c r="J9">
        <f t="shared" si="3"/>
        <v>0.50145796335908344</v>
      </c>
      <c r="K9">
        <f t="shared" si="4"/>
        <v>-0.30000000000000071</v>
      </c>
      <c r="L9">
        <f t="shared" si="5"/>
        <v>0.20845796335908273</v>
      </c>
      <c r="N9">
        <f t="shared" si="0"/>
        <v>3.7926037926038082E-2</v>
      </c>
    </row>
    <row r="10" spans="1:21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G10">
        <f t="shared" si="1"/>
        <v>0.15680415680415688</v>
      </c>
      <c r="I10">
        <f t="shared" si="2"/>
        <v>6.9999999999999958E-3</v>
      </c>
      <c r="J10">
        <f t="shared" si="3"/>
        <v>0.50145796335908344</v>
      </c>
      <c r="K10">
        <f t="shared" si="4"/>
        <v>-0.30000000000000071</v>
      </c>
      <c r="L10">
        <f t="shared" si="5"/>
        <v>0.20845796335908273</v>
      </c>
      <c r="N10">
        <f t="shared" si="0"/>
        <v>0.15680415680415688</v>
      </c>
    </row>
    <row r="11" spans="1:21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G11">
        <f t="shared" si="1"/>
        <v>4.959004959005019E-3</v>
      </c>
      <c r="I11">
        <f t="shared" si="2"/>
        <v>6.9999999999999958E-3</v>
      </c>
      <c r="J11">
        <f t="shared" si="3"/>
        <v>0.50145796335908344</v>
      </c>
      <c r="K11">
        <f t="shared" si="4"/>
        <v>-0.30000000000000071</v>
      </c>
      <c r="L11">
        <f t="shared" si="5"/>
        <v>0.20845796335908273</v>
      </c>
      <c r="N11">
        <f t="shared" si="0"/>
        <v>4.959004959005019E-3</v>
      </c>
    </row>
    <row r="12" spans="1:21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G12">
        <f t="shared" si="1"/>
        <v>0.16649416649416662</v>
      </c>
      <c r="I12">
        <f t="shared" si="2"/>
        <v>6.9999999999999958E-3</v>
      </c>
      <c r="J12">
        <f t="shared" si="3"/>
        <v>0.50145796335908344</v>
      </c>
      <c r="K12">
        <f t="shared" si="4"/>
        <v>-0.30000000000000071</v>
      </c>
      <c r="L12">
        <f t="shared" si="5"/>
        <v>0.20845796335908273</v>
      </c>
      <c r="N12">
        <f t="shared" si="0"/>
        <v>0.16649416649416662</v>
      </c>
    </row>
    <row r="13" spans="1:21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G13">
        <f t="shared" si="1"/>
        <v>0.11266211266211275</v>
      </c>
      <c r="I13">
        <f t="shared" si="2"/>
        <v>6.9999999999999958E-3</v>
      </c>
      <c r="J13">
        <f t="shared" si="3"/>
        <v>0.50145796335908344</v>
      </c>
      <c r="K13">
        <f t="shared" si="4"/>
        <v>-0.30000000000000071</v>
      </c>
      <c r="L13">
        <f t="shared" si="5"/>
        <v>0.20845796335908273</v>
      </c>
      <c r="N13">
        <f t="shared" si="0"/>
        <v>0.11266211266211275</v>
      </c>
    </row>
    <row r="14" spans="1:21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G14">
        <f t="shared" si="1"/>
        <v>5.2920052920053043E-2</v>
      </c>
      <c r="I14">
        <f t="shared" si="2"/>
        <v>6.9999999999999958E-3</v>
      </c>
      <c r="J14">
        <f t="shared" si="3"/>
        <v>0.50145796335908344</v>
      </c>
      <c r="K14">
        <f t="shared" si="4"/>
        <v>-0.30000000000000071</v>
      </c>
      <c r="L14">
        <f t="shared" si="5"/>
        <v>0.20845796335908273</v>
      </c>
      <c r="N14">
        <f t="shared" si="0"/>
        <v>5.2920052920053043E-2</v>
      </c>
    </row>
    <row r="15" spans="1:21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G15">
        <f t="shared" si="1"/>
        <v>2.2119022119022259E-2</v>
      </c>
      <c r="I15">
        <f t="shared" si="2"/>
        <v>6.9999999999999958E-3</v>
      </c>
      <c r="J15">
        <f t="shared" si="3"/>
        <v>0.50145796335908344</v>
      </c>
      <c r="K15">
        <f t="shared" si="4"/>
        <v>-0.30000000000000071</v>
      </c>
      <c r="L15">
        <f t="shared" si="5"/>
        <v>0.20845796335908273</v>
      </c>
      <c r="N15">
        <f t="shared" si="0"/>
        <v>2.2119022119022259E-2</v>
      </c>
    </row>
    <row r="16" spans="1:21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G16">
        <f t="shared" si="1"/>
        <v>7.5867075867075986E-2</v>
      </c>
      <c r="I16">
        <f t="shared" si="2"/>
        <v>6.9999999999999958E-3</v>
      </c>
      <c r="J16">
        <f t="shared" si="3"/>
        <v>0.50145796335908344</v>
      </c>
      <c r="K16">
        <f t="shared" si="4"/>
        <v>-0.30000000000000071</v>
      </c>
      <c r="L16">
        <f t="shared" si="5"/>
        <v>0.20845796335908273</v>
      </c>
      <c r="N16">
        <f t="shared" si="0"/>
        <v>7.5867075867075986E-2</v>
      </c>
    </row>
    <row r="17" spans="1:14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G17">
        <f t="shared" si="1"/>
        <v>0.11539511539511547</v>
      </c>
      <c r="I17">
        <f t="shared" si="2"/>
        <v>6.9999999999999958E-3</v>
      </c>
      <c r="J17">
        <f t="shared" si="3"/>
        <v>0.50145796335908344</v>
      </c>
      <c r="K17">
        <f t="shared" si="4"/>
        <v>-0.30000000000000071</v>
      </c>
      <c r="L17">
        <f t="shared" si="5"/>
        <v>0.20845796335908273</v>
      </c>
      <c r="N17">
        <f t="shared" si="0"/>
        <v>0.11539511539511547</v>
      </c>
    </row>
    <row r="18" spans="1:14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G18">
        <f t="shared" si="1"/>
        <v>0.18041718041718044</v>
      </c>
      <c r="I18">
        <f t="shared" si="2"/>
        <v>6.9999999999999958E-3</v>
      </c>
      <c r="J18">
        <f t="shared" si="3"/>
        <v>0.50145796335908344</v>
      </c>
      <c r="K18">
        <f t="shared" si="4"/>
        <v>-0.30000000000000071</v>
      </c>
      <c r="L18">
        <f t="shared" si="5"/>
        <v>0.20845796335908273</v>
      </c>
      <c r="N18">
        <f t="shared" si="0"/>
        <v>0.18041718041718044</v>
      </c>
    </row>
    <row r="19" spans="1:14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G19">
        <f t="shared" si="1"/>
        <v>2.3640023640023794E-2</v>
      </c>
      <c r="I19">
        <f t="shared" si="2"/>
        <v>6.9999999999999958E-3</v>
      </c>
      <c r="J19">
        <f t="shared" si="3"/>
        <v>0.50145796335908344</v>
      </c>
      <c r="K19">
        <f t="shared" si="4"/>
        <v>-0.30000000000000071</v>
      </c>
      <c r="L19">
        <f t="shared" si="5"/>
        <v>0.20845796335908273</v>
      </c>
      <c r="N19">
        <f t="shared" si="0"/>
        <v>2.3640023640023794E-2</v>
      </c>
    </row>
    <row r="20" spans="1:14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G20">
        <f t="shared" si="1"/>
        <v>0.18426918426918426</v>
      </c>
      <c r="I20">
        <f t="shared" si="2"/>
        <v>6.9999999999999958E-3</v>
      </c>
      <c r="J20">
        <f t="shared" si="3"/>
        <v>0.50145796335908344</v>
      </c>
      <c r="K20">
        <f t="shared" si="4"/>
        <v>-0.30000000000000071</v>
      </c>
      <c r="L20">
        <f t="shared" si="5"/>
        <v>0.20845796335908273</v>
      </c>
      <c r="N20">
        <f t="shared" si="0"/>
        <v>0.18426918426918426</v>
      </c>
    </row>
    <row r="21" spans="1:14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G21">
        <f t="shared" si="1"/>
        <v>0.20885720885720893</v>
      </c>
      <c r="I21">
        <f t="shared" si="2"/>
        <v>6.9999999999999958E-3</v>
      </c>
      <c r="J21">
        <f t="shared" si="3"/>
        <v>0.50145796335908344</v>
      </c>
      <c r="K21">
        <f t="shared" si="4"/>
        <v>-0.30000000000000071</v>
      </c>
      <c r="L21">
        <f t="shared" si="5"/>
        <v>0.20845796335908273</v>
      </c>
      <c r="N21">
        <f t="shared" si="0"/>
        <v>0.20885720885720893</v>
      </c>
    </row>
    <row r="22" spans="1:14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G22">
        <f t="shared" si="1"/>
        <v>0.1371691371691372</v>
      </c>
      <c r="I22">
        <f t="shared" si="2"/>
        <v>0.99049999999999994</v>
      </c>
      <c r="J22">
        <f t="shared" si="3"/>
        <v>0.28305141215483332</v>
      </c>
      <c r="K22">
        <f t="shared" si="4"/>
        <v>-0.30000000000000071</v>
      </c>
      <c r="L22">
        <f t="shared" si="5"/>
        <v>0.97355141215483254</v>
      </c>
      <c r="N22">
        <f t="shared" si="0"/>
        <v>0.1371691371691372</v>
      </c>
    </row>
    <row r="23" spans="1:14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G23">
        <f t="shared" si="1"/>
        <v>0.18929418929418931</v>
      </c>
      <c r="I23">
        <f t="shared" si="2"/>
        <v>0.99049999999999994</v>
      </c>
      <c r="J23">
        <f t="shared" si="3"/>
        <v>0.28305141215483332</v>
      </c>
      <c r="K23">
        <f t="shared" si="4"/>
        <v>-0.30000000000000071</v>
      </c>
      <c r="L23">
        <f t="shared" si="5"/>
        <v>0.97355141215483254</v>
      </c>
      <c r="N23">
        <f t="shared" si="0"/>
        <v>0.18929418929418931</v>
      </c>
    </row>
    <row r="24" spans="1:14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G24">
        <f t="shared" si="1"/>
        <v>0.13476613476613483</v>
      </c>
      <c r="I24">
        <f t="shared" si="2"/>
        <v>0.99049999999999994</v>
      </c>
      <c r="J24">
        <f t="shared" si="3"/>
        <v>0.28305141215483332</v>
      </c>
      <c r="K24">
        <f t="shared" si="4"/>
        <v>-0.30000000000000071</v>
      </c>
      <c r="L24">
        <f t="shared" si="5"/>
        <v>0.97355141215483254</v>
      </c>
      <c r="N24">
        <f t="shared" si="0"/>
        <v>0.13476613476613483</v>
      </c>
    </row>
    <row r="25" spans="1:14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G25">
        <f t="shared" si="1"/>
        <v>0.18343218343218343</v>
      </c>
      <c r="I25">
        <f t="shared" si="2"/>
        <v>0.99049999999999994</v>
      </c>
      <c r="J25">
        <f t="shared" si="3"/>
        <v>0.28305141215483332</v>
      </c>
      <c r="K25">
        <f t="shared" si="4"/>
        <v>-0.30000000000000071</v>
      </c>
      <c r="L25">
        <f t="shared" si="5"/>
        <v>0.97355141215483254</v>
      </c>
      <c r="N25">
        <f t="shared" si="0"/>
        <v>0.18343218343218343</v>
      </c>
    </row>
    <row r="26" spans="1:14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G26">
        <f t="shared" si="1"/>
        <v>0.17034317034317034</v>
      </c>
      <c r="I26">
        <f t="shared" si="2"/>
        <v>0.99049999999999994</v>
      </c>
      <c r="J26">
        <f t="shared" si="3"/>
        <v>0.28305141215483332</v>
      </c>
      <c r="K26">
        <f t="shared" si="4"/>
        <v>-0.30000000000000071</v>
      </c>
      <c r="L26">
        <f t="shared" si="5"/>
        <v>0.97355141215483254</v>
      </c>
      <c r="N26">
        <f t="shared" si="0"/>
        <v>0.17034317034317034</v>
      </c>
    </row>
    <row r="27" spans="1:14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G27">
        <f t="shared" si="1"/>
        <v>9.0012090012090068E-2</v>
      </c>
      <c r="I27">
        <f t="shared" si="2"/>
        <v>0.99049999999999994</v>
      </c>
      <c r="J27">
        <f t="shared" si="3"/>
        <v>0.28305141215483332</v>
      </c>
      <c r="K27">
        <f t="shared" si="4"/>
        <v>-0.30000000000000071</v>
      </c>
      <c r="L27">
        <f t="shared" si="5"/>
        <v>0.97355141215483254</v>
      </c>
      <c r="N27">
        <f t="shared" si="0"/>
        <v>9.0012090012090068E-2</v>
      </c>
    </row>
    <row r="28" spans="1:14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G28">
        <f t="shared" si="1"/>
        <v>0.18559218559218568</v>
      </c>
      <c r="I28">
        <f t="shared" si="2"/>
        <v>0.99049999999999994</v>
      </c>
      <c r="J28">
        <f t="shared" si="3"/>
        <v>0.28305141215483332</v>
      </c>
      <c r="K28">
        <f t="shared" si="4"/>
        <v>-0.30000000000000071</v>
      </c>
      <c r="L28">
        <f t="shared" si="5"/>
        <v>0.97355141215483254</v>
      </c>
      <c r="N28">
        <f t="shared" si="0"/>
        <v>0.18559218559218568</v>
      </c>
    </row>
    <row r="29" spans="1:14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G29">
        <f t="shared" si="1"/>
        <v>0.12043512043512054</v>
      </c>
      <c r="I29">
        <f t="shared" si="2"/>
        <v>0.99049999999999994</v>
      </c>
      <c r="J29">
        <f t="shared" si="3"/>
        <v>0.28305141215483332</v>
      </c>
      <c r="K29">
        <f t="shared" si="4"/>
        <v>-0.30000000000000071</v>
      </c>
      <c r="L29">
        <f t="shared" si="5"/>
        <v>0.97355141215483254</v>
      </c>
      <c r="N29">
        <f t="shared" si="0"/>
        <v>0.12043512043512054</v>
      </c>
    </row>
    <row r="30" spans="1:14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G30">
        <f t="shared" si="1"/>
        <v>0.16009216009216018</v>
      </c>
      <c r="I30">
        <f t="shared" si="2"/>
        <v>0.99049999999999994</v>
      </c>
      <c r="J30">
        <f t="shared" si="3"/>
        <v>0.28305141215483332</v>
      </c>
      <c r="K30">
        <f t="shared" si="4"/>
        <v>-0.30000000000000071</v>
      </c>
      <c r="L30">
        <f t="shared" si="5"/>
        <v>0.97355141215483254</v>
      </c>
      <c r="N30">
        <f t="shared" si="0"/>
        <v>0.16009216009216018</v>
      </c>
    </row>
    <row r="31" spans="1:14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G31">
        <f t="shared" si="1"/>
        <v>6.7992067992068125E-2</v>
      </c>
      <c r="I31">
        <f t="shared" si="2"/>
        <v>0.99049999999999994</v>
      </c>
      <c r="J31">
        <f t="shared" si="3"/>
        <v>0.28305141215483332</v>
      </c>
      <c r="K31">
        <f t="shared" si="4"/>
        <v>-0.30000000000000071</v>
      </c>
      <c r="L31">
        <f t="shared" si="5"/>
        <v>0.97355141215483254</v>
      </c>
      <c r="N31">
        <f t="shared" si="0"/>
        <v>6.7992067992068125E-2</v>
      </c>
    </row>
    <row r="32" spans="1:14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G32">
        <f t="shared" si="1"/>
        <v>0.11629211629211632</v>
      </c>
      <c r="I32">
        <f t="shared" si="2"/>
        <v>0.99049999999999994</v>
      </c>
      <c r="J32">
        <f t="shared" si="3"/>
        <v>0.28305141215483332</v>
      </c>
      <c r="K32">
        <f t="shared" si="4"/>
        <v>-0.30000000000000071</v>
      </c>
      <c r="L32">
        <f t="shared" si="5"/>
        <v>0.97355141215483254</v>
      </c>
      <c r="N32">
        <f t="shared" si="0"/>
        <v>0.11629211629211632</v>
      </c>
    </row>
    <row r="33" spans="1:14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G33">
        <f t="shared" si="1"/>
        <v>6.3222063222063252E-2</v>
      </c>
      <c r="I33">
        <f t="shared" si="2"/>
        <v>0.99049999999999994</v>
      </c>
      <c r="J33">
        <f t="shared" si="3"/>
        <v>0.28305141215483332</v>
      </c>
      <c r="K33">
        <f t="shared" si="4"/>
        <v>-0.30000000000000071</v>
      </c>
      <c r="L33">
        <f t="shared" si="5"/>
        <v>0.97355141215483254</v>
      </c>
      <c r="N33">
        <f t="shared" si="0"/>
        <v>6.3222063222063252E-2</v>
      </c>
    </row>
    <row r="34" spans="1:14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G34">
        <f t="shared" si="1"/>
        <v>6.464406464406465E-2</v>
      </c>
      <c r="I34">
        <f t="shared" si="2"/>
        <v>0.99049999999999994</v>
      </c>
      <c r="J34">
        <f t="shared" si="3"/>
        <v>0.28305141215483332</v>
      </c>
      <c r="K34">
        <f t="shared" si="4"/>
        <v>-0.30000000000000071</v>
      </c>
      <c r="L34">
        <f t="shared" si="5"/>
        <v>0.97355141215483254</v>
      </c>
      <c r="N34">
        <f t="shared" ref="N34:N65" si="6">G34</f>
        <v>6.464406464406465E-2</v>
      </c>
    </row>
    <row r="35" spans="1:14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G35">
        <f t="shared" si="1"/>
        <v>0.12816612816612827</v>
      </c>
      <c r="I35">
        <f t="shared" si="2"/>
        <v>0.99049999999999994</v>
      </c>
      <c r="J35">
        <f t="shared" si="3"/>
        <v>0.28305141215483332</v>
      </c>
      <c r="K35">
        <f t="shared" si="4"/>
        <v>-0.30000000000000071</v>
      </c>
      <c r="L35">
        <f t="shared" si="5"/>
        <v>0.97355141215483254</v>
      </c>
      <c r="N35">
        <f t="shared" si="6"/>
        <v>0.12816612816612827</v>
      </c>
    </row>
    <row r="36" spans="1:14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G36">
        <f t="shared" si="1"/>
        <v>0.11077811077811091</v>
      </c>
      <c r="I36">
        <f t="shared" si="2"/>
        <v>2.7404999999999999</v>
      </c>
      <c r="J36">
        <f t="shared" si="3"/>
        <v>0.58266196080932886</v>
      </c>
      <c r="K36">
        <f t="shared" si="4"/>
        <v>-0.30000000000000071</v>
      </c>
      <c r="L36">
        <f t="shared" si="5"/>
        <v>3.0231619608093281</v>
      </c>
      <c r="N36">
        <f t="shared" si="6"/>
        <v>0.11077811077811091</v>
      </c>
    </row>
    <row r="37" spans="1:14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G37">
        <f t="shared" si="1"/>
        <v>6.9117069117069246E-2</v>
      </c>
      <c r="I37">
        <f t="shared" si="2"/>
        <v>2.7404999999999999</v>
      </c>
      <c r="J37">
        <f t="shared" si="3"/>
        <v>0.58266196080932886</v>
      </c>
      <c r="K37">
        <f t="shared" si="4"/>
        <v>-0.30000000000000071</v>
      </c>
      <c r="L37">
        <f t="shared" si="5"/>
        <v>3.0231619608093281</v>
      </c>
      <c r="N37">
        <f t="shared" si="6"/>
        <v>6.9117069117069246E-2</v>
      </c>
    </row>
    <row r="38" spans="1:14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G38">
        <f t="shared" si="1"/>
        <v>8.5020085020085109E-2</v>
      </c>
      <c r="I38">
        <f t="shared" si="2"/>
        <v>2.7404999999999999</v>
      </c>
      <c r="J38">
        <f t="shared" si="3"/>
        <v>0.58266196080932886</v>
      </c>
      <c r="K38">
        <f t="shared" si="4"/>
        <v>-0.30000000000000071</v>
      </c>
      <c r="L38">
        <f t="shared" si="5"/>
        <v>3.0231619608093281</v>
      </c>
      <c r="N38">
        <f t="shared" si="6"/>
        <v>8.5020085020085109E-2</v>
      </c>
    </row>
    <row r="39" spans="1:14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G39">
        <f t="shared" si="1"/>
        <v>0.11979311979311991</v>
      </c>
      <c r="I39">
        <f t="shared" si="2"/>
        <v>2.7404999999999999</v>
      </c>
      <c r="J39">
        <f t="shared" si="3"/>
        <v>0.58266196080932886</v>
      </c>
      <c r="K39">
        <f t="shared" si="4"/>
        <v>-0.30000000000000071</v>
      </c>
      <c r="L39">
        <f t="shared" si="5"/>
        <v>3.0231619608093281</v>
      </c>
      <c r="N39">
        <f t="shared" si="6"/>
        <v>0.11979311979311991</v>
      </c>
    </row>
    <row r="40" spans="1:14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G40">
        <f t="shared" si="1"/>
        <v>9.4314094314094446E-2</v>
      </c>
      <c r="I40">
        <f t="shared" si="2"/>
        <v>2.7404999999999999</v>
      </c>
      <c r="J40">
        <f t="shared" si="3"/>
        <v>0.58266196080932886</v>
      </c>
      <c r="K40">
        <f t="shared" si="4"/>
        <v>-0.30000000000000071</v>
      </c>
      <c r="L40">
        <f t="shared" si="5"/>
        <v>3.0231619608093281</v>
      </c>
      <c r="N40">
        <f t="shared" si="6"/>
        <v>9.4314094314094446E-2</v>
      </c>
    </row>
    <row r="41" spans="1:14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G41">
        <f t="shared" si="1"/>
        <v>0.15705315705315703</v>
      </c>
      <c r="I41">
        <f t="shared" si="2"/>
        <v>2.7404999999999999</v>
      </c>
      <c r="J41">
        <f t="shared" si="3"/>
        <v>0.58266196080932886</v>
      </c>
      <c r="K41">
        <f t="shared" si="4"/>
        <v>-0.30000000000000071</v>
      </c>
      <c r="L41">
        <f t="shared" si="5"/>
        <v>3.0231619608093281</v>
      </c>
      <c r="N41">
        <f t="shared" si="6"/>
        <v>0.15705315705315703</v>
      </c>
    </row>
    <row r="42" spans="1:14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G42">
        <f t="shared" si="1"/>
        <v>7.9083079083079211E-2</v>
      </c>
      <c r="I42">
        <f t="shared" si="2"/>
        <v>2.7404999999999999</v>
      </c>
      <c r="J42">
        <f t="shared" si="3"/>
        <v>0.58266196080932886</v>
      </c>
      <c r="K42">
        <f t="shared" si="4"/>
        <v>-0.30000000000000071</v>
      </c>
      <c r="L42">
        <f t="shared" si="5"/>
        <v>3.0231619608093281</v>
      </c>
      <c r="N42">
        <f t="shared" si="6"/>
        <v>7.9083079083079211E-2</v>
      </c>
    </row>
    <row r="43" spans="1:14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G43">
        <f t="shared" si="1"/>
        <v>9.0978090978091036E-2</v>
      </c>
      <c r="I43">
        <f t="shared" si="2"/>
        <v>2.7404999999999999</v>
      </c>
      <c r="J43">
        <f t="shared" si="3"/>
        <v>0.58266196080932886</v>
      </c>
      <c r="K43">
        <f t="shared" si="4"/>
        <v>-0.30000000000000071</v>
      </c>
      <c r="L43">
        <f t="shared" si="5"/>
        <v>3.0231619608093281</v>
      </c>
      <c r="N43">
        <f t="shared" si="6"/>
        <v>9.0978090978091036E-2</v>
      </c>
    </row>
    <row r="44" spans="1:14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G44">
        <f t="shared" si="1"/>
        <v>0.13791013791013798</v>
      </c>
      <c r="I44">
        <f t="shared" si="2"/>
        <v>2.7404999999999999</v>
      </c>
      <c r="J44">
        <f t="shared" si="3"/>
        <v>0.58266196080932886</v>
      </c>
      <c r="K44">
        <f t="shared" si="4"/>
        <v>-0.30000000000000071</v>
      </c>
      <c r="L44">
        <f t="shared" si="5"/>
        <v>3.0231619608093281</v>
      </c>
      <c r="N44">
        <f t="shared" si="6"/>
        <v>0.13791013791013798</v>
      </c>
    </row>
    <row r="45" spans="1:14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G45">
        <f t="shared" si="1"/>
        <v>8.4546084546084588E-2</v>
      </c>
      <c r="I45">
        <f t="shared" si="2"/>
        <v>2.7404999999999999</v>
      </c>
      <c r="J45">
        <f t="shared" si="3"/>
        <v>0.58266196080932886</v>
      </c>
      <c r="K45">
        <f t="shared" si="4"/>
        <v>-0.30000000000000071</v>
      </c>
      <c r="L45">
        <f t="shared" si="5"/>
        <v>3.0231619608093281</v>
      </c>
      <c r="N45">
        <f t="shared" si="6"/>
        <v>8.4546084546084588E-2</v>
      </c>
    </row>
    <row r="46" spans="1:14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G46">
        <f t="shared" si="1"/>
        <v>7.3362073362073385E-2</v>
      </c>
      <c r="I46">
        <f t="shared" si="2"/>
        <v>2.7404999999999999</v>
      </c>
      <c r="J46">
        <f t="shared" si="3"/>
        <v>0.58266196080932886</v>
      </c>
      <c r="K46">
        <f t="shared" si="4"/>
        <v>-0.30000000000000071</v>
      </c>
      <c r="L46">
        <f t="shared" si="5"/>
        <v>3.0231619608093281</v>
      </c>
      <c r="N46">
        <f t="shared" si="6"/>
        <v>7.3362073362073385E-2</v>
      </c>
    </row>
    <row r="47" spans="1:14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G47">
        <f t="shared" si="1"/>
        <v>0.17003417003417018</v>
      </c>
      <c r="I47">
        <f t="shared" si="2"/>
        <v>2.7404999999999999</v>
      </c>
      <c r="J47">
        <f t="shared" si="3"/>
        <v>0.58266196080932886</v>
      </c>
      <c r="K47">
        <f t="shared" si="4"/>
        <v>-0.30000000000000071</v>
      </c>
      <c r="L47">
        <f t="shared" si="5"/>
        <v>3.0231619608093281</v>
      </c>
      <c r="N47">
        <f t="shared" si="6"/>
        <v>0.17003417003417018</v>
      </c>
    </row>
    <row r="48" spans="1:14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G48">
        <f t="shared" si="1"/>
        <v>9.7260097260097295E-2</v>
      </c>
      <c r="I48">
        <f t="shared" si="2"/>
        <v>4.1404999999999994</v>
      </c>
      <c r="J48">
        <f t="shared" si="3"/>
        <v>0.43985732243822895</v>
      </c>
      <c r="K48">
        <f t="shared" si="4"/>
        <v>-0.30000000000000071</v>
      </c>
      <c r="L48">
        <f t="shared" si="5"/>
        <v>4.2803573224382276</v>
      </c>
      <c r="N48">
        <f t="shared" si="6"/>
        <v>9.7260097260097295E-2</v>
      </c>
    </row>
    <row r="49" spans="1:14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G49">
        <f t="shared" si="1"/>
        <v>0.14444114444114459</v>
      </c>
      <c r="I49">
        <f t="shared" si="2"/>
        <v>4.1404999999999994</v>
      </c>
      <c r="J49">
        <f t="shared" si="3"/>
        <v>0.43985732243822895</v>
      </c>
      <c r="K49">
        <f t="shared" si="4"/>
        <v>-0.30000000000000071</v>
      </c>
      <c r="L49">
        <f t="shared" si="5"/>
        <v>4.2803573224382276</v>
      </c>
      <c r="N49">
        <f t="shared" si="6"/>
        <v>0.14444114444114459</v>
      </c>
    </row>
    <row r="50" spans="1:14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G50">
        <f t="shared" si="1"/>
        <v>0.14603114603114609</v>
      </c>
      <c r="I50">
        <f t="shared" si="2"/>
        <v>4.1404999999999994</v>
      </c>
      <c r="J50">
        <f t="shared" si="3"/>
        <v>0.43985732243822895</v>
      </c>
      <c r="K50">
        <f t="shared" si="4"/>
        <v>-0.30000000000000071</v>
      </c>
      <c r="L50">
        <f t="shared" si="5"/>
        <v>4.2803573224382276</v>
      </c>
      <c r="N50">
        <f t="shared" si="6"/>
        <v>0.14603114603114609</v>
      </c>
    </row>
    <row r="51" spans="1:14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G51">
        <f t="shared" si="1"/>
        <v>0.12197412197412201</v>
      </c>
      <c r="I51">
        <f t="shared" si="2"/>
        <v>4.1404999999999994</v>
      </c>
      <c r="J51">
        <f t="shared" si="3"/>
        <v>0.43985732243822895</v>
      </c>
      <c r="K51">
        <f t="shared" si="4"/>
        <v>-0.30000000000000071</v>
      </c>
      <c r="L51">
        <f t="shared" si="5"/>
        <v>4.2803573224382276</v>
      </c>
      <c r="N51">
        <f t="shared" si="6"/>
        <v>0.12197412197412201</v>
      </c>
    </row>
    <row r="52" spans="1:14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G52">
        <f t="shared" si="1"/>
        <v>7.5276075276075397E-2</v>
      </c>
      <c r="I52">
        <f t="shared" si="2"/>
        <v>4.1404999999999994</v>
      </c>
      <c r="J52">
        <f t="shared" si="3"/>
        <v>0.43985732243822895</v>
      </c>
      <c r="K52">
        <f t="shared" si="4"/>
        <v>-0.30000000000000071</v>
      </c>
      <c r="L52">
        <f t="shared" si="5"/>
        <v>4.2803573224382276</v>
      </c>
      <c r="N52">
        <f t="shared" si="6"/>
        <v>7.5276075276075397E-2</v>
      </c>
    </row>
    <row r="53" spans="1:14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G53">
        <f t="shared" si="1"/>
        <v>0.19237819237819245</v>
      </c>
      <c r="I53">
        <f t="shared" si="2"/>
        <v>4.1404999999999994</v>
      </c>
      <c r="J53">
        <f t="shared" si="3"/>
        <v>0.43985732243822895</v>
      </c>
      <c r="K53">
        <f t="shared" si="4"/>
        <v>-0.30000000000000071</v>
      </c>
      <c r="L53">
        <f t="shared" si="5"/>
        <v>4.2803573224382276</v>
      </c>
      <c r="N53">
        <f t="shared" si="6"/>
        <v>0.19237819237819245</v>
      </c>
    </row>
    <row r="54" spans="1:14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G54">
        <f t="shared" si="1"/>
        <v>0.22926922926922927</v>
      </c>
      <c r="I54">
        <f t="shared" si="2"/>
        <v>4.1404999999999994</v>
      </c>
      <c r="J54">
        <f t="shared" si="3"/>
        <v>0.43985732243822895</v>
      </c>
      <c r="K54">
        <f t="shared" si="4"/>
        <v>-0.30000000000000071</v>
      </c>
      <c r="L54">
        <f t="shared" si="5"/>
        <v>4.2803573224382276</v>
      </c>
      <c r="N54">
        <f t="shared" si="6"/>
        <v>0.22926922926922927</v>
      </c>
    </row>
    <row r="55" spans="1:14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G55">
        <f t="shared" si="1"/>
        <v>0.25654825654825658</v>
      </c>
      <c r="I55">
        <f t="shared" si="2"/>
        <v>4.1404999999999994</v>
      </c>
      <c r="J55">
        <f t="shared" si="3"/>
        <v>0.43985732243822895</v>
      </c>
      <c r="K55">
        <f t="shared" si="4"/>
        <v>-0.30000000000000071</v>
      </c>
      <c r="L55">
        <f t="shared" si="5"/>
        <v>4.2803573224382276</v>
      </c>
      <c r="N55">
        <f t="shared" si="6"/>
        <v>0.25654825654825658</v>
      </c>
    </row>
    <row r="56" spans="1:14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G56">
        <f t="shared" si="1"/>
        <v>0.21369021369021374</v>
      </c>
      <c r="I56">
        <f t="shared" si="2"/>
        <v>4.1404999999999994</v>
      </c>
      <c r="J56">
        <f t="shared" si="3"/>
        <v>0.43985732243822895</v>
      </c>
      <c r="K56">
        <f t="shared" si="4"/>
        <v>-0.30000000000000071</v>
      </c>
      <c r="L56">
        <f t="shared" si="5"/>
        <v>4.2803573224382276</v>
      </c>
      <c r="N56">
        <f t="shared" si="6"/>
        <v>0.21369021369021374</v>
      </c>
    </row>
    <row r="57" spans="1:14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G57">
        <f t="shared" si="1"/>
        <v>0.10111810111810116</v>
      </c>
      <c r="I57">
        <f t="shared" si="2"/>
        <v>4.1404999999999994</v>
      </c>
      <c r="J57">
        <f t="shared" si="3"/>
        <v>0.43985732243822895</v>
      </c>
      <c r="K57">
        <f t="shared" si="4"/>
        <v>-0.30000000000000071</v>
      </c>
      <c r="L57">
        <f t="shared" si="5"/>
        <v>4.2803573224382276</v>
      </c>
      <c r="N57">
        <f t="shared" si="6"/>
        <v>0.10111810111810116</v>
      </c>
    </row>
    <row r="58" spans="1:14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G58">
        <f t="shared" si="1"/>
        <v>3.3228033228033291E-2</v>
      </c>
      <c r="I58">
        <f t="shared" si="2"/>
        <v>4.1404999999999994</v>
      </c>
      <c r="J58">
        <f t="shared" si="3"/>
        <v>0.43985732243822895</v>
      </c>
      <c r="K58">
        <f t="shared" si="4"/>
        <v>-0.30000000000000071</v>
      </c>
      <c r="L58">
        <f t="shared" si="5"/>
        <v>4.2803573224382276</v>
      </c>
      <c r="N58">
        <f t="shared" si="6"/>
        <v>3.3228033228033291E-2</v>
      </c>
    </row>
    <row r="59" spans="1:14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G59">
        <f t="shared" si="1"/>
        <v>0.1889131889131889</v>
      </c>
      <c r="I59">
        <f t="shared" si="2"/>
        <v>4.1404999999999994</v>
      </c>
      <c r="J59">
        <f t="shared" si="3"/>
        <v>0.43985732243822895</v>
      </c>
      <c r="K59">
        <f t="shared" si="4"/>
        <v>-0.30000000000000071</v>
      </c>
      <c r="L59">
        <f t="shared" si="5"/>
        <v>4.2803573224382276</v>
      </c>
      <c r="N59">
        <f t="shared" si="6"/>
        <v>0.1889131889131889</v>
      </c>
    </row>
    <row r="60" spans="1:14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G60">
        <f t="shared" si="1"/>
        <v>0.1218361218361219</v>
      </c>
      <c r="I60">
        <f t="shared" si="2"/>
        <v>4.1404999999999994</v>
      </c>
      <c r="J60">
        <f t="shared" si="3"/>
        <v>0.43985732243822895</v>
      </c>
      <c r="K60">
        <f t="shared" si="4"/>
        <v>-0.30000000000000071</v>
      </c>
      <c r="L60">
        <f t="shared" si="5"/>
        <v>4.2803573224382276</v>
      </c>
      <c r="N60">
        <f t="shared" si="6"/>
        <v>0.1218361218361219</v>
      </c>
    </row>
    <row r="61" spans="1:14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G61">
        <f t="shared" si="1"/>
        <v>9.9591099591099588E-2</v>
      </c>
      <c r="I61">
        <f t="shared" si="2"/>
        <v>4.1404999999999994</v>
      </c>
      <c r="J61">
        <f t="shared" si="3"/>
        <v>0.43985732243822895</v>
      </c>
      <c r="K61">
        <f t="shared" si="4"/>
        <v>-0.30000000000000071</v>
      </c>
      <c r="L61">
        <f t="shared" si="5"/>
        <v>4.2803573224382276</v>
      </c>
      <c r="N61">
        <f t="shared" si="6"/>
        <v>9.9591099591099588E-2</v>
      </c>
    </row>
    <row r="62" spans="1:14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G62">
        <f t="shared" si="1"/>
        <v>0.17869517869517884</v>
      </c>
      <c r="I62">
        <f t="shared" si="2"/>
        <v>7.2904999999999989</v>
      </c>
      <c r="J62">
        <f t="shared" si="3"/>
        <v>-9.2156901541862624E-2</v>
      </c>
      <c r="K62">
        <f t="shared" si="4"/>
        <v>-0.30000000000000071</v>
      </c>
      <c r="L62">
        <f t="shared" si="5"/>
        <v>6.8983430984581355</v>
      </c>
      <c r="N62">
        <f t="shared" si="6"/>
        <v>0.17869517869517884</v>
      </c>
    </row>
    <row r="63" spans="1:14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G63">
        <f t="shared" si="1"/>
        <v>0.22195822195822207</v>
      </c>
      <c r="I63">
        <f t="shared" si="2"/>
        <v>7.2904999999999989</v>
      </c>
      <c r="J63">
        <f t="shared" si="3"/>
        <v>-9.2156901541862624E-2</v>
      </c>
      <c r="K63">
        <f t="shared" si="4"/>
        <v>-0.30000000000000071</v>
      </c>
      <c r="L63">
        <f t="shared" si="5"/>
        <v>6.8983430984581355</v>
      </c>
      <c r="N63">
        <f t="shared" si="6"/>
        <v>0.22195822195822207</v>
      </c>
    </row>
    <row r="64" spans="1:14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G64">
        <f t="shared" si="1"/>
        <v>0.20695520695520697</v>
      </c>
      <c r="I64">
        <f t="shared" si="2"/>
        <v>7.2904999999999989</v>
      </c>
      <c r="J64">
        <f t="shared" si="3"/>
        <v>-9.2156901541862624E-2</v>
      </c>
      <c r="K64">
        <f t="shared" si="4"/>
        <v>-0.30000000000000071</v>
      </c>
      <c r="L64">
        <f t="shared" si="5"/>
        <v>6.8983430984581355</v>
      </c>
      <c r="N64">
        <f t="shared" si="6"/>
        <v>0.20695520695520697</v>
      </c>
    </row>
    <row r="65" spans="1:14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G65">
        <f t="shared" si="1"/>
        <v>0.12630312630312629</v>
      </c>
      <c r="I65">
        <f t="shared" si="2"/>
        <v>7.2904999999999989</v>
      </c>
      <c r="J65">
        <f t="shared" si="3"/>
        <v>-9.2156901541862624E-2</v>
      </c>
      <c r="K65">
        <f t="shared" si="4"/>
        <v>-0.30000000000000071</v>
      </c>
      <c r="L65">
        <f t="shared" si="5"/>
        <v>6.8983430984581355</v>
      </c>
      <c r="N65">
        <f t="shared" si="6"/>
        <v>0.12630312630312629</v>
      </c>
    </row>
    <row r="66" spans="1:14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G66">
        <f t="shared" si="1"/>
        <v>0.1312471312471313</v>
      </c>
      <c r="I66">
        <f t="shared" si="2"/>
        <v>7.2904999999999989</v>
      </c>
      <c r="J66">
        <f t="shared" si="3"/>
        <v>-9.2156901541862624E-2</v>
      </c>
      <c r="K66">
        <f t="shared" si="4"/>
        <v>-0.30000000000000071</v>
      </c>
      <c r="L66">
        <f t="shared" si="5"/>
        <v>6.8983430984581355</v>
      </c>
      <c r="N66">
        <f t="shared" ref="N66:N82" si="7">G66</f>
        <v>0.1312471312471313</v>
      </c>
    </row>
    <row r="67" spans="1:14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G67">
        <f t="shared" ref="G67:G130" si="8">($F$343-F67)/$F$343</f>
        <v>0.16843216843216843</v>
      </c>
      <c r="I67">
        <f t="shared" ref="I67:I130" si="9">(E67-0.17)*$U$2</f>
        <v>7.2904999999999989</v>
      </c>
      <c r="J67">
        <f t="shared" ref="J67:J130" si="10">(8-D67)*$U$4</f>
        <v>-9.2156901541862624E-2</v>
      </c>
      <c r="K67">
        <f t="shared" ref="K67:K130" si="11">(C67-20)*$U$3</f>
        <v>-0.30000000000000071</v>
      </c>
      <c r="L67">
        <f t="shared" ref="L67:L130" si="12">SUM(I67:K67)</f>
        <v>6.8983430984581355</v>
      </c>
      <c r="N67">
        <f t="shared" si="7"/>
        <v>0.16843216843216843</v>
      </c>
    </row>
    <row r="68" spans="1:14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G68">
        <f t="shared" si="8"/>
        <v>0.19862119862119876</v>
      </c>
      <c r="I68">
        <f t="shared" si="9"/>
        <v>7.2904999999999989</v>
      </c>
      <c r="J68">
        <f t="shared" si="10"/>
        <v>-9.2156901541862624E-2</v>
      </c>
      <c r="K68">
        <f t="shared" si="11"/>
        <v>-0.30000000000000071</v>
      </c>
      <c r="L68">
        <f t="shared" si="12"/>
        <v>6.8983430984581355</v>
      </c>
      <c r="N68">
        <f t="shared" si="7"/>
        <v>0.19862119862119876</v>
      </c>
    </row>
    <row r="69" spans="1:14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G69">
        <f t="shared" si="8"/>
        <v>0.20203820203820202</v>
      </c>
      <c r="I69">
        <f t="shared" si="9"/>
        <v>7.2904999999999989</v>
      </c>
      <c r="J69">
        <f t="shared" si="10"/>
        <v>-9.2156901541862624E-2</v>
      </c>
      <c r="K69">
        <f t="shared" si="11"/>
        <v>-0.30000000000000071</v>
      </c>
      <c r="L69">
        <f t="shared" si="12"/>
        <v>6.8983430984581355</v>
      </c>
      <c r="N69">
        <f t="shared" si="7"/>
        <v>0.20203820203820202</v>
      </c>
    </row>
    <row r="70" spans="1:14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G70">
        <f t="shared" si="8"/>
        <v>0.21662721662721662</v>
      </c>
      <c r="I70">
        <f t="shared" si="9"/>
        <v>7.2904999999999989</v>
      </c>
      <c r="J70">
        <f t="shared" si="10"/>
        <v>-9.2156901541862624E-2</v>
      </c>
      <c r="K70">
        <f t="shared" si="11"/>
        <v>-0.30000000000000071</v>
      </c>
      <c r="L70">
        <f t="shared" si="12"/>
        <v>6.8983430984581355</v>
      </c>
      <c r="N70">
        <f t="shared" si="7"/>
        <v>0.21662721662721662</v>
      </c>
    </row>
    <row r="71" spans="1:14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G71">
        <f t="shared" si="8"/>
        <v>0.22974622974622988</v>
      </c>
      <c r="I71">
        <f t="shared" si="9"/>
        <v>7.2904999999999989</v>
      </c>
      <c r="J71">
        <f t="shared" si="10"/>
        <v>-9.2156901541862624E-2</v>
      </c>
      <c r="K71">
        <f t="shared" si="11"/>
        <v>-0.30000000000000071</v>
      </c>
      <c r="L71">
        <f t="shared" si="12"/>
        <v>6.8983430984581355</v>
      </c>
      <c r="N71">
        <f t="shared" si="7"/>
        <v>0.22974622974622988</v>
      </c>
    </row>
    <row r="72" spans="1:14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G72">
        <f t="shared" si="8"/>
        <v>0.21427221427221435</v>
      </c>
      <c r="I72">
        <f t="shared" si="9"/>
        <v>7.2904999999999989</v>
      </c>
      <c r="J72">
        <f t="shared" si="10"/>
        <v>-9.2156901541862624E-2</v>
      </c>
      <c r="K72">
        <f t="shared" si="11"/>
        <v>-0.30000000000000071</v>
      </c>
      <c r="L72">
        <f t="shared" si="12"/>
        <v>6.8983430984581355</v>
      </c>
      <c r="N72">
        <f t="shared" si="7"/>
        <v>0.21427221427221435</v>
      </c>
    </row>
    <row r="73" spans="1:14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G73">
        <f t="shared" si="8"/>
        <v>0.20742920742920751</v>
      </c>
      <c r="I73">
        <f t="shared" si="9"/>
        <v>7.2904999999999989</v>
      </c>
      <c r="J73">
        <f t="shared" si="10"/>
        <v>-9.2156901541862624E-2</v>
      </c>
      <c r="K73">
        <f t="shared" si="11"/>
        <v>-0.30000000000000071</v>
      </c>
      <c r="L73">
        <f t="shared" si="12"/>
        <v>6.8983430984581355</v>
      </c>
      <c r="N73">
        <f t="shared" si="7"/>
        <v>0.20742920742920751</v>
      </c>
    </row>
    <row r="74" spans="1:14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G74">
        <f t="shared" si="8"/>
        <v>0.24478524478524485</v>
      </c>
      <c r="I74">
        <f t="shared" si="9"/>
        <v>7.2904999999999989</v>
      </c>
      <c r="J74">
        <f t="shared" si="10"/>
        <v>-9.2156901541862624E-2</v>
      </c>
      <c r="K74">
        <f t="shared" si="11"/>
        <v>-0.30000000000000071</v>
      </c>
      <c r="L74">
        <f t="shared" si="12"/>
        <v>6.8983430984581355</v>
      </c>
      <c r="N74">
        <f t="shared" si="7"/>
        <v>0.24478524478524485</v>
      </c>
    </row>
    <row r="75" spans="1:14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G75">
        <f t="shared" si="8"/>
        <v>0.25155925155925157</v>
      </c>
      <c r="I75">
        <f t="shared" si="9"/>
        <v>7.2904999999999989</v>
      </c>
      <c r="J75">
        <f t="shared" si="10"/>
        <v>-9.2156901541862624E-2</v>
      </c>
      <c r="K75">
        <f t="shared" si="11"/>
        <v>-0.30000000000000071</v>
      </c>
      <c r="L75">
        <f t="shared" si="12"/>
        <v>6.8983430984581355</v>
      </c>
      <c r="N75">
        <f t="shared" si="7"/>
        <v>0.25155925155925157</v>
      </c>
    </row>
    <row r="76" spans="1:14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G76">
        <f t="shared" si="8"/>
        <v>0.16445416445416455</v>
      </c>
      <c r="I76">
        <f t="shared" si="9"/>
        <v>7.2904999999999989</v>
      </c>
      <c r="J76">
        <f t="shared" si="10"/>
        <v>-9.2156901541862624E-2</v>
      </c>
      <c r="K76">
        <f t="shared" si="11"/>
        <v>-0.30000000000000071</v>
      </c>
      <c r="L76">
        <f t="shared" si="12"/>
        <v>6.8983430984581355</v>
      </c>
      <c r="N76">
        <f t="shared" si="7"/>
        <v>0.16445416445416455</v>
      </c>
    </row>
    <row r="77" spans="1:14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G77">
        <f t="shared" si="8"/>
        <v>0.18346518346518353</v>
      </c>
      <c r="I77">
        <f t="shared" si="9"/>
        <v>7.2904999999999989</v>
      </c>
      <c r="J77">
        <f t="shared" si="10"/>
        <v>-9.2156901541862624E-2</v>
      </c>
      <c r="K77">
        <f t="shared" si="11"/>
        <v>-0.30000000000000071</v>
      </c>
      <c r="L77">
        <f t="shared" si="12"/>
        <v>6.8983430984581355</v>
      </c>
      <c r="N77">
        <f t="shared" si="7"/>
        <v>0.18346518346518353</v>
      </c>
    </row>
    <row r="78" spans="1:14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G78">
        <f t="shared" si="8"/>
        <v>0.17519717519717518</v>
      </c>
      <c r="I78">
        <f t="shared" si="9"/>
        <v>7.2904999999999989</v>
      </c>
      <c r="J78">
        <f t="shared" si="10"/>
        <v>-9.2156901541862624E-2</v>
      </c>
      <c r="K78">
        <f t="shared" si="11"/>
        <v>-0.30000000000000071</v>
      </c>
      <c r="L78">
        <f t="shared" si="12"/>
        <v>6.8983430984581355</v>
      </c>
      <c r="N78">
        <f t="shared" si="7"/>
        <v>0.17519717519717518</v>
      </c>
    </row>
    <row r="79" spans="1:14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G79">
        <f t="shared" si="8"/>
        <v>0.18216318216318217</v>
      </c>
      <c r="I79">
        <f t="shared" si="9"/>
        <v>7.2904999999999989</v>
      </c>
      <c r="J79">
        <f t="shared" si="10"/>
        <v>-9.2156901541862624E-2</v>
      </c>
      <c r="K79">
        <f t="shared" si="11"/>
        <v>-0.30000000000000071</v>
      </c>
      <c r="L79">
        <f t="shared" si="12"/>
        <v>6.8983430984581355</v>
      </c>
      <c r="N79">
        <f t="shared" si="7"/>
        <v>0.18216318216318217</v>
      </c>
    </row>
    <row r="80" spans="1:14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G80">
        <f t="shared" si="8"/>
        <v>0.17678417678417693</v>
      </c>
      <c r="I80">
        <f t="shared" si="9"/>
        <v>7.2904999999999989</v>
      </c>
      <c r="J80">
        <f t="shared" si="10"/>
        <v>-9.2156901541862624E-2</v>
      </c>
      <c r="K80">
        <f t="shared" si="11"/>
        <v>-0.30000000000000071</v>
      </c>
      <c r="L80">
        <f t="shared" si="12"/>
        <v>6.8983430984581355</v>
      </c>
      <c r="N80">
        <f t="shared" si="7"/>
        <v>0.17678417678417693</v>
      </c>
    </row>
    <row r="81" spans="1:15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G81">
        <f t="shared" si="8"/>
        <v>0.248886248886249</v>
      </c>
      <c r="I81">
        <f t="shared" si="9"/>
        <v>7.2904999999999989</v>
      </c>
      <c r="J81">
        <f t="shared" si="10"/>
        <v>-9.2156901541862624E-2</v>
      </c>
      <c r="K81">
        <f t="shared" si="11"/>
        <v>-0.30000000000000071</v>
      </c>
      <c r="L81">
        <f t="shared" si="12"/>
        <v>6.8983430984581355</v>
      </c>
      <c r="N81">
        <f t="shared" si="7"/>
        <v>0.248886248886249</v>
      </c>
    </row>
    <row r="82" spans="1:15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G82">
        <f t="shared" si="8"/>
        <v>0.23805023805023809</v>
      </c>
      <c r="I82">
        <f t="shared" si="9"/>
        <v>7.2904999999999989</v>
      </c>
      <c r="J82">
        <f t="shared" si="10"/>
        <v>-9.2156901541862624E-2</v>
      </c>
      <c r="K82">
        <f t="shared" si="11"/>
        <v>-0.30000000000000071</v>
      </c>
      <c r="L82">
        <f t="shared" si="12"/>
        <v>6.8983430984581355</v>
      </c>
      <c r="N82">
        <f t="shared" si="7"/>
        <v>0.23805023805023809</v>
      </c>
    </row>
    <row r="83" spans="1:15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G83">
        <f t="shared" si="8"/>
        <v>7.0302070302070377E-2</v>
      </c>
      <c r="I83">
        <f t="shared" si="9"/>
        <v>6.9999999999999958E-3</v>
      </c>
      <c r="J83">
        <f t="shared" si="10"/>
        <v>0.35585504129813117</v>
      </c>
      <c r="K83">
        <f t="shared" si="11"/>
        <v>-0.30000000000000071</v>
      </c>
      <c r="L83">
        <f t="shared" si="12"/>
        <v>6.2855041298130465E-2</v>
      </c>
      <c r="O83">
        <f t="shared" ref="O83:O114" si="13">G83</f>
        <v>7.0302070302070377E-2</v>
      </c>
    </row>
    <row r="84" spans="1:15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G84">
        <f t="shared" si="8"/>
        <v>7.7016077016077086E-2</v>
      </c>
      <c r="I84">
        <f t="shared" si="9"/>
        <v>6.9999999999999958E-3</v>
      </c>
      <c r="J84">
        <f t="shared" si="10"/>
        <v>0.35585504129813117</v>
      </c>
      <c r="K84">
        <f t="shared" si="11"/>
        <v>-0.30000000000000071</v>
      </c>
      <c r="L84">
        <f t="shared" si="12"/>
        <v>6.2855041298130465E-2</v>
      </c>
      <c r="O84">
        <f t="shared" si="13"/>
        <v>7.7016077016077086E-2</v>
      </c>
    </row>
    <row r="85" spans="1:15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G85">
        <f t="shared" si="8"/>
        <v>0.15660015660015672</v>
      </c>
      <c r="I85">
        <f t="shared" si="9"/>
        <v>6.9999999999999958E-3</v>
      </c>
      <c r="J85">
        <f t="shared" si="10"/>
        <v>0.35585504129813117</v>
      </c>
      <c r="K85">
        <f t="shared" si="11"/>
        <v>-0.30000000000000071</v>
      </c>
      <c r="L85">
        <f t="shared" si="12"/>
        <v>6.2855041298130465E-2</v>
      </c>
      <c r="O85">
        <f t="shared" si="13"/>
        <v>0.15660015660015672</v>
      </c>
    </row>
    <row r="86" spans="1:15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G86">
        <f t="shared" si="8"/>
        <v>8.8863088863088968E-2</v>
      </c>
      <c r="I86">
        <f t="shared" si="9"/>
        <v>6.9999999999999958E-3</v>
      </c>
      <c r="J86">
        <f t="shared" si="10"/>
        <v>0.35585504129813117</v>
      </c>
      <c r="K86">
        <f t="shared" si="11"/>
        <v>-0.30000000000000071</v>
      </c>
      <c r="L86">
        <f t="shared" si="12"/>
        <v>6.2855041298130465E-2</v>
      </c>
      <c r="O86">
        <f t="shared" si="13"/>
        <v>8.8863088863088968E-2</v>
      </c>
    </row>
    <row r="87" spans="1:15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G87">
        <f t="shared" si="8"/>
        <v>0.15013815013815027</v>
      </c>
      <c r="I87">
        <f t="shared" si="9"/>
        <v>6.9999999999999958E-3</v>
      </c>
      <c r="J87">
        <f t="shared" si="10"/>
        <v>0.35585504129813117</v>
      </c>
      <c r="K87">
        <f t="shared" si="11"/>
        <v>-0.30000000000000071</v>
      </c>
      <c r="L87">
        <f t="shared" si="12"/>
        <v>6.2855041298130465E-2</v>
      </c>
      <c r="O87">
        <f t="shared" si="13"/>
        <v>0.15013815013815027</v>
      </c>
    </row>
    <row r="88" spans="1:15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G88">
        <f t="shared" si="8"/>
        <v>0.19714519714519724</v>
      </c>
      <c r="I88">
        <f t="shared" si="9"/>
        <v>6.9999999999999958E-3</v>
      </c>
      <c r="J88">
        <f t="shared" si="10"/>
        <v>0.35585504129813117</v>
      </c>
      <c r="K88">
        <f t="shared" si="11"/>
        <v>-0.30000000000000071</v>
      </c>
      <c r="L88">
        <f t="shared" si="12"/>
        <v>6.2855041298130465E-2</v>
      </c>
      <c r="O88">
        <f t="shared" si="13"/>
        <v>0.19714519714519724</v>
      </c>
    </row>
    <row r="89" spans="1:15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G89">
        <f t="shared" si="8"/>
        <v>3.9420039420039549E-2</v>
      </c>
      <c r="I89">
        <f t="shared" si="9"/>
        <v>6.9999999999999958E-3</v>
      </c>
      <c r="J89">
        <f t="shared" si="10"/>
        <v>0.35585504129813117</v>
      </c>
      <c r="K89">
        <f t="shared" si="11"/>
        <v>-0.30000000000000071</v>
      </c>
      <c r="L89">
        <f t="shared" si="12"/>
        <v>6.2855041298130465E-2</v>
      </c>
      <c r="O89">
        <f t="shared" si="13"/>
        <v>3.9420039420039549E-2</v>
      </c>
    </row>
    <row r="90" spans="1:15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G90">
        <f t="shared" si="8"/>
        <v>7.8120078120078179E-2</v>
      </c>
      <c r="I90">
        <f t="shared" si="9"/>
        <v>6.9999999999999958E-3</v>
      </c>
      <c r="J90">
        <f t="shared" si="10"/>
        <v>0.35585504129813117</v>
      </c>
      <c r="K90">
        <f t="shared" si="11"/>
        <v>-0.30000000000000071</v>
      </c>
      <c r="L90">
        <f t="shared" si="12"/>
        <v>6.2855041298130465E-2</v>
      </c>
      <c r="O90">
        <f t="shared" si="13"/>
        <v>7.8120078120078179E-2</v>
      </c>
    </row>
    <row r="91" spans="1:15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G91">
        <f t="shared" si="8"/>
        <v>0.22653322653322658</v>
      </c>
      <c r="I91">
        <f t="shared" si="9"/>
        <v>6.9999999999999958E-3</v>
      </c>
      <c r="J91">
        <f t="shared" si="10"/>
        <v>0.35585504129813117</v>
      </c>
      <c r="K91">
        <f t="shared" si="11"/>
        <v>-0.30000000000000071</v>
      </c>
      <c r="L91">
        <f t="shared" si="12"/>
        <v>6.2855041298130465E-2</v>
      </c>
      <c r="O91">
        <f t="shared" si="13"/>
        <v>0.22653322653322658</v>
      </c>
    </row>
    <row r="92" spans="1:15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G92">
        <f t="shared" si="8"/>
        <v>0.17335217335217348</v>
      </c>
      <c r="I92">
        <f t="shared" si="9"/>
        <v>6.9999999999999958E-3</v>
      </c>
      <c r="J92">
        <f t="shared" si="10"/>
        <v>0.35585504129813117</v>
      </c>
      <c r="K92">
        <f t="shared" si="11"/>
        <v>-0.30000000000000071</v>
      </c>
      <c r="L92">
        <f t="shared" si="12"/>
        <v>6.2855041298130465E-2</v>
      </c>
      <c r="O92">
        <f t="shared" si="13"/>
        <v>0.17335217335217348</v>
      </c>
    </row>
    <row r="93" spans="1:15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G93">
        <f t="shared" si="8"/>
        <v>7.6245076245076301E-2</v>
      </c>
      <c r="I93">
        <f t="shared" si="9"/>
        <v>6.9999999999999958E-3</v>
      </c>
      <c r="J93">
        <f t="shared" si="10"/>
        <v>0.35585504129813117</v>
      </c>
      <c r="K93">
        <f t="shared" si="11"/>
        <v>-0.30000000000000071</v>
      </c>
      <c r="L93">
        <f t="shared" si="12"/>
        <v>6.2855041298130465E-2</v>
      </c>
      <c r="O93">
        <f t="shared" si="13"/>
        <v>7.6245076245076301E-2</v>
      </c>
    </row>
    <row r="94" spans="1:15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G94">
        <f t="shared" si="8"/>
        <v>0.11988011988011998</v>
      </c>
      <c r="I94">
        <f t="shared" si="9"/>
        <v>3.4999999999999931E-3</v>
      </c>
      <c r="J94">
        <f t="shared" si="10"/>
        <v>3.0103579775645528</v>
      </c>
      <c r="K94">
        <f t="shared" si="11"/>
        <v>-0.30000000000000071</v>
      </c>
      <c r="L94">
        <f t="shared" si="12"/>
        <v>2.7138579775645519</v>
      </c>
      <c r="O94">
        <f t="shared" si="13"/>
        <v>0.11988011988011998</v>
      </c>
    </row>
    <row r="95" spans="1:15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G95">
        <f t="shared" si="8"/>
        <v>9.9945099945100105E-2</v>
      </c>
      <c r="I95">
        <f t="shared" si="9"/>
        <v>3.4999999999999931E-3</v>
      </c>
      <c r="J95">
        <f t="shared" si="10"/>
        <v>3.0103579775645528</v>
      </c>
      <c r="K95">
        <f t="shared" si="11"/>
        <v>-0.30000000000000071</v>
      </c>
      <c r="L95">
        <f t="shared" si="12"/>
        <v>2.7138579775645519</v>
      </c>
      <c r="O95">
        <f t="shared" si="13"/>
        <v>9.9945099945100105E-2</v>
      </c>
    </row>
    <row r="96" spans="1:15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G96">
        <f t="shared" si="8"/>
        <v>2.6313026313026355E-2</v>
      </c>
      <c r="I96">
        <f t="shared" si="9"/>
        <v>3.4999999999999931E-3</v>
      </c>
      <c r="J96">
        <f t="shared" si="10"/>
        <v>3.0103579775645528</v>
      </c>
      <c r="K96">
        <f t="shared" si="11"/>
        <v>-0.30000000000000071</v>
      </c>
      <c r="L96">
        <f t="shared" si="12"/>
        <v>2.7138579775645519</v>
      </c>
      <c r="O96">
        <f t="shared" si="13"/>
        <v>2.6313026313026355E-2</v>
      </c>
    </row>
    <row r="97" spans="1:15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G97">
        <f t="shared" si="8"/>
        <v>0.11459711459711462</v>
      </c>
      <c r="I97">
        <f t="shared" si="9"/>
        <v>3.4999999999999931E-3</v>
      </c>
      <c r="J97">
        <f t="shared" si="10"/>
        <v>3.0103579775645528</v>
      </c>
      <c r="K97">
        <f t="shared" si="11"/>
        <v>-0.30000000000000071</v>
      </c>
      <c r="L97">
        <f t="shared" si="12"/>
        <v>2.7138579775645519</v>
      </c>
      <c r="O97">
        <f t="shared" si="13"/>
        <v>0.11459711459711462</v>
      </c>
    </row>
    <row r="98" spans="1:15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G98">
        <f t="shared" si="8"/>
        <v>0.14822114822114832</v>
      </c>
      <c r="I98">
        <f t="shared" si="9"/>
        <v>3.4999999999999931E-3</v>
      </c>
      <c r="J98">
        <f t="shared" si="10"/>
        <v>3.0103579775645528</v>
      </c>
      <c r="K98">
        <f t="shared" si="11"/>
        <v>-0.30000000000000071</v>
      </c>
      <c r="L98">
        <f t="shared" si="12"/>
        <v>2.7138579775645519</v>
      </c>
      <c r="O98">
        <f t="shared" si="13"/>
        <v>0.14822114822114832</v>
      </c>
    </row>
    <row r="99" spans="1:15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G99">
        <f t="shared" si="8"/>
        <v>0.11827211827211837</v>
      </c>
      <c r="I99">
        <f t="shared" si="9"/>
        <v>3.4999999999999931E-3</v>
      </c>
      <c r="J99">
        <f t="shared" si="10"/>
        <v>3.0103579775645528</v>
      </c>
      <c r="K99">
        <f t="shared" si="11"/>
        <v>-0.30000000000000071</v>
      </c>
      <c r="L99">
        <f t="shared" si="12"/>
        <v>2.7138579775645519</v>
      </c>
      <c r="O99">
        <f t="shared" si="13"/>
        <v>0.11827211827211837</v>
      </c>
    </row>
    <row r="100" spans="1:15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G100">
        <f t="shared" si="8"/>
        <v>8.0295080295080423E-2</v>
      </c>
      <c r="I100">
        <f t="shared" si="9"/>
        <v>3.4999999999999931E-3</v>
      </c>
      <c r="J100">
        <f t="shared" si="10"/>
        <v>3.0103579775645528</v>
      </c>
      <c r="K100">
        <f t="shared" si="11"/>
        <v>-0.30000000000000071</v>
      </c>
      <c r="L100">
        <f t="shared" si="12"/>
        <v>2.7138579775645519</v>
      </c>
      <c r="O100">
        <f t="shared" si="13"/>
        <v>8.0295080295080423E-2</v>
      </c>
    </row>
    <row r="101" spans="1:15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G101">
        <f t="shared" si="8"/>
        <v>0.13963513963513968</v>
      </c>
      <c r="I101">
        <f t="shared" si="9"/>
        <v>3.4999999999999931E-3</v>
      </c>
      <c r="J101">
        <f t="shared" si="10"/>
        <v>3.0103579775645528</v>
      </c>
      <c r="K101">
        <f t="shared" si="11"/>
        <v>-0.30000000000000071</v>
      </c>
      <c r="L101">
        <f t="shared" si="12"/>
        <v>2.7138579775645519</v>
      </c>
      <c r="O101">
        <f t="shared" si="13"/>
        <v>0.13963513963513968</v>
      </c>
    </row>
    <row r="102" spans="1:15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G102">
        <f t="shared" si="8"/>
        <v>9.0018090018090094E-2</v>
      </c>
      <c r="I102">
        <f t="shared" si="9"/>
        <v>3.4999999999999931E-3</v>
      </c>
      <c r="J102">
        <f t="shared" si="10"/>
        <v>6.6365695458465197</v>
      </c>
      <c r="K102">
        <f t="shared" si="11"/>
        <v>-0.30000000000000071</v>
      </c>
      <c r="L102">
        <f t="shared" si="12"/>
        <v>6.3400695458465188</v>
      </c>
      <c r="O102">
        <f t="shared" si="13"/>
        <v>9.0018090018090094E-2</v>
      </c>
    </row>
    <row r="103" spans="1:15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G103">
        <f t="shared" si="8"/>
        <v>6.7830067830067869E-2</v>
      </c>
      <c r="I103">
        <f t="shared" si="9"/>
        <v>3.4999999999999931E-3</v>
      </c>
      <c r="J103">
        <f t="shared" si="10"/>
        <v>6.6365695458465197</v>
      </c>
      <c r="K103">
        <f t="shared" si="11"/>
        <v>-0.30000000000000071</v>
      </c>
      <c r="L103">
        <f t="shared" si="12"/>
        <v>6.3400695458465188</v>
      </c>
      <c r="O103">
        <f t="shared" si="13"/>
        <v>6.7830067830067869E-2</v>
      </c>
    </row>
    <row r="104" spans="1:15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G104">
        <f t="shared" si="8"/>
        <v>0.12582012582012597</v>
      </c>
      <c r="I104">
        <f t="shared" si="9"/>
        <v>3.4999999999999931E-3</v>
      </c>
      <c r="J104">
        <f t="shared" si="10"/>
        <v>6.6365695458465197</v>
      </c>
      <c r="K104">
        <f t="shared" si="11"/>
        <v>-0.30000000000000071</v>
      </c>
      <c r="L104">
        <f t="shared" si="12"/>
        <v>6.3400695458465188</v>
      </c>
      <c r="O104">
        <f t="shared" si="13"/>
        <v>0.12582012582012597</v>
      </c>
    </row>
    <row r="105" spans="1:15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G105">
        <f t="shared" si="8"/>
        <v>8.5638085638085781E-2</v>
      </c>
      <c r="I105">
        <f t="shared" si="9"/>
        <v>3.4999999999999931E-3</v>
      </c>
      <c r="J105">
        <f t="shared" si="10"/>
        <v>6.6365695458465197</v>
      </c>
      <c r="K105">
        <f t="shared" si="11"/>
        <v>-0.30000000000000071</v>
      </c>
      <c r="L105">
        <f t="shared" si="12"/>
        <v>6.3400695458465188</v>
      </c>
      <c r="O105">
        <f t="shared" si="13"/>
        <v>8.5638085638085781E-2</v>
      </c>
    </row>
    <row r="106" spans="1:15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G106">
        <f t="shared" si="8"/>
        <v>0.12505512505512506</v>
      </c>
      <c r="I106">
        <f t="shared" si="9"/>
        <v>3.4999999999999931E-3</v>
      </c>
      <c r="J106">
        <f t="shared" si="10"/>
        <v>6.6365695458465197</v>
      </c>
      <c r="K106">
        <f t="shared" si="11"/>
        <v>-0.30000000000000071</v>
      </c>
      <c r="L106">
        <f t="shared" si="12"/>
        <v>6.3400695458465188</v>
      </c>
      <c r="O106">
        <f t="shared" si="13"/>
        <v>0.12505512505512506</v>
      </c>
    </row>
    <row r="107" spans="1:15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G107">
        <f t="shared" si="8"/>
        <v>0.11157611157611159</v>
      </c>
      <c r="I107">
        <f t="shared" si="9"/>
        <v>3.4999999999999931E-3</v>
      </c>
      <c r="J107">
        <f t="shared" si="10"/>
        <v>6.6365695458465197</v>
      </c>
      <c r="K107">
        <f t="shared" si="11"/>
        <v>-0.30000000000000071</v>
      </c>
      <c r="L107">
        <f t="shared" si="12"/>
        <v>6.3400695458465188</v>
      </c>
      <c r="O107">
        <f t="shared" si="13"/>
        <v>0.11157611157611159</v>
      </c>
    </row>
    <row r="108" spans="1:15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G108">
        <f t="shared" si="8"/>
        <v>5.7864057864057891E-2</v>
      </c>
      <c r="I108">
        <f t="shared" si="9"/>
        <v>3.4999999999999931E-3</v>
      </c>
      <c r="J108">
        <f t="shared" si="10"/>
        <v>6.6365695458465197</v>
      </c>
      <c r="K108">
        <f t="shared" si="11"/>
        <v>-0.30000000000000071</v>
      </c>
      <c r="L108">
        <f t="shared" si="12"/>
        <v>6.3400695458465188</v>
      </c>
      <c r="O108">
        <f t="shared" si="13"/>
        <v>5.7864057864057891E-2</v>
      </c>
    </row>
    <row r="109" spans="1:15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G109">
        <f t="shared" si="8"/>
        <v>5.2425052425052486E-2</v>
      </c>
      <c r="I109">
        <f t="shared" si="9"/>
        <v>3.4999999999999931E-3</v>
      </c>
      <c r="J109">
        <f t="shared" si="10"/>
        <v>6.6365695458465197</v>
      </c>
      <c r="K109">
        <f t="shared" si="11"/>
        <v>-0.30000000000000071</v>
      </c>
      <c r="L109">
        <f t="shared" si="12"/>
        <v>6.3400695458465188</v>
      </c>
      <c r="O109">
        <f t="shared" si="13"/>
        <v>5.2425052425052486E-2</v>
      </c>
    </row>
    <row r="110" spans="1:15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G110">
        <f t="shared" si="8"/>
        <v>8.8752088752088759E-2</v>
      </c>
      <c r="I110">
        <f t="shared" si="9"/>
        <v>3.4999999999999931E-3</v>
      </c>
      <c r="J110">
        <f t="shared" si="10"/>
        <v>6.6365695458465197</v>
      </c>
      <c r="K110">
        <f t="shared" si="11"/>
        <v>-0.30000000000000071</v>
      </c>
      <c r="L110">
        <f t="shared" si="12"/>
        <v>6.3400695458465188</v>
      </c>
      <c r="O110">
        <f t="shared" si="13"/>
        <v>8.8752088752088759E-2</v>
      </c>
    </row>
    <row r="111" spans="1:15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G111">
        <f t="shared" si="8"/>
        <v>8.5953085953085984E-2</v>
      </c>
      <c r="I111">
        <f t="shared" si="9"/>
        <v>3.4999999999999931E-3</v>
      </c>
      <c r="J111">
        <f t="shared" si="10"/>
        <v>8.369906071570405</v>
      </c>
      <c r="K111">
        <f t="shared" si="11"/>
        <v>-0.30000000000000071</v>
      </c>
      <c r="L111">
        <f t="shared" si="12"/>
        <v>8.073406071570405</v>
      </c>
      <c r="O111">
        <f t="shared" si="13"/>
        <v>8.5953085953085984E-2</v>
      </c>
    </row>
    <row r="112" spans="1:15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G112">
        <f t="shared" si="8"/>
        <v>0.17851217851217854</v>
      </c>
      <c r="I112">
        <f t="shared" si="9"/>
        <v>3.4999999999999931E-3</v>
      </c>
      <c r="J112">
        <f t="shared" si="10"/>
        <v>8.369906071570405</v>
      </c>
      <c r="K112">
        <f t="shared" si="11"/>
        <v>-0.30000000000000071</v>
      </c>
      <c r="L112">
        <f t="shared" si="12"/>
        <v>8.073406071570405</v>
      </c>
      <c r="O112">
        <f t="shared" si="13"/>
        <v>0.17851217851217854</v>
      </c>
    </row>
    <row r="113" spans="1:15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G113">
        <f t="shared" si="8"/>
        <v>9.2046092046092085E-2</v>
      </c>
      <c r="I113">
        <f t="shared" si="9"/>
        <v>3.4999999999999931E-3</v>
      </c>
      <c r="J113">
        <f t="shared" si="10"/>
        <v>8.369906071570405</v>
      </c>
      <c r="K113">
        <f t="shared" si="11"/>
        <v>-0.30000000000000071</v>
      </c>
      <c r="L113">
        <f t="shared" si="12"/>
        <v>8.073406071570405</v>
      </c>
      <c r="O113">
        <f t="shared" si="13"/>
        <v>9.2046092046092085E-2</v>
      </c>
    </row>
    <row r="114" spans="1:15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G114">
        <f t="shared" si="8"/>
        <v>0.22262722262722262</v>
      </c>
      <c r="I114">
        <f t="shared" si="9"/>
        <v>3.4999999999999931E-3</v>
      </c>
      <c r="J114">
        <f t="shared" si="10"/>
        <v>8.369906071570405</v>
      </c>
      <c r="K114">
        <f t="shared" si="11"/>
        <v>-0.30000000000000071</v>
      </c>
      <c r="L114">
        <f t="shared" si="12"/>
        <v>8.073406071570405</v>
      </c>
      <c r="O114">
        <f t="shared" si="13"/>
        <v>0.22262722262722262</v>
      </c>
    </row>
    <row r="115" spans="1:15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G115">
        <f t="shared" si="8"/>
        <v>0.28587628587628594</v>
      </c>
      <c r="I115">
        <f t="shared" si="9"/>
        <v>3.4999999999999931E-3</v>
      </c>
      <c r="J115">
        <f t="shared" si="10"/>
        <v>8.369906071570405</v>
      </c>
      <c r="K115">
        <f t="shared" si="11"/>
        <v>-0.30000000000000071</v>
      </c>
      <c r="L115">
        <f t="shared" si="12"/>
        <v>8.073406071570405</v>
      </c>
      <c r="O115">
        <f t="shared" ref="O115:O134" si="14">G115</f>
        <v>0.28587628587628594</v>
      </c>
    </row>
    <row r="116" spans="1:15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G116">
        <f t="shared" si="8"/>
        <v>0.36977136977136976</v>
      </c>
      <c r="I116">
        <f t="shared" si="9"/>
        <v>3.4999999999999931E-3</v>
      </c>
      <c r="J116">
        <f t="shared" si="10"/>
        <v>8.369906071570405</v>
      </c>
      <c r="K116">
        <f t="shared" si="11"/>
        <v>-0.30000000000000071</v>
      </c>
      <c r="L116">
        <f t="shared" si="12"/>
        <v>8.073406071570405</v>
      </c>
      <c r="O116">
        <f t="shared" si="14"/>
        <v>0.36977136977136976</v>
      </c>
    </row>
    <row r="117" spans="1:15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G117">
        <f t="shared" si="8"/>
        <v>0.35826035826035829</v>
      </c>
      <c r="I117">
        <f t="shared" si="9"/>
        <v>3.4999999999999931E-3</v>
      </c>
      <c r="J117">
        <f t="shared" si="10"/>
        <v>8.369906071570405</v>
      </c>
      <c r="K117">
        <f t="shared" si="11"/>
        <v>-0.30000000000000071</v>
      </c>
      <c r="L117">
        <f t="shared" si="12"/>
        <v>8.073406071570405</v>
      </c>
      <c r="O117">
        <f t="shared" si="14"/>
        <v>0.35826035826035829</v>
      </c>
    </row>
    <row r="118" spans="1:15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G118">
        <f t="shared" si="8"/>
        <v>0.30790230790230794</v>
      </c>
      <c r="I118">
        <f t="shared" si="9"/>
        <v>3.4999999999999931E-3</v>
      </c>
      <c r="J118">
        <f t="shared" si="10"/>
        <v>8.369906071570405</v>
      </c>
      <c r="K118">
        <f t="shared" si="11"/>
        <v>-0.30000000000000071</v>
      </c>
      <c r="L118">
        <f t="shared" si="12"/>
        <v>8.073406071570405</v>
      </c>
      <c r="O118">
        <f t="shared" si="14"/>
        <v>0.30790230790230794</v>
      </c>
    </row>
    <row r="119" spans="1:15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G119">
        <f t="shared" si="8"/>
        <v>8.5824085824085836E-2</v>
      </c>
      <c r="I119">
        <f t="shared" si="9"/>
        <v>3.4999999999999931E-3</v>
      </c>
      <c r="J119">
        <f t="shared" si="10"/>
        <v>8.369906071570405</v>
      </c>
      <c r="K119">
        <f t="shared" si="11"/>
        <v>-0.30000000000000071</v>
      </c>
      <c r="L119">
        <f t="shared" si="12"/>
        <v>8.073406071570405</v>
      </c>
      <c r="O119">
        <f t="shared" si="14"/>
        <v>8.5824085824085836E-2</v>
      </c>
    </row>
    <row r="120" spans="1:15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G120">
        <f t="shared" si="8"/>
        <v>0.12098412098412106</v>
      </c>
      <c r="I120">
        <f t="shared" si="9"/>
        <v>3.4999999999999931E-3</v>
      </c>
      <c r="J120">
        <f t="shared" si="10"/>
        <v>8.369906071570405</v>
      </c>
      <c r="K120">
        <f t="shared" si="11"/>
        <v>-0.30000000000000071</v>
      </c>
      <c r="L120">
        <f t="shared" si="12"/>
        <v>8.073406071570405</v>
      </c>
      <c r="O120">
        <f t="shared" si="14"/>
        <v>0.12098412098412106</v>
      </c>
    </row>
    <row r="121" spans="1:15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G121">
        <f t="shared" si="8"/>
        <v>0.205854205854206</v>
      </c>
      <c r="I121">
        <f t="shared" si="9"/>
        <v>0</v>
      </c>
      <c r="J121">
        <f t="shared" si="10"/>
        <v>9.9352472759738824</v>
      </c>
      <c r="K121">
        <f t="shared" si="11"/>
        <v>-0.30000000000000071</v>
      </c>
      <c r="L121">
        <f t="shared" si="12"/>
        <v>9.6352472759738816</v>
      </c>
      <c r="O121">
        <f t="shared" si="14"/>
        <v>0.205854205854206</v>
      </c>
    </row>
    <row r="122" spans="1:15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G122">
        <f t="shared" si="8"/>
        <v>0.17593517593517605</v>
      </c>
      <c r="I122">
        <f t="shared" si="9"/>
        <v>0</v>
      </c>
      <c r="J122">
        <f t="shared" si="10"/>
        <v>9.9352472759738824</v>
      </c>
      <c r="K122">
        <f t="shared" si="11"/>
        <v>-0.30000000000000071</v>
      </c>
      <c r="L122">
        <f t="shared" si="12"/>
        <v>9.6352472759738816</v>
      </c>
      <c r="O122">
        <f t="shared" si="14"/>
        <v>0.17593517593517605</v>
      </c>
    </row>
    <row r="123" spans="1:15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G123">
        <f t="shared" si="8"/>
        <v>0.23281223281223293</v>
      </c>
      <c r="I123">
        <f t="shared" si="9"/>
        <v>0</v>
      </c>
      <c r="J123">
        <f t="shared" si="10"/>
        <v>9.9352472759738824</v>
      </c>
      <c r="K123">
        <f t="shared" si="11"/>
        <v>-0.30000000000000071</v>
      </c>
      <c r="L123">
        <f t="shared" si="12"/>
        <v>9.6352472759738816</v>
      </c>
      <c r="O123">
        <f t="shared" si="14"/>
        <v>0.23281223281223293</v>
      </c>
    </row>
    <row r="124" spans="1:15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G124">
        <f t="shared" si="8"/>
        <v>0.1909771909771911</v>
      </c>
      <c r="I124">
        <f t="shared" si="9"/>
        <v>0</v>
      </c>
      <c r="J124">
        <f t="shared" si="10"/>
        <v>9.9352472759738824</v>
      </c>
      <c r="K124">
        <f t="shared" si="11"/>
        <v>-0.30000000000000071</v>
      </c>
      <c r="L124">
        <f t="shared" si="12"/>
        <v>9.6352472759738816</v>
      </c>
      <c r="O124">
        <f t="shared" si="14"/>
        <v>0.1909771909771911</v>
      </c>
    </row>
    <row r="125" spans="1:15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G125">
        <f t="shared" si="8"/>
        <v>0.26901326901326916</v>
      </c>
      <c r="I125">
        <f t="shared" si="9"/>
        <v>0</v>
      </c>
      <c r="J125">
        <f t="shared" si="10"/>
        <v>9.9352472759738824</v>
      </c>
      <c r="K125">
        <f t="shared" si="11"/>
        <v>-0.30000000000000071</v>
      </c>
      <c r="L125">
        <f t="shared" si="12"/>
        <v>9.6352472759738816</v>
      </c>
      <c r="O125">
        <f t="shared" si="14"/>
        <v>0.26901326901326916</v>
      </c>
    </row>
    <row r="126" spans="1:15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G126">
        <f t="shared" si="8"/>
        <v>0.14352014352014361</v>
      </c>
      <c r="I126">
        <f t="shared" si="9"/>
        <v>0</v>
      </c>
      <c r="J126">
        <f t="shared" si="10"/>
        <v>9.9352472759738824</v>
      </c>
      <c r="K126">
        <f t="shared" si="11"/>
        <v>-0.30000000000000071</v>
      </c>
      <c r="L126">
        <f t="shared" si="12"/>
        <v>9.6352472759738816</v>
      </c>
      <c r="O126">
        <f t="shared" si="14"/>
        <v>0.14352014352014361</v>
      </c>
    </row>
    <row r="127" spans="1:15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G127">
        <f t="shared" si="8"/>
        <v>0.277023277023277</v>
      </c>
      <c r="I127">
        <f t="shared" si="9"/>
        <v>0</v>
      </c>
      <c r="J127">
        <f t="shared" si="10"/>
        <v>9.9352472759738824</v>
      </c>
      <c r="K127">
        <f t="shared" si="11"/>
        <v>-0.30000000000000071</v>
      </c>
      <c r="L127">
        <f t="shared" si="12"/>
        <v>9.6352472759738816</v>
      </c>
      <c r="O127">
        <f t="shared" si="14"/>
        <v>0.277023277023277</v>
      </c>
    </row>
    <row r="128" spans="1:15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G128">
        <f t="shared" si="8"/>
        <v>0.23099423099423111</v>
      </c>
      <c r="I128">
        <f t="shared" si="9"/>
        <v>0</v>
      </c>
      <c r="J128">
        <f t="shared" si="10"/>
        <v>9.9352472759738824</v>
      </c>
      <c r="K128">
        <f t="shared" si="11"/>
        <v>-0.30000000000000071</v>
      </c>
      <c r="L128">
        <f t="shared" si="12"/>
        <v>9.6352472759738816</v>
      </c>
      <c r="O128">
        <f t="shared" si="14"/>
        <v>0.23099423099423111</v>
      </c>
    </row>
    <row r="129" spans="1:16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G129">
        <f t="shared" si="8"/>
        <v>0.21545121545121546</v>
      </c>
      <c r="I129">
        <f t="shared" si="9"/>
        <v>0</v>
      </c>
      <c r="J129">
        <f t="shared" si="10"/>
        <v>9.9352472759738824</v>
      </c>
      <c r="K129">
        <f t="shared" si="11"/>
        <v>-0.30000000000000071</v>
      </c>
      <c r="L129">
        <f t="shared" si="12"/>
        <v>9.6352472759738816</v>
      </c>
      <c r="O129">
        <f t="shared" si="14"/>
        <v>0.21545121545121546</v>
      </c>
    </row>
    <row r="130" spans="1:16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G130">
        <f t="shared" si="8"/>
        <v>0.23685023685023696</v>
      </c>
      <c r="I130">
        <f t="shared" si="9"/>
        <v>0</v>
      </c>
      <c r="J130">
        <f t="shared" si="10"/>
        <v>9.9352472759738824</v>
      </c>
      <c r="K130">
        <f t="shared" si="11"/>
        <v>-0.30000000000000071</v>
      </c>
      <c r="L130">
        <f t="shared" si="12"/>
        <v>9.6352472759738816</v>
      </c>
      <c r="O130">
        <f t="shared" si="14"/>
        <v>0.23685023685023696</v>
      </c>
    </row>
    <row r="131" spans="1:16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G131">
        <f t="shared" ref="G131:G194" si="15">($F$343-F131)/$F$343</f>
        <v>0.24973524973524974</v>
      </c>
      <c r="I131">
        <f t="shared" ref="I131:I194" si="16">(E131-0.17)*$U$2</f>
        <v>0</v>
      </c>
      <c r="J131">
        <f t="shared" ref="J131:J194" si="17">(8-D131)*$U$4</f>
        <v>9.9352472759738824</v>
      </c>
      <c r="K131">
        <f t="shared" ref="K131:K194" si="18">(C131-20)*$U$3</f>
        <v>-0.30000000000000071</v>
      </c>
      <c r="L131">
        <f t="shared" ref="L131:L194" si="19">SUM(I131:K131)</f>
        <v>9.6352472759738816</v>
      </c>
      <c r="O131">
        <f t="shared" si="14"/>
        <v>0.24973524973524974</v>
      </c>
    </row>
    <row r="132" spans="1:16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G132">
        <f t="shared" si="15"/>
        <v>0.18558618558618564</v>
      </c>
      <c r="I132">
        <f t="shared" si="16"/>
        <v>0</v>
      </c>
      <c r="J132">
        <f t="shared" si="17"/>
        <v>9.9352472759738824</v>
      </c>
      <c r="K132">
        <f t="shared" si="18"/>
        <v>-0.30000000000000071</v>
      </c>
      <c r="L132">
        <f t="shared" si="19"/>
        <v>9.6352472759738816</v>
      </c>
      <c r="O132">
        <f t="shared" si="14"/>
        <v>0.18558618558618564</v>
      </c>
    </row>
    <row r="133" spans="1:16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G133">
        <f t="shared" si="15"/>
        <v>0.28875328875328882</v>
      </c>
      <c r="I133">
        <f t="shared" si="16"/>
        <v>0</v>
      </c>
      <c r="J133">
        <f t="shared" si="17"/>
        <v>9.9352472759738824</v>
      </c>
      <c r="K133">
        <f t="shared" si="18"/>
        <v>-0.30000000000000071</v>
      </c>
      <c r="L133">
        <f t="shared" si="19"/>
        <v>9.6352472759738816</v>
      </c>
      <c r="O133">
        <f t="shared" si="14"/>
        <v>0.28875328875328882</v>
      </c>
    </row>
    <row r="134" spans="1:16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G134">
        <f t="shared" si="15"/>
        <v>0.25128925128925139</v>
      </c>
      <c r="I134">
        <f t="shared" si="16"/>
        <v>0</v>
      </c>
      <c r="J134">
        <f t="shared" si="17"/>
        <v>9.9352472759738824</v>
      </c>
      <c r="K134">
        <f t="shared" si="18"/>
        <v>-0.30000000000000071</v>
      </c>
      <c r="L134">
        <f t="shared" si="19"/>
        <v>9.6352472759738816</v>
      </c>
      <c r="O134">
        <f t="shared" si="14"/>
        <v>0.25128925128925139</v>
      </c>
    </row>
    <row r="135" spans="1:16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G135">
        <f t="shared" si="15"/>
        <v>0.48698748698748695</v>
      </c>
      <c r="I135">
        <f t="shared" si="16"/>
        <v>3.4999999999999931E-3</v>
      </c>
      <c r="J135">
        <f t="shared" si="17"/>
        <v>-0.7334131170760827</v>
      </c>
      <c r="K135">
        <f t="shared" si="18"/>
        <v>-7.6999999999999993</v>
      </c>
      <c r="L135">
        <f t="shared" si="19"/>
        <v>-8.4299131170760813</v>
      </c>
      <c r="P135">
        <f t="shared" ref="P135:P166" si="20">G135</f>
        <v>0.48698748698748695</v>
      </c>
    </row>
    <row r="136" spans="1:16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G136">
        <f t="shared" si="15"/>
        <v>0.42843642843642843</v>
      </c>
      <c r="I136">
        <f t="shared" si="16"/>
        <v>3.4999999999999931E-3</v>
      </c>
      <c r="J136">
        <f t="shared" si="17"/>
        <v>-0.7334131170760827</v>
      </c>
      <c r="K136">
        <f t="shared" si="18"/>
        <v>-7.6999999999999993</v>
      </c>
      <c r="L136">
        <f t="shared" si="19"/>
        <v>-8.4299131170760813</v>
      </c>
      <c r="P136">
        <f t="shared" si="20"/>
        <v>0.42843642843642843</v>
      </c>
    </row>
    <row r="137" spans="1:16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G137">
        <f t="shared" si="15"/>
        <v>0.4558984558984559</v>
      </c>
      <c r="I137">
        <f t="shared" si="16"/>
        <v>3.4999999999999931E-3</v>
      </c>
      <c r="J137">
        <f t="shared" si="17"/>
        <v>-0.7334131170760827</v>
      </c>
      <c r="K137">
        <f t="shared" si="18"/>
        <v>-7.6999999999999993</v>
      </c>
      <c r="L137">
        <f t="shared" si="19"/>
        <v>-8.4299131170760813</v>
      </c>
      <c r="P137">
        <f t="shared" si="20"/>
        <v>0.4558984558984559</v>
      </c>
    </row>
    <row r="138" spans="1:16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G138">
        <f t="shared" si="15"/>
        <v>0.41305241305241308</v>
      </c>
      <c r="I138">
        <f t="shared" si="16"/>
        <v>3.4999999999999931E-3</v>
      </c>
      <c r="J138">
        <f t="shared" si="17"/>
        <v>-0.7334131170760827</v>
      </c>
      <c r="K138">
        <f t="shared" si="18"/>
        <v>-7.6999999999999993</v>
      </c>
      <c r="L138">
        <f t="shared" si="19"/>
        <v>-8.4299131170760813</v>
      </c>
      <c r="P138">
        <f t="shared" si="20"/>
        <v>0.41305241305241308</v>
      </c>
    </row>
    <row r="139" spans="1:16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G139">
        <f t="shared" si="15"/>
        <v>0.42921342921342925</v>
      </c>
      <c r="I139">
        <f t="shared" si="16"/>
        <v>3.4999999999999931E-3</v>
      </c>
      <c r="J139">
        <f t="shared" si="17"/>
        <v>-0.7334131170760827</v>
      </c>
      <c r="K139">
        <f t="shared" si="18"/>
        <v>-7.6999999999999993</v>
      </c>
      <c r="L139">
        <f t="shared" si="19"/>
        <v>-8.4299131170760813</v>
      </c>
      <c r="P139">
        <f t="shared" si="20"/>
        <v>0.42921342921342925</v>
      </c>
    </row>
    <row r="140" spans="1:16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G140">
        <f t="shared" si="15"/>
        <v>0.46170346170346171</v>
      </c>
      <c r="I140">
        <f t="shared" si="16"/>
        <v>3.4999999999999931E-3</v>
      </c>
      <c r="J140">
        <f t="shared" si="17"/>
        <v>-0.7334131170760827</v>
      </c>
      <c r="K140">
        <f t="shared" si="18"/>
        <v>-7.6999999999999993</v>
      </c>
      <c r="L140">
        <f t="shared" si="19"/>
        <v>-8.4299131170760813</v>
      </c>
      <c r="P140">
        <f t="shared" si="20"/>
        <v>0.46170346170346171</v>
      </c>
    </row>
    <row r="141" spans="1:16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G141">
        <f t="shared" si="15"/>
        <v>0.40313740313740315</v>
      </c>
      <c r="I141">
        <f t="shared" si="16"/>
        <v>3.4999999999999931E-3</v>
      </c>
      <c r="J141">
        <f t="shared" si="17"/>
        <v>-0.7334131170760827</v>
      </c>
      <c r="K141">
        <f t="shared" si="18"/>
        <v>-7.6999999999999993</v>
      </c>
      <c r="L141">
        <f t="shared" si="19"/>
        <v>-8.4299131170760813</v>
      </c>
      <c r="P141">
        <f t="shared" si="20"/>
        <v>0.40313740313740315</v>
      </c>
    </row>
    <row r="142" spans="1:16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G142">
        <f t="shared" si="15"/>
        <v>0.40715440715440715</v>
      </c>
      <c r="I142">
        <f t="shared" si="16"/>
        <v>3.4999999999999931E-3</v>
      </c>
      <c r="J142">
        <f t="shared" si="17"/>
        <v>-0.7334131170760827</v>
      </c>
      <c r="K142">
        <f t="shared" si="18"/>
        <v>-7.6999999999999993</v>
      </c>
      <c r="L142">
        <f t="shared" si="19"/>
        <v>-8.4299131170760813</v>
      </c>
      <c r="P142">
        <f t="shared" si="20"/>
        <v>0.40715440715440715</v>
      </c>
    </row>
    <row r="143" spans="1:16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G143">
        <f t="shared" si="15"/>
        <v>0.44755544755544752</v>
      </c>
      <c r="I143">
        <f t="shared" si="16"/>
        <v>3.4999999999999931E-3</v>
      </c>
      <c r="J143">
        <f t="shared" si="17"/>
        <v>-0.7334131170760827</v>
      </c>
      <c r="K143">
        <f t="shared" si="18"/>
        <v>-7.6999999999999993</v>
      </c>
      <c r="L143">
        <f t="shared" si="19"/>
        <v>-8.4299131170760813</v>
      </c>
      <c r="P143">
        <f t="shared" si="20"/>
        <v>0.44755544755544752</v>
      </c>
    </row>
    <row r="144" spans="1:16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G144">
        <f t="shared" si="15"/>
        <v>0.47937647937647943</v>
      </c>
      <c r="I144">
        <f t="shared" si="16"/>
        <v>3.4999999999999931E-3</v>
      </c>
      <c r="J144">
        <f t="shared" si="17"/>
        <v>-0.7334131170760827</v>
      </c>
      <c r="K144">
        <f t="shared" si="18"/>
        <v>-7.6999999999999993</v>
      </c>
      <c r="L144">
        <f t="shared" si="19"/>
        <v>-8.4299131170760813</v>
      </c>
      <c r="P144">
        <f t="shared" si="20"/>
        <v>0.47937647937647943</v>
      </c>
    </row>
    <row r="145" spans="1:16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G145">
        <f t="shared" si="15"/>
        <v>0.4563994563994565</v>
      </c>
      <c r="I145">
        <f t="shared" si="16"/>
        <v>3.4999999999999931E-3</v>
      </c>
      <c r="J145">
        <f t="shared" si="17"/>
        <v>-0.7334131170760827</v>
      </c>
      <c r="K145">
        <f t="shared" si="18"/>
        <v>-7.6999999999999993</v>
      </c>
      <c r="L145">
        <f t="shared" si="19"/>
        <v>-8.4299131170760813</v>
      </c>
      <c r="P145">
        <f t="shared" si="20"/>
        <v>0.4563994563994565</v>
      </c>
    </row>
    <row r="146" spans="1:16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G146">
        <f t="shared" si="15"/>
        <v>0.45899145899145899</v>
      </c>
      <c r="I146">
        <f t="shared" si="16"/>
        <v>3.4999999999999931E-3</v>
      </c>
      <c r="J146">
        <f t="shared" si="17"/>
        <v>-0.7334131170760827</v>
      </c>
      <c r="K146">
        <f t="shared" si="18"/>
        <v>-7.6999999999999993</v>
      </c>
      <c r="L146">
        <f t="shared" si="19"/>
        <v>-8.4299131170760813</v>
      </c>
      <c r="P146">
        <f t="shared" si="20"/>
        <v>0.45899145899145899</v>
      </c>
    </row>
    <row r="147" spans="1:16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G147">
        <f t="shared" si="15"/>
        <v>0.10250410250410251</v>
      </c>
      <c r="I147">
        <f t="shared" si="16"/>
        <v>0</v>
      </c>
      <c r="J147">
        <f t="shared" si="17"/>
        <v>-0.15657827155401804</v>
      </c>
      <c r="K147">
        <f t="shared" si="18"/>
        <v>-4.0999999999999996</v>
      </c>
      <c r="L147">
        <f t="shared" si="19"/>
        <v>-4.2565782715540177</v>
      </c>
      <c r="P147">
        <f t="shared" si="20"/>
        <v>0.10250410250410251</v>
      </c>
    </row>
    <row r="148" spans="1:16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G148">
        <f t="shared" si="15"/>
        <v>6.3549063549063686E-2</v>
      </c>
      <c r="I148">
        <f t="shared" si="16"/>
        <v>0</v>
      </c>
      <c r="J148">
        <f t="shared" si="17"/>
        <v>-0.15657827155401804</v>
      </c>
      <c r="K148">
        <f t="shared" si="18"/>
        <v>-4.0999999999999996</v>
      </c>
      <c r="L148">
        <f t="shared" si="19"/>
        <v>-4.2565782715540177</v>
      </c>
      <c r="P148">
        <f t="shared" si="20"/>
        <v>6.3549063549063686E-2</v>
      </c>
    </row>
    <row r="149" spans="1:16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G149">
        <f t="shared" si="15"/>
        <v>4.2606042606042768E-2</v>
      </c>
      <c r="I149">
        <f t="shared" si="16"/>
        <v>0</v>
      </c>
      <c r="J149">
        <f t="shared" si="17"/>
        <v>-0.15657827155401804</v>
      </c>
      <c r="K149">
        <f t="shared" si="18"/>
        <v>-4.0999999999999996</v>
      </c>
      <c r="L149">
        <f t="shared" si="19"/>
        <v>-4.2565782715540177</v>
      </c>
      <c r="P149">
        <f t="shared" si="20"/>
        <v>4.2606042606042768E-2</v>
      </c>
    </row>
    <row r="150" spans="1:16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G150">
        <f t="shared" si="15"/>
        <v>0.12865212865212869</v>
      </c>
      <c r="I150">
        <f t="shared" si="16"/>
        <v>0</v>
      </c>
      <c r="J150">
        <f t="shared" si="17"/>
        <v>-0.15657827155401804</v>
      </c>
      <c r="K150">
        <f t="shared" si="18"/>
        <v>-4.0999999999999996</v>
      </c>
      <c r="L150">
        <f t="shared" si="19"/>
        <v>-4.2565782715540177</v>
      </c>
      <c r="P150">
        <f t="shared" si="20"/>
        <v>0.12865212865212869</v>
      </c>
    </row>
    <row r="151" spans="1:16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G151">
        <f t="shared" si="15"/>
        <v>9.0783090783090853E-2</v>
      </c>
      <c r="I151">
        <f t="shared" si="16"/>
        <v>0</v>
      </c>
      <c r="J151">
        <f t="shared" si="17"/>
        <v>-0.15657827155401804</v>
      </c>
      <c r="K151">
        <f t="shared" si="18"/>
        <v>-4.0999999999999996</v>
      </c>
      <c r="L151">
        <f t="shared" si="19"/>
        <v>-4.2565782715540177</v>
      </c>
      <c r="P151">
        <f t="shared" si="20"/>
        <v>9.0783090783090853E-2</v>
      </c>
    </row>
    <row r="152" spans="1:16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G152">
        <f t="shared" si="15"/>
        <v>6.9741069741069778E-2</v>
      </c>
      <c r="I152">
        <f t="shared" si="16"/>
        <v>0</v>
      </c>
      <c r="J152">
        <f t="shared" si="17"/>
        <v>-0.15657827155401804</v>
      </c>
      <c r="K152">
        <f t="shared" si="18"/>
        <v>-4.0999999999999996</v>
      </c>
      <c r="L152">
        <f t="shared" si="19"/>
        <v>-4.2565782715540177</v>
      </c>
      <c r="P152">
        <f t="shared" si="20"/>
        <v>6.9741069741069778E-2</v>
      </c>
    </row>
    <row r="153" spans="1:16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G153">
        <f t="shared" si="15"/>
        <v>3.6132036132036249E-2</v>
      </c>
      <c r="I153">
        <f t="shared" si="16"/>
        <v>0</v>
      </c>
      <c r="J153">
        <f t="shared" si="17"/>
        <v>-0.15657827155401804</v>
      </c>
      <c r="K153">
        <f t="shared" si="18"/>
        <v>-4.0999999999999996</v>
      </c>
      <c r="L153">
        <f t="shared" si="19"/>
        <v>-4.2565782715540177</v>
      </c>
      <c r="P153">
        <f t="shared" si="20"/>
        <v>3.6132036132036249E-2</v>
      </c>
    </row>
    <row r="154" spans="1:16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G154">
        <f t="shared" si="15"/>
        <v>0.18434718434718436</v>
      </c>
      <c r="I154">
        <f t="shared" si="16"/>
        <v>0</v>
      </c>
      <c r="J154">
        <f t="shared" si="17"/>
        <v>-0.15657827155401804</v>
      </c>
      <c r="K154">
        <f t="shared" si="18"/>
        <v>-4.0999999999999996</v>
      </c>
      <c r="L154">
        <f t="shared" si="19"/>
        <v>-4.2565782715540177</v>
      </c>
      <c r="P154">
        <f t="shared" si="20"/>
        <v>0.18434718434718436</v>
      </c>
    </row>
    <row r="155" spans="1:16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G155">
        <f t="shared" si="15"/>
        <v>3.4062034062034188E-2</v>
      </c>
      <c r="I155">
        <f t="shared" si="16"/>
        <v>0</v>
      </c>
      <c r="J155">
        <f t="shared" si="17"/>
        <v>-0.15657827155401804</v>
      </c>
      <c r="K155">
        <f t="shared" si="18"/>
        <v>-4.0999999999999996</v>
      </c>
      <c r="L155">
        <f t="shared" si="19"/>
        <v>-4.2565782715540177</v>
      </c>
      <c r="P155">
        <f t="shared" si="20"/>
        <v>3.4062034062034188E-2</v>
      </c>
    </row>
    <row r="156" spans="1:16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G156">
        <f t="shared" si="15"/>
        <v>0.10909510909510911</v>
      </c>
      <c r="I156">
        <f t="shared" si="16"/>
        <v>0</v>
      </c>
      <c r="J156">
        <f t="shared" si="17"/>
        <v>-0.15657827155401804</v>
      </c>
      <c r="K156">
        <f t="shared" si="18"/>
        <v>-4.0999999999999996</v>
      </c>
      <c r="L156">
        <f t="shared" si="19"/>
        <v>-4.2565782715540177</v>
      </c>
      <c r="P156">
        <f t="shared" si="20"/>
        <v>0.10909510909510911</v>
      </c>
    </row>
    <row r="157" spans="1:16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G157">
        <f t="shared" si="15"/>
        <v>0.12196512196512205</v>
      </c>
      <c r="I157">
        <f t="shared" si="16"/>
        <v>0</v>
      </c>
      <c r="J157">
        <f t="shared" si="17"/>
        <v>-0.15657827155401804</v>
      </c>
      <c r="K157">
        <f t="shared" si="18"/>
        <v>-4.0999999999999996</v>
      </c>
      <c r="L157">
        <f t="shared" si="19"/>
        <v>-4.2565782715540177</v>
      </c>
      <c r="P157">
        <f t="shared" si="20"/>
        <v>0.12196512196512205</v>
      </c>
    </row>
    <row r="158" spans="1:16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G158">
        <f t="shared" si="15"/>
        <v>9.5691095691095823E-2</v>
      </c>
      <c r="I158">
        <f t="shared" si="16"/>
        <v>0</v>
      </c>
      <c r="J158">
        <f t="shared" si="17"/>
        <v>-0.15657827155401804</v>
      </c>
      <c r="K158">
        <f t="shared" si="18"/>
        <v>-4.0999999999999996</v>
      </c>
      <c r="L158">
        <f t="shared" si="19"/>
        <v>-4.2565782715540177</v>
      </c>
      <c r="P158">
        <f t="shared" si="20"/>
        <v>9.5691095691095823E-2</v>
      </c>
    </row>
    <row r="159" spans="1:16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G159">
        <f t="shared" si="15"/>
        <v>0.1656691656691657</v>
      </c>
      <c r="I159">
        <f t="shared" si="16"/>
        <v>1.0499999999999999E-2</v>
      </c>
      <c r="J159">
        <f t="shared" si="17"/>
        <v>-0.36657332749237526</v>
      </c>
      <c r="K159">
        <f t="shared" si="18"/>
        <v>-0.30000000000000071</v>
      </c>
      <c r="L159">
        <f t="shared" si="19"/>
        <v>-0.65607332749237601</v>
      </c>
      <c r="P159">
        <f t="shared" si="20"/>
        <v>0.1656691656691657</v>
      </c>
    </row>
    <row r="160" spans="1:16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G160">
        <f t="shared" si="15"/>
        <v>0.11066111066111066</v>
      </c>
      <c r="I160">
        <f t="shared" si="16"/>
        <v>1.0499999999999999E-2</v>
      </c>
      <c r="J160">
        <f t="shared" si="17"/>
        <v>-0.36657332749237526</v>
      </c>
      <c r="K160">
        <f t="shared" si="18"/>
        <v>-0.30000000000000071</v>
      </c>
      <c r="L160">
        <f t="shared" si="19"/>
        <v>-0.65607332749237601</v>
      </c>
      <c r="P160">
        <f t="shared" si="20"/>
        <v>0.11066111066111066</v>
      </c>
    </row>
    <row r="161" spans="1:16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G161">
        <f t="shared" si="15"/>
        <v>8.7324087324087335E-2</v>
      </c>
      <c r="I161">
        <f t="shared" si="16"/>
        <v>1.0499999999999999E-2</v>
      </c>
      <c r="J161">
        <f t="shared" si="17"/>
        <v>-0.36657332749237526</v>
      </c>
      <c r="K161">
        <f t="shared" si="18"/>
        <v>-0.30000000000000071</v>
      </c>
      <c r="L161">
        <f t="shared" si="19"/>
        <v>-0.65607332749237601</v>
      </c>
      <c r="P161">
        <f t="shared" si="20"/>
        <v>8.7324087324087335E-2</v>
      </c>
    </row>
    <row r="162" spans="1:16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G162">
        <f t="shared" si="15"/>
        <v>0.13644313644313658</v>
      </c>
      <c r="I162">
        <f t="shared" si="16"/>
        <v>1.0499999999999999E-2</v>
      </c>
      <c r="J162">
        <f t="shared" si="17"/>
        <v>-0.36657332749237526</v>
      </c>
      <c r="K162">
        <f t="shared" si="18"/>
        <v>-0.30000000000000071</v>
      </c>
      <c r="L162">
        <f t="shared" si="19"/>
        <v>-0.65607332749237601</v>
      </c>
      <c r="P162">
        <f t="shared" si="20"/>
        <v>0.13644313644313658</v>
      </c>
    </row>
    <row r="163" spans="1:16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G163">
        <f t="shared" si="15"/>
        <v>3.3822033822033824E-2</v>
      </c>
      <c r="I163">
        <f t="shared" si="16"/>
        <v>1.0499999999999999E-2</v>
      </c>
      <c r="J163">
        <f t="shared" si="17"/>
        <v>-0.36657332749237526</v>
      </c>
      <c r="K163">
        <f t="shared" si="18"/>
        <v>-0.30000000000000071</v>
      </c>
      <c r="L163">
        <f t="shared" si="19"/>
        <v>-0.65607332749237601</v>
      </c>
      <c r="P163">
        <f t="shared" si="20"/>
        <v>3.3822033822033824E-2</v>
      </c>
    </row>
    <row r="164" spans="1:16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G164">
        <f t="shared" si="15"/>
        <v>0.14568314568314578</v>
      </c>
      <c r="I164">
        <f t="shared" si="16"/>
        <v>1.0499999999999999E-2</v>
      </c>
      <c r="J164">
        <f t="shared" si="17"/>
        <v>-0.36657332749237526</v>
      </c>
      <c r="K164">
        <f t="shared" si="18"/>
        <v>-0.30000000000000071</v>
      </c>
      <c r="L164">
        <f t="shared" si="19"/>
        <v>-0.65607332749237601</v>
      </c>
      <c r="P164">
        <f t="shared" si="20"/>
        <v>0.14568314568314578</v>
      </c>
    </row>
    <row r="165" spans="1:16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G165">
        <f t="shared" si="15"/>
        <v>8.9760089760089798E-2</v>
      </c>
      <c r="I165">
        <f t="shared" si="16"/>
        <v>1.0499999999999999E-2</v>
      </c>
      <c r="J165">
        <f t="shared" si="17"/>
        <v>-0.36657332749237526</v>
      </c>
      <c r="K165">
        <f t="shared" si="18"/>
        <v>-0.30000000000000071</v>
      </c>
      <c r="L165">
        <f t="shared" si="19"/>
        <v>-0.65607332749237601</v>
      </c>
      <c r="P165">
        <f t="shared" si="20"/>
        <v>8.9760089760089798E-2</v>
      </c>
    </row>
    <row r="166" spans="1:16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G166">
        <f t="shared" si="15"/>
        <v>0.13192213192213206</v>
      </c>
      <c r="I166">
        <f t="shared" si="16"/>
        <v>1.0499999999999999E-2</v>
      </c>
      <c r="J166">
        <f t="shared" si="17"/>
        <v>-0.36657332749237526</v>
      </c>
      <c r="K166">
        <f t="shared" si="18"/>
        <v>-0.30000000000000071</v>
      </c>
      <c r="L166">
        <f t="shared" si="19"/>
        <v>-0.65607332749237601</v>
      </c>
      <c r="P166">
        <f t="shared" si="20"/>
        <v>0.13192213192213206</v>
      </c>
    </row>
    <row r="167" spans="1:16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G167">
        <f t="shared" si="15"/>
        <v>0.1171411171411172</v>
      </c>
      <c r="I167">
        <f t="shared" si="16"/>
        <v>1.0499999999999999E-2</v>
      </c>
      <c r="J167">
        <f t="shared" si="17"/>
        <v>-0.36657332749237526</v>
      </c>
      <c r="K167">
        <f t="shared" si="18"/>
        <v>-0.30000000000000071</v>
      </c>
      <c r="L167">
        <f t="shared" si="19"/>
        <v>-0.65607332749237601</v>
      </c>
      <c r="P167">
        <f t="shared" ref="P167:P191" si="21">G167</f>
        <v>0.1171411171411172</v>
      </c>
    </row>
    <row r="168" spans="1:16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G168">
        <f t="shared" si="15"/>
        <v>9.7017097017097001E-2</v>
      </c>
      <c r="I168">
        <f t="shared" si="16"/>
        <v>1.0499999999999999E-2</v>
      </c>
      <c r="J168">
        <f t="shared" si="17"/>
        <v>-0.36657332749237526</v>
      </c>
      <c r="K168">
        <f t="shared" si="18"/>
        <v>-0.30000000000000071</v>
      </c>
      <c r="L168">
        <f t="shared" si="19"/>
        <v>-0.65607332749237601</v>
      </c>
      <c r="P168">
        <f t="shared" si="21"/>
        <v>9.7017097017097001E-2</v>
      </c>
    </row>
    <row r="169" spans="1:16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G169">
        <f t="shared" si="15"/>
        <v>0.1142911142911144</v>
      </c>
      <c r="I169">
        <f t="shared" si="16"/>
        <v>1.0499999999999999E-2</v>
      </c>
      <c r="J169">
        <f t="shared" si="17"/>
        <v>-0.36657332749237526</v>
      </c>
      <c r="K169">
        <f t="shared" si="18"/>
        <v>-0.30000000000000071</v>
      </c>
      <c r="L169">
        <f t="shared" si="19"/>
        <v>-0.65607332749237601</v>
      </c>
      <c r="P169">
        <f t="shared" si="21"/>
        <v>0.1142911142911144</v>
      </c>
    </row>
    <row r="170" spans="1:16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G170">
        <f t="shared" si="15"/>
        <v>0.11204411204411208</v>
      </c>
      <c r="I170">
        <f t="shared" si="16"/>
        <v>1.0499999999999999E-2</v>
      </c>
      <c r="J170">
        <f t="shared" si="17"/>
        <v>-0.36657332749237526</v>
      </c>
      <c r="K170">
        <f t="shared" si="18"/>
        <v>-0.30000000000000071</v>
      </c>
      <c r="L170">
        <f t="shared" si="19"/>
        <v>-0.65607332749237601</v>
      </c>
      <c r="P170">
        <f t="shared" si="21"/>
        <v>0.11204411204411208</v>
      </c>
    </row>
    <row r="171" spans="1:16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G171">
        <f t="shared" si="15"/>
        <v>0.12794112794112808</v>
      </c>
      <c r="I171">
        <f t="shared" si="16"/>
        <v>1.0499999999999999E-2</v>
      </c>
      <c r="J171">
        <f t="shared" si="17"/>
        <v>-0.36657332749237526</v>
      </c>
      <c r="K171">
        <f t="shared" si="18"/>
        <v>-0.30000000000000071</v>
      </c>
      <c r="L171">
        <f t="shared" si="19"/>
        <v>-0.65607332749237601</v>
      </c>
      <c r="P171">
        <f t="shared" si="21"/>
        <v>0.12794112794112808</v>
      </c>
    </row>
    <row r="172" spans="1:16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G172">
        <f t="shared" si="15"/>
        <v>3.9654039654039706E-2</v>
      </c>
      <c r="I172">
        <f t="shared" si="16"/>
        <v>1.0499999999999999E-2</v>
      </c>
      <c r="J172">
        <f t="shared" si="17"/>
        <v>-0.36657332749237526</v>
      </c>
      <c r="K172">
        <f t="shared" si="18"/>
        <v>-0.30000000000000071</v>
      </c>
      <c r="L172">
        <f t="shared" si="19"/>
        <v>-0.65607332749237601</v>
      </c>
      <c r="P172">
        <f t="shared" si="21"/>
        <v>3.9654039654039706E-2</v>
      </c>
    </row>
    <row r="173" spans="1:16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G173">
        <f t="shared" si="15"/>
        <v>9.6456096456096582E-2</v>
      </c>
      <c r="I173">
        <f t="shared" si="16"/>
        <v>1.0499999999999999E-2</v>
      </c>
      <c r="J173">
        <f t="shared" si="17"/>
        <v>-0.36657332749237526</v>
      </c>
      <c r="K173">
        <f t="shared" si="18"/>
        <v>-0.30000000000000071</v>
      </c>
      <c r="L173">
        <f t="shared" si="19"/>
        <v>-0.65607332749237601</v>
      </c>
      <c r="P173">
        <f t="shared" si="21"/>
        <v>9.6456096456096582E-2</v>
      </c>
    </row>
    <row r="174" spans="1:16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G174">
        <f t="shared" si="15"/>
        <v>8.4594084594084698E-2</v>
      </c>
      <c r="I174">
        <f t="shared" si="16"/>
        <v>1.0499999999999999E-2</v>
      </c>
      <c r="J174">
        <f t="shared" si="17"/>
        <v>-0.36657332749237526</v>
      </c>
      <c r="K174">
        <f t="shared" si="18"/>
        <v>-0.30000000000000071</v>
      </c>
      <c r="L174">
        <f t="shared" si="19"/>
        <v>-0.65607332749237601</v>
      </c>
      <c r="P174">
        <f t="shared" si="21"/>
        <v>8.4594084594084698E-2</v>
      </c>
    </row>
    <row r="175" spans="1:16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G175">
        <f t="shared" si="15"/>
        <v>0.23499323499323502</v>
      </c>
      <c r="I175">
        <f t="shared" si="16"/>
        <v>6.9999999999999958E-3</v>
      </c>
      <c r="J175">
        <f t="shared" si="17"/>
        <v>-0.11453858292379948</v>
      </c>
      <c r="K175">
        <f t="shared" si="18"/>
        <v>5.1000000000000014</v>
      </c>
      <c r="L175">
        <f t="shared" si="19"/>
        <v>4.9924614170762016</v>
      </c>
      <c r="P175">
        <f t="shared" si="21"/>
        <v>0.23499323499323502</v>
      </c>
    </row>
    <row r="176" spans="1:16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G176">
        <f t="shared" si="15"/>
        <v>0.10325710325710337</v>
      </c>
      <c r="I176">
        <f t="shared" si="16"/>
        <v>6.9999999999999958E-3</v>
      </c>
      <c r="J176">
        <f t="shared" si="17"/>
        <v>-0.11453858292379948</v>
      </c>
      <c r="K176">
        <f t="shared" si="18"/>
        <v>5.1000000000000014</v>
      </c>
      <c r="L176">
        <f t="shared" si="19"/>
        <v>4.9924614170762016</v>
      </c>
      <c r="P176">
        <f t="shared" si="21"/>
        <v>0.10325710325710337</v>
      </c>
    </row>
    <row r="177" spans="1:17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G177">
        <f t="shared" si="15"/>
        <v>0.21282921282921294</v>
      </c>
      <c r="I177">
        <f t="shared" si="16"/>
        <v>6.9999999999999958E-3</v>
      </c>
      <c r="J177">
        <f t="shared" si="17"/>
        <v>-0.11453858292379948</v>
      </c>
      <c r="K177">
        <f t="shared" si="18"/>
        <v>5.1000000000000014</v>
      </c>
      <c r="L177">
        <f t="shared" si="19"/>
        <v>4.9924614170762016</v>
      </c>
      <c r="P177">
        <f t="shared" si="21"/>
        <v>0.21282921282921294</v>
      </c>
    </row>
    <row r="178" spans="1:17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G178">
        <f t="shared" si="15"/>
        <v>0.12303012303012316</v>
      </c>
      <c r="I178">
        <f t="shared" si="16"/>
        <v>6.9999999999999958E-3</v>
      </c>
      <c r="J178">
        <f t="shared" si="17"/>
        <v>-0.11453858292379948</v>
      </c>
      <c r="K178">
        <f t="shared" si="18"/>
        <v>5.1000000000000014</v>
      </c>
      <c r="L178">
        <f t="shared" si="19"/>
        <v>4.9924614170762016</v>
      </c>
      <c r="P178">
        <f t="shared" si="21"/>
        <v>0.12303012303012316</v>
      </c>
    </row>
    <row r="179" spans="1:17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G179">
        <f t="shared" si="15"/>
        <v>0.17189717189717199</v>
      </c>
      <c r="I179">
        <f t="shared" si="16"/>
        <v>6.9999999999999958E-3</v>
      </c>
      <c r="J179">
        <f t="shared" si="17"/>
        <v>-0.11453858292379948</v>
      </c>
      <c r="K179">
        <f t="shared" si="18"/>
        <v>5.1000000000000014</v>
      </c>
      <c r="L179">
        <f t="shared" si="19"/>
        <v>4.9924614170762016</v>
      </c>
      <c r="P179">
        <f t="shared" si="21"/>
        <v>0.17189717189717199</v>
      </c>
    </row>
    <row r="180" spans="1:17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G180">
        <f t="shared" si="15"/>
        <v>0.1584421584421585</v>
      </c>
      <c r="I180">
        <f t="shared" si="16"/>
        <v>6.9999999999999958E-3</v>
      </c>
      <c r="J180">
        <f t="shared" si="17"/>
        <v>-0.11453858292379948</v>
      </c>
      <c r="K180">
        <f t="shared" si="18"/>
        <v>5.1000000000000014</v>
      </c>
      <c r="L180">
        <f t="shared" si="19"/>
        <v>4.9924614170762016</v>
      </c>
      <c r="P180">
        <f t="shared" si="21"/>
        <v>0.1584421584421585</v>
      </c>
    </row>
    <row r="181" spans="1:17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G181">
        <f t="shared" si="15"/>
        <v>7.83060783060784E-2</v>
      </c>
      <c r="I181">
        <f t="shared" si="16"/>
        <v>6.9999999999999958E-3</v>
      </c>
      <c r="J181">
        <f t="shared" si="17"/>
        <v>-0.11453858292379948</v>
      </c>
      <c r="K181">
        <f t="shared" si="18"/>
        <v>5.1000000000000014</v>
      </c>
      <c r="L181">
        <f t="shared" si="19"/>
        <v>4.9924614170762016</v>
      </c>
      <c r="P181">
        <f t="shared" si="21"/>
        <v>7.83060783060784E-2</v>
      </c>
    </row>
    <row r="182" spans="1:17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G182">
        <f t="shared" si="15"/>
        <v>0.11038811038811053</v>
      </c>
      <c r="I182">
        <f t="shared" si="16"/>
        <v>6.9999999999999958E-3</v>
      </c>
      <c r="J182">
        <f t="shared" si="17"/>
        <v>-0.11453858292379948</v>
      </c>
      <c r="K182">
        <f t="shared" si="18"/>
        <v>5.1000000000000014</v>
      </c>
      <c r="L182">
        <f t="shared" si="19"/>
        <v>4.9924614170762016</v>
      </c>
      <c r="P182">
        <f t="shared" si="21"/>
        <v>0.11038811038811053</v>
      </c>
    </row>
    <row r="183" spans="1:17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G183">
        <f t="shared" si="15"/>
        <v>9.659109659109659E-2</v>
      </c>
      <c r="I183">
        <f t="shared" si="16"/>
        <v>6.9999999999999958E-3</v>
      </c>
      <c r="J183">
        <f t="shared" si="17"/>
        <v>-0.11453858292379948</v>
      </c>
      <c r="K183">
        <f t="shared" si="18"/>
        <v>5.1000000000000014</v>
      </c>
      <c r="L183">
        <f t="shared" si="19"/>
        <v>4.9924614170762016</v>
      </c>
      <c r="P183">
        <f t="shared" si="21"/>
        <v>9.659109659109659E-2</v>
      </c>
    </row>
    <row r="184" spans="1:17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G184">
        <f t="shared" si="15"/>
        <v>0.17363417363417374</v>
      </c>
      <c r="I184">
        <f t="shared" si="16"/>
        <v>6.9999999999999958E-3</v>
      </c>
      <c r="J184">
        <f t="shared" si="17"/>
        <v>-0.11453858292379948</v>
      </c>
      <c r="K184">
        <f t="shared" si="18"/>
        <v>5.1000000000000014</v>
      </c>
      <c r="L184">
        <f t="shared" si="19"/>
        <v>4.9924614170762016</v>
      </c>
      <c r="P184">
        <f t="shared" si="21"/>
        <v>0.17363417363417374</v>
      </c>
    </row>
    <row r="185" spans="1:17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G185">
        <f t="shared" si="15"/>
        <v>0.32979932979932991</v>
      </c>
      <c r="I185">
        <f t="shared" si="16"/>
        <v>6.9999999999999958E-3</v>
      </c>
      <c r="J185">
        <f t="shared" si="17"/>
        <v>-1.2177648034845774</v>
      </c>
      <c r="K185">
        <f t="shared" si="18"/>
        <v>10.199999999999999</v>
      </c>
      <c r="L185">
        <f t="shared" si="19"/>
        <v>8.9892351965154216</v>
      </c>
      <c r="P185">
        <f t="shared" si="21"/>
        <v>0.32979932979932991</v>
      </c>
    </row>
    <row r="186" spans="1:17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G186">
        <f t="shared" si="15"/>
        <v>0.31899931899931905</v>
      </c>
      <c r="I186">
        <f t="shared" si="16"/>
        <v>6.9999999999999958E-3</v>
      </c>
      <c r="J186">
        <f t="shared" si="17"/>
        <v>-1.2177648034845774</v>
      </c>
      <c r="K186">
        <f t="shared" si="18"/>
        <v>10.199999999999999</v>
      </c>
      <c r="L186">
        <f t="shared" si="19"/>
        <v>8.9892351965154216</v>
      </c>
      <c r="P186">
        <f t="shared" si="21"/>
        <v>0.31899931899931905</v>
      </c>
    </row>
    <row r="187" spans="1:17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G187">
        <f t="shared" si="15"/>
        <v>0.3282993282993284</v>
      </c>
      <c r="I187">
        <f t="shared" si="16"/>
        <v>6.9999999999999958E-3</v>
      </c>
      <c r="J187">
        <f t="shared" si="17"/>
        <v>-1.2177648034845774</v>
      </c>
      <c r="K187">
        <f t="shared" si="18"/>
        <v>10.199999999999999</v>
      </c>
      <c r="L187">
        <f t="shared" si="19"/>
        <v>8.9892351965154216</v>
      </c>
      <c r="P187">
        <f t="shared" si="21"/>
        <v>0.3282993282993284</v>
      </c>
    </row>
    <row r="188" spans="1:17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G188">
        <f t="shared" si="15"/>
        <v>0.21579921579921593</v>
      </c>
      <c r="I188">
        <f t="shared" si="16"/>
        <v>6.9999999999999958E-3</v>
      </c>
      <c r="J188">
        <f t="shared" si="17"/>
        <v>-1.2177648034845774</v>
      </c>
      <c r="K188">
        <f t="shared" si="18"/>
        <v>10.199999999999999</v>
      </c>
      <c r="L188">
        <f t="shared" si="19"/>
        <v>8.9892351965154216</v>
      </c>
      <c r="P188">
        <f t="shared" si="21"/>
        <v>0.21579921579921593</v>
      </c>
    </row>
    <row r="189" spans="1:17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G189">
        <f t="shared" si="15"/>
        <v>0.12459912459912463</v>
      </c>
      <c r="I189">
        <f t="shared" si="16"/>
        <v>6.9999999999999958E-3</v>
      </c>
      <c r="J189">
        <f t="shared" si="17"/>
        <v>-1.2177648034845774</v>
      </c>
      <c r="K189">
        <f t="shared" si="18"/>
        <v>10.199999999999999</v>
      </c>
      <c r="L189">
        <f t="shared" si="19"/>
        <v>8.9892351965154216</v>
      </c>
      <c r="P189">
        <f t="shared" si="21"/>
        <v>0.12459912459912463</v>
      </c>
    </row>
    <row r="190" spans="1:17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G190">
        <f t="shared" si="15"/>
        <v>0.29289929289929301</v>
      </c>
      <c r="I190">
        <f t="shared" si="16"/>
        <v>6.9999999999999958E-3</v>
      </c>
      <c r="J190">
        <f t="shared" si="17"/>
        <v>-1.2177648034845774</v>
      </c>
      <c r="K190">
        <f t="shared" si="18"/>
        <v>10.199999999999999</v>
      </c>
      <c r="L190">
        <f t="shared" si="19"/>
        <v>8.9892351965154216</v>
      </c>
      <c r="P190">
        <f t="shared" si="21"/>
        <v>0.29289929289929301</v>
      </c>
    </row>
    <row r="191" spans="1:17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G191">
        <f t="shared" si="15"/>
        <v>0.11949911949911957</v>
      </c>
      <c r="I191">
        <f t="shared" si="16"/>
        <v>6.9999999999999958E-3</v>
      </c>
      <c r="J191">
        <f t="shared" si="17"/>
        <v>-1.2177648034845774</v>
      </c>
      <c r="K191">
        <f t="shared" si="18"/>
        <v>10.199999999999999</v>
      </c>
      <c r="L191">
        <f t="shared" si="19"/>
        <v>8.9892351965154216</v>
      </c>
      <c r="P191">
        <f t="shared" si="21"/>
        <v>0.11949911949911957</v>
      </c>
    </row>
    <row r="192" spans="1:17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G192">
        <f t="shared" si="15"/>
        <v>0.25837825837825845</v>
      </c>
      <c r="I192">
        <f t="shared" si="16"/>
        <v>6.9999999999999958E-3</v>
      </c>
      <c r="J192">
        <f t="shared" si="17"/>
        <v>9.0631848720000114</v>
      </c>
      <c r="K192">
        <f t="shared" si="18"/>
        <v>0.5</v>
      </c>
      <c r="L192">
        <f t="shared" si="19"/>
        <v>9.5701848720000111</v>
      </c>
      <c r="Q192">
        <f t="shared" ref="Q192:Q223" si="22">G192</f>
        <v>0.25837825837825845</v>
      </c>
    </row>
    <row r="193" spans="1:17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G193">
        <f t="shared" si="15"/>
        <v>0.36250536250536258</v>
      </c>
      <c r="I193">
        <f t="shared" si="16"/>
        <v>6.9999999999999958E-3</v>
      </c>
      <c r="J193">
        <f t="shared" si="17"/>
        <v>9.0631848720000114</v>
      </c>
      <c r="K193">
        <f t="shared" si="18"/>
        <v>0.5</v>
      </c>
      <c r="L193">
        <f t="shared" si="19"/>
        <v>9.5701848720000111</v>
      </c>
      <c r="Q193">
        <f t="shared" si="22"/>
        <v>0.36250536250536258</v>
      </c>
    </row>
    <row r="194" spans="1:17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G194">
        <f t="shared" si="15"/>
        <v>0.22014622014622015</v>
      </c>
      <c r="I194">
        <f t="shared" si="16"/>
        <v>6.9999999999999958E-3</v>
      </c>
      <c r="J194">
        <f t="shared" si="17"/>
        <v>9.0631848720000114</v>
      </c>
      <c r="K194">
        <f t="shared" si="18"/>
        <v>0.5</v>
      </c>
      <c r="L194">
        <f t="shared" si="19"/>
        <v>9.5701848720000111</v>
      </c>
      <c r="Q194">
        <f t="shared" si="22"/>
        <v>0.22014622014622015</v>
      </c>
    </row>
    <row r="195" spans="1:17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G195">
        <f t="shared" ref="G195:G258" si="23">($F$343-F195)/$F$343</f>
        <v>0.1317931317931319</v>
      </c>
      <c r="I195">
        <f t="shared" ref="I195:I258" si="24">(E195-0.17)*$U$2</f>
        <v>6.9999999999999958E-3</v>
      </c>
      <c r="J195">
        <f t="shared" ref="J195:J258" si="25">(8-D195)*$U$4</f>
        <v>9.0631848720000114</v>
      </c>
      <c r="K195">
        <f t="shared" ref="K195:K258" si="26">(C195-20)*$U$3</f>
        <v>0.5</v>
      </c>
      <c r="L195">
        <f t="shared" ref="L195:L258" si="27">SUM(I195:K195)</f>
        <v>9.5701848720000111</v>
      </c>
      <c r="Q195">
        <f t="shared" si="22"/>
        <v>0.1317931317931319</v>
      </c>
    </row>
    <row r="196" spans="1:17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G196">
        <f t="shared" si="23"/>
        <v>0.16340416340416344</v>
      </c>
      <c r="I196">
        <f t="shared" si="24"/>
        <v>6.9999999999999958E-3</v>
      </c>
      <c r="J196">
        <f t="shared" si="25"/>
        <v>9.0631848720000114</v>
      </c>
      <c r="K196">
        <f t="shared" si="26"/>
        <v>0.5</v>
      </c>
      <c r="L196">
        <f t="shared" si="27"/>
        <v>9.5701848720000111</v>
      </c>
      <c r="Q196">
        <f t="shared" si="22"/>
        <v>0.16340416340416344</v>
      </c>
    </row>
    <row r="197" spans="1:17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G197">
        <f t="shared" si="23"/>
        <v>0.10337710337710337</v>
      </c>
      <c r="I197">
        <f t="shared" si="24"/>
        <v>6.9999999999999958E-3</v>
      </c>
      <c r="J197">
        <f t="shared" si="25"/>
        <v>9.0631848720000114</v>
      </c>
      <c r="K197">
        <f t="shared" si="26"/>
        <v>0.5</v>
      </c>
      <c r="L197">
        <f t="shared" si="27"/>
        <v>9.5701848720000111</v>
      </c>
      <c r="Q197">
        <f t="shared" si="22"/>
        <v>0.10337710337710337</v>
      </c>
    </row>
    <row r="198" spans="1:17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G198">
        <f t="shared" si="23"/>
        <v>0.22258222258222263</v>
      </c>
      <c r="I198">
        <f t="shared" si="24"/>
        <v>6.9999999999999958E-3</v>
      </c>
      <c r="J198">
        <f t="shared" si="25"/>
        <v>9.0631848720000114</v>
      </c>
      <c r="K198">
        <f t="shared" si="26"/>
        <v>0.5</v>
      </c>
      <c r="L198">
        <f t="shared" si="27"/>
        <v>9.5701848720000111</v>
      </c>
      <c r="Q198">
        <f t="shared" si="22"/>
        <v>0.22258222258222263</v>
      </c>
    </row>
    <row r="199" spans="1:17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G199">
        <f t="shared" si="23"/>
        <v>0.31978531978531982</v>
      </c>
      <c r="I199">
        <f t="shared" si="24"/>
        <v>6.9999999999999958E-3</v>
      </c>
      <c r="J199">
        <f t="shared" si="25"/>
        <v>9.0631848720000114</v>
      </c>
      <c r="K199">
        <f t="shared" si="26"/>
        <v>0.5</v>
      </c>
      <c r="L199">
        <f t="shared" si="27"/>
        <v>9.5701848720000111</v>
      </c>
      <c r="Q199">
        <f t="shared" si="22"/>
        <v>0.31978531978531982</v>
      </c>
    </row>
    <row r="200" spans="1:17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G200">
        <f t="shared" si="23"/>
        <v>0.20973620973620982</v>
      </c>
      <c r="I200">
        <f t="shared" si="24"/>
        <v>6.9999999999999958E-3</v>
      </c>
      <c r="J200">
        <f t="shared" si="25"/>
        <v>9.0631848720000114</v>
      </c>
      <c r="K200">
        <f t="shared" si="26"/>
        <v>0.5</v>
      </c>
      <c r="L200">
        <f t="shared" si="27"/>
        <v>9.5701848720000111</v>
      </c>
      <c r="Q200">
        <f t="shared" si="22"/>
        <v>0.20973620973620982</v>
      </c>
    </row>
    <row r="201" spans="1:17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G201">
        <f t="shared" si="23"/>
        <v>0.30717630717630728</v>
      </c>
      <c r="I201">
        <f t="shared" si="24"/>
        <v>6.9999999999999958E-3</v>
      </c>
      <c r="J201">
        <f t="shared" si="25"/>
        <v>9.0631848720000114</v>
      </c>
      <c r="K201">
        <f t="shared" si="26"/>
        <v>0.5</v>
      </c>
      <c r="L201">
        <f t="shared" si="27"/>
        <v>9.5701848720000111</v>
      </c>
      <c r="Q201">
        <f t="shared" si="22"/>
        <v>0.30717630717630728</v>
      </c>
    </row>
    <row r="202" spans="1:17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G202">
        <f t="shared" si="23"/>
        <v>0.27905127905127919</v>
      </c>
      <c r="I202">
        <f t="shared" si="24"/>
        <v>6.9999999999999958E-3</v>
      </c>
      <c r="J202">
        <f t="shared" si="25"/>
        <v>9.0631848720000114</v>
      </c>
      <c r="K202">
        <f t="shared" si="26"/>
        <v>0.5</v>
      </c>
      <c r="L202">
        <f t="shared" si="27"/>
        <v>9.5701848720000111</v>
      </c>
      <c r="Q202">
        <f t="shared" si="22"/>
        <v>0.27905127905127919</v>
      </c>
    </row>
    <row r="203" spans="1:17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G203">
        <f t="shared" si="23"/>
        <v>0.30697530697530706</v>
      </c>
      <c r="I203">
        <f t="shared" si="24"/>
        <v>3.4999999999999931E-3</v>
      </c>
      <c r="J203">
        <f t="shared" si="25"/>
        <v>9.0631848720000114</v>
      </c>
      <c r="K203">
        <f t="shared" si="26"/>
        <v>0.69999999999999929</v>
      </c>
      <c r="L203">
        <f t="shared" si="27"/>
        <v>9.7666848720000115</v>
      </c>
      <c r="Q203">
        <f t="shared" si="22"/>
        <v>0.30697530697530706</v>
      </c>
    </row>
    <row r="204" spans="1:17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G204">
        <f t="shared" si="23"/>
        <v>0.13455913455913457</v>
      </c>
      <c r="I204">
        <f t="shared" si="24"/>
        <v>3.4999999999999931E-3</v>
      </c>
      <c r="J204">
        <f t="shared" si="25"/>
        <v>9.0631848720000114</v>
      </c>
      <c r="K204">
        <f t="shared" si="26"/>
        <v>0.69999999999999929</v>
      </c>
      <c r="L204">
        <f t="shared" si="27"/>
        <v>9.7666848720000115</v>
      </c>
      <c r="Q204">
        <f t="shared" si="22"/>
        <v>0.13455913455913457</v>
      </c>
    </row>
    <row r="205" spans="1:17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G205">
        <f t="shared" si="23"/>
        <v>7.4910074910074981E-2</v>
      </c>
      <c r="I205">
        <f t="shared" si="24"/>
        <v>3.4999999999999931E-3</v>
      </c>
      <c r="J205">
        <f t="shared" si="25"/>
        <v>9.0631848720000114</v>
      </c>
      <c r="K205">
        <f t="shared" si="26"/>
        <v>0.69999999999999929</v>
      </c>
      <c r="L205">
        <f t="shared" si="27"/>
        <v>9.7666848720000115</v>
      </c>
      <c r="Q205">
        <f t="shared" si="22"/>
        <v>7.4910074910074981E-2</v>
      </c>
    </row>
    <row r="206" spans="1:17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G206">
        <f t="shared" si="23"/>
        <v>0.16990816990816995</v>
      </c>
      <c r="I206">
        <f t="shared" si="24"/>
        <v>3.4999999999999931E-3</v>
      </c>
      <c r="J206">
        <f t="shared" si="25"/>
        <v>9.0631848720000114</v>
      </c>
      <c r="K206">
        <f t="shared" si="26"/>
        <v>0.69999999999999929</v>
      </c>
      <c r="L206">
        <f t="shared" si="27"/>
        <v>9.7666848720000115</v>
      </c>
      <c r="Q206">
        <f t="shared" si="22"/>
        <v>0.16990816990816995</v>
      </c>
    </row>
    <row r="207" spans="1:17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G207">
        <f t="shared" si="23"/>
        <v>0.26257226257226257</v>
      </c>
      <c r="I207">
        <f t="shared" si="24"/>
        <v>2.3904999999999998</v>
      </c>
      <c r="J207">
        <f t="shared" si="25"/>
        <v>0.88175334799999305</v>
      </c>
      <c r="K207">
        <f t="shared" si="26"/>
        <v>0.60000000000000142</v>
      </c>
      <c r="L207">
        <f t="shared" si="27"/>
        <v>3.8722533479999943</v>
      </c>
      <c r="Q207">
        <f t="shared" si="22"/>
        <v>0.26257226257226257</v>
      </c>
    </row>
    <row r="208" spans="1:17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G208">
        <f t="shared" si="23"/>
        <v>0.17667617667617683</v>
      </c>
      <c r="I208">
        <f t="shared" si="24"/>
        <v>2.3904999999999998</v>
      </c>
      <c r="J208">
        <f t="shared" si="25"/>
        <v>0.88175334799999305</v>
      </c>
      <c r="K208">
        <f t="shared" si="26"/>
        <v>0.60000000000000142</v>
      </c>
      <c r="L208">
        <f t="shared" si="27"/>
        <v>3.8722533479999943</v>
      </c>
      <c r="Q208">
        <f t="shared" si="22"/>
        <v>0.17667617667617683</v>
      </c>
    </row>
    <row r="209" spans="1:17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G209">
        <f t="shared" si="23"/>
        <v>0.33030033030033035</v>
      </c>
      <c r="I209">
        <f t="shared" si="24"/>
        <v>2.3904999999999998</v>
      </c>
      <c r="J209">
        <f t="shared" si="25"/>
        <v>0.88175334799999305</v>
      </c>
      <c r="K209">
        <f t="shared" si="26"/>
        <v>0.60000000000000142</v>
      </c>
      <c r="L209">
        <f t="shared" si="27"/>
        <v>3.8722533479999943</v>
      </c>
      <c r="Q209">
        <f t="shared" si="22"/>
        <v>0.33030033030033035</v>
      </c>
    </row>
    <row r="210" spans="1:17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G210">
        <f t="shared" si="23"/>
        <v>0.12861312861312871</v>
      </c>
      <c r="I210">
        <f t="shared" si="24"/>
        <v>2.3904999999999998</v>
      </c>
      <c r="J210">
        <f t="shared" si="25"/>
        <v>0.88175334799999305</v>
      </c>
      <c r="K210">
        <f t="shared" si="26"/>
        <v>0.60000000000000142</v>
      </c>
      <c r="L210">
        <f t="shared" si="27"/>
        <v>3.8722533479999943</v>
      </c>
      <c r="Q210">
        <f t="shared" si="22"/>
        <v>0.12861312861312871</v>
      </c>
    </row>
    <row r="211" spans="1:17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G211">
        <f t="shared" si="23"/>
        <v>0.11312111312111327</v>
      </c>
      <c r="I211">
        <f t="shared" si="24"/>
        <v>2.3904999999999998</v>
      </c>
      <c r="J211">
        <f t="shared" si="25"/>
        <v>0.88175334799999305</v>
      </c>
      <c r="K211">
        <f t="shared" si="26"/>
        <v>0.60000000000000142</v>
      </c>
      <c r="L211">
        <f t="shared" si="27"/>
        <v>3.8722533479999943</v>
      </c>
      <c r="Q211">
        <f t="shared" si="22"/>
        <v>0.11312111312111327</v>
      </c>
    </row>
    <row r="212" spans="1:17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G212">
        <f t="shared" si="23"/>
        <v>0.10810510810510818</v>
      </c>
      <c r="I212">
        <f t="shared" si="24"/>
        <v>2.3904999999999998</v>
      </c>
      <c r="J212">
        <f t="shared" si="25"/>
        <v>0.88175334799999305</v>
      </c>
      <c r="K212">
        <f t="shared" si="26"/>
        <v>0.60000000000000142</v>
      </c>
      <c r="L212">
        <f t="shared" si="27"/>
        <v>3.8722533479999943</v>
      </c>
      <c r="Q212">
        <f t="shared" si="22"/>
        <v>0.10810510810510818</v>
      </c>
    </row>
    <row r="213" spans="1:17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G213">
        <f t="shared" si="23"/>
        <v>0.17821217821217836</v>
      </c>
      <c r="I213">
        <f t="shared" si="24"/>
        <v>2.3904999999999998</v>
      </c>
      <c r="J213">
        <f t="shared" si="25"/>
        <v>0.88175334799999305</v>
      </c>
      <c r="K213">
        <f t="shared" si="26"/>
        <v>0.60000000000000142</v>
      </c>
      <c r="L213">
        <f t="shared" si="27"/>
        <v>3.8722533479999943</v>
      </c>
      <c r="Q213">
        <f t="shared" si="22"/>
        <v>0.17821217821217836</v>
      </c>
    </row>
    <row r="214" spans="1:17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G214">
        <f t="shared" si="23"/>
        <v>0.23441423441423451</v>
      </c>
      <c r="I214">
        <f t="shared" si="24"/>
        <v>2.3904999999999998</v>
      </c>
      <c r="J214">
        <f t="shared" si="25"/>
        <v>0.88175334799999305</v>
      </c>
      <c r="K214">
        <f t="shared" si="26"/>
        <v>0.60000000000000142</v>
      </c>
      <c r="L214">
        <f t="shared" si="27"/>
        <v>3.8722533479999943</v>
      </c>
      <c r="Q214">
        <f t="shared" si="22"/>
        <v>0.23441423441423451</v>
      </c>
    </row>
    <row r="215" spans="1:17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G215">
        <f t="shared" si="23"/>
        <v>0.22345222345222354</v>
      </c>
      <c r="I215">
        <f t="shared" si="24"/>
        <v>2.3904999999999998</v>
      </c>
      <c r="J215">
        <f t="shared" si="25"/>
        <v>0.88175334799999305</v>
      </c>
      <c r="K215">
        <f t="shared" si="26"/>
        <v>0.60000000000000142</v>
      </c>
      <c r="L215">
        <f t="shared" si="27"/>
        <v>3.8722533479999943</v>
      </c>
      <c r="Q215">
        <f t="shared" si="22"/>
        <v>0.22345222345222354</v>
      </c>
    </row>
    <row r="216" spans="1:17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G216">
        <f t="shared" si="23"/>
        <v>0.32388632388632399</v>
      </c>
      <c r="I216">
        <f t="shared" si="24"/>
        <v>2.3904999999999998</v>
      </c>
      <c r="J216">
        <f t="shared" si="25"/>
        <v>0.88175334799999305</v>
      </c>
      <c r="K216">
        <f t="shared" si="26"/>
        <v>0.60000000000000142</v>
      </c>
      <c r="L216">
        <f t="shared" si="27"/>
        <v>3.8722533479999943</v>
      </c>
      <c r="Q216">
        <f t="shared" si="22"/>
        <v>0.32388632388632399</v>
      </c>
    </row>
    <row r="217" spans="1:17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G217">
        <f t="shared" si="23"/>
        <v>0.14104214104214105</v>
      </c>
      <c r="I217">
        <f t="shared" si="24"/>
        <v>2.7404999999999999</v>
      </c>
      <c r="J217">
        <f t="shared" si="25"/>
        <v>0.88175334799999305</v>
      </c>
      <c r="K217">
        <f t="shared" si="26"/>
        <v>0.5</v>
      </c>
      <c r="L217">
        <f t="shared" si="27"/>
        <v>4.122253347999993</v>
      </c>
      <c r="Q217">
        <f t="shared" si="22"/>
        <v>0.14104214104214105</v>
      </c>
    </row>
    <row r="218" spans="1:17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G218">
        <f t="shared" si="23"/>
        <v>0.11504111504111514</v>
      </c>
      <c r="I218">
        <f t="shared" si="24"/>
        <v>2.7404999999999999</v>
      </c>
      <c r="J218">
        <f t="shared" si="25"/>
        <v>0.88175334799999305</v>
      </c>
      <c r="K218">
        <f t="shared" si="26"/>
        <v>0.5</v>
      </c>
      <c r="L218">
        <f t="shared" si="27"/>
        <v>4.122253347999993</v>
      </c>
      <c r="Q218">
        <f t="shared" si="22"/>
        <v>0.11504111504111514</v>
      </c>
    </row>
    <row r="219" spans="1:17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G219">
        <f t="shared" si="23"/>
        <v>0.20247320247320258</v>
      </c>
      <c r="I219">
        <f t="shared" si="24"/>
        <v>2.7404999999999999</v>
      </c>
      <c r="J219">
        <f t="shared" si="25"/>
        <v>0.88175334799999305</v>
      </c>
      <c r="K219">
        <f t="shared" si="26"/>
        <v>0.5</v>
      </c>
      <c r="L219">
        <f t="shared" si="27"/>
        <v>4.122253347999993</v>
      </c>
      <c r="Q219">
        <f t="shared" si="22"/>
        <v>0.20247320247320258</v>
      </c>
    </row>
    <row r="220" spans="1:17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G220">
        <f t="shared" si="23"/>
        <v>0.18697818697818702</v>
      </c>
      <c r="I220">
        <f t="shared" si="24"/>
        <v>2.7404999999999999</v>
      </c>
      <c r="J220">
        <f t="shared" si="25"/>
        <v>0.88175334799999305</v>
      </c>
      <c r="K220">
        <f t="shared" si="26"/>
        <v>0.5</v>
      </c>
      <c r="L220">
        <f t="shared" si="27"/>
        <v>4.122253347999993</v>
      </c>
      <c r="Q220">
        <f t="shared" si="22"/>
        <v>0.18697818697818702</v>
      </c>
    </row>
    <row r="221" spans="1:17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G221">
        <f t="shared" si="23"/>
        <v>0.13763113763113766</v>
      </c>
      <c r="I221">
        <f t="shared" si="24"/>
        <v>2.7404999999999999</v>
      </c>
      <c r="J221">
        <f t="shared" si="25"/>
        <v>0.88175334799999305</v>
      </c>
      <c r="K221">
        <f t="shared" si="26"/>
        <v>0.5</v>
      </c>
      <c r="L221">
        <f t="shared" si="27"/>
        <v>4.122253347999993</v>
      </c>
      <c r="Q221">
        <f t="shared" si="22"/>
        <v>0.13763113763113766</v>
      </c>
    </row>
    <row r="222" spans="1:17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G222">
        <f t="shared" si="23"/>
        <v>7.3737073737073749E-2</v>
      </c>
      <c r="I222">
        <f t="shared" si="24"/>
        <v>2.7404999999999999</v>
      </c>
      <c r="J222">
        <f t="shared" si="25"/>
        <v>0.88175334799999305</v>
      </c>
      <c r="K222">
        <f t="shared" si="26"/>
        <v>0.5</v>
      </c>
      <c r="L222">
        <f t="shared" si="27"/>
        <v>4.122253347999993</v>
      </c>
      <c r="Q222">
        <f t="shared" si="22"/>
        <v>7.3737073737073749E-2</v>
      </c>
    </row>
    <row r="223" spans="1:17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G223">
        <f t="shared" si="23"/>
        <v>3.7203037203037234E-2</v>
      </c>
      <c r="I223">
        <f t="shared" si="24"/>
        <v>2.7404999999999999</v>
      </c>
      <c r="J223">
        <f t="shared" si="25"/>
        <v>0.88175334799999305</v>
      </c>
      <c r="K223">
        <f t="shared" si="26"/>
        <v>0.5</v>
      </c>
      <c r="L223">
        <f t="shared" si="27"/>
        <v>4.122253347999993</v>
      </c>
      <c r="Q223">
        <f t="shared" si="22"/>
        <v>3.7203037203037234E-2</v>
      </c>
    </row>
    <row r="224" spans="1:17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G224">
        <f t="shared" si="23"/>
        <v>0.20415020415020416</v>
      </c>
      <c r="I224">
        <f t="shared" si="24"/>
        <v>2.7404999999999999</v>
      </c>
      <c r="J224">
        <f t="shared" si="25"/>
        <v>0.88175334799999305</v>
      </c>
      <c r="K224">
        <f t="shared" si="26"/>
        <v>0.5</v>
      </c>
      <c r="L224">
        <f t="shared" si="27"/>
        <v>4.122253347999993</v>
      </c>
      <c r="Q224">
        <f t="shared" ref="Q224:Q255" si="28">G224</f>
        <v>0.20415020415020416</v>
      </c>
    </row>
    <row r="225" spans="1:17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G225">
        <f t="shared" si="23"/>
        <v>0.19727719727719731</v>
      </c>
      <c r="I225">
        <f t="shared" si="24"/>
        <v>0</v>
      </c>
      <c r="J225">
        <f t="shared" si="25"/>
        <v>6.930171780000002</v>
      </c>
      <c r="K225">
        <f t="shared" si="26"/>
        <v>5.5</v>
      </c>
      <c r="L225">
        <f t="shared" si="27"/>
        <v>12.430171780000002</v>
      </c>
      <c r="Q225">
        <f t="shared" si="28"/>
        <v>0.19727719727719731</v>
      </c>
    </row>
    <row r="226" spans="1:17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G226">
        <f t="shared" si="23"/>
        <v>2.0073020073020163E-2</v>
      </c>
      <c r="I226">
        <f t="shared" si="24"/>
        <v>0</v>
      </c>
      <c r="J226">
        <f t="shared" si="25"/>
        <v>6.930171780000002</v>
      </c>
      <c r="K226">
        <f t="shared" si="26"/>
        <v>5.5</v>
      </c>
      <c r="L226">
        <f t="shared" si="27"/>
        <v>12.430171780000002</v>
      </c>
      <c r="Q226">
        <f t="shared" si="28"/>
        <v>2.0073020073020163E-2</v>
      </c>
    </row>
    <row r="227" spans="1:17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G227">
        <f t="shared" si="23"/>
        <v>0.13100113100113109</v>
      </c>
      <c r="I227">
        <f t="shared" si="24"/>
        <v>0</v>
      </c>
      <c r="J227">
        <f t="shared" si="25"/>
        <v>6.930171780000002</v>
      </c>
      <c r="K227">
        <f t="shared" si="26"/>
        <v>5.5</v>
      </c>
      <c r="L227">
        <f t="shared" si="27"/>
        <v>12.430171780000002</v>
      </c>
      <c r="Q227">
        <f t="shared" si="28"/>
        <v>0.13100113100113109</v>
      </c>
    </row>
    <row r="228" spans="1:17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G228">
        <f t="shared" si="23"/>
        <v>0.20960420960420975</v>
      </c>
      <c r="I228">
        <f t="shared" si="24"/>
        <v>0</v>
      </c>
      <c r="J228">
        <f t="shared" si="25"/>
        <v>6.930171780000002</v>
      </c>
      <c r="K228">
        <f t="shared" si="26"/>
        <v>5.5</v>
      </c>
      <c r="L228">
        <f t="shared" si="27"/>
        <v>12.430171780000002</v>
      </c>
      <c r="Q228">
        <f t="shared" si="28"/>
        <v>0.20960420960420975</v>
      </c>
    </row>
    <row r="229" spans="1:17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G229">
        <f t="shared" si="23"/>
        <v>9.6078096078096101E-2</v>
      </c>
      <c r="I229">
        <f t="shared" si="24"/>
        <v>0</v>
      </c>
      <c r="J229">
        <f t="shared" si="25"/>
        <v>6.930171780000002</v>
      </c>
      <c r="K229">
        <f t="shared" si="26"/>
        <v>5.5</v>
      </c>
      <c r="L229">
        <f t="shared" si="27"/>
        <v>12.430171780000002</v>
      </c>
      <c r="Q229">
        <f t="shared" si="28"/>
        <v>9.6078096078096101E-2</v>
      </c>
    </row>
    <row r="230" spans="1:17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G230">
        <f t="shared" si="23"/>
        <v>0.14110214110214123</v>
      </c>
      <c r="I230">
        <f t="shared" si="24"/>
        <v>0</v>
      </c>
      <c r="J230">
        <f t="shared" si="25"/>
        <v>6.930171780000002</v>
      </c>
      <c r="K230">
        <f t="shared" si="26"/>
        <v>5.5</v>
      </c>
      <c r="L230">
        <f t="shared" si="27"/>
        <v>12.430171780000002</v>
      </c>
      <c r="Q230">
        <f t="shared" si="28"/>
        <v>0.14110214110214123</v>
      </c>
    </row>
    <row r="231" spans="1:17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G231">
        <f t="shared" si="23"/>
        <v>1.4343014343014359E-2</v>
      </c>
      <c r="I231">
        <f t="shared" si="24"/>
        <v>0</v>
      </c>
      <c r="J231">
        <f t="shared" si="25"/>
        <v>6.930171780000002</v>
      </c>
      <c r="K231">
        <f t="shared" si="26"/>
        <v>5.5</v>
      </c>
      <c r="L231">
        <f t="shared" si="27"/>
        <v>12.430171780000002</v>
      </c>
      <c r="Q231">
        <f t="shared" si="28"/>
        <v>1.4343014343014359E-2</v>
      </c>
    </row>
    <row r="232" spans="1:17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G232">
        <f t="shared" si="23"/>
        <v>0.13047913047913062</v>
      </c>
      <c r="I232">
        <f t="shared" si="24"/>
        <v>0</v>
      </c>
      <c r="J232">
        <f t="shared" si="25"/>
        <v>6.930171780000002</v>
      </c>
      <c r="K232">
        <f t="shared" si="26"/>
        <v>5.5</v>
      </c>
      <c r="L232">
        <f t="shared" si="27"/>
        <v>12.430171780000002</v>
      </c>
      <c r="Q232">
        <f t="shared" si="28"/>
        <v>0.13047913047913062</v>
      </c>
    </row>
    <row r="233" spans="1:17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G233">
        <f t="shared" si="23"/>
        <v>6.0534060534060692E-2</v>
      </c>
      <c r="I233">
        <f t="shared" si="24"/>
        <v>0</v>
      </c>
      <c r="J233">
        <f t="shared" si="25"/>
        <v>6.930171780000002</v>
      </c>
      <c r="K233">
        <f t="shared" si="26"/>
        <v>5.5</v>
      </c>
      <c r="L233">
        <f t="shared" si="27"/>
        <v>12.430171780000002</v>
      </c>
      <c r="Q233">
        <f t="shared" si="28"/>
        <v>6.0534060534060692E-2</v>
      </c>
    </row>
    <row r="234" spans="1:17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G234">
        <f t="shared" si="23"/>
        <v>4.8807048807048822E-2</v>
      </c>
      <c r="I234">
        <f t="shared" si="24"/>
        <v>0</v>
      </c>
      <c r="J234">
        <f t="shared" si="25"/>
        <v>6.930171780000002</v>
      </c>
      <c r="K234">
        <f t="shared" si="26"/>
        <v>5.5</v>
      </c>
      <c r="L234">
        <f t="shared" si="27"/>
        <v>12.430171780000002</v>
      </c>
      <c r="Q234">
        <f t="shared" si="28"/>
        <v>4.8807048807048822E-2</v>
      </c>
    </row>
    <row r="235" spans="1:17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G235">
        <f t="shared" si="23"/>
        <v>0.1012471012471013</v>
      </c>
      <c r="I235">
        <f t="shared" si="24"/>
        <v>0</v>
      </c>
      <c r="J235">
        <f t="shared" si="25"/>
        <v>6.930171780000002</v>
      </c>
      <c r="K235">
        <f t="shared" si="26"/>
        <v>5.5</v>
      </c>
      <c r="L235">
        <f t="shared" si="27"/>
        <v>12.430171780000002</v>
      </c>
      <c r="Q235">
        <f t="shared" si="28"/>
        <v>0.1012471012471013</v>
      </c>
    </row>
    <row r="236" spans="1:17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G236">
        <f t="shared" si="23"/>
        <v>0.10315210315210319</v>
      </c>
      <c r="I236">
        <f t="shared" si="24"/>
        <v>0</v>
      </c>
      <c r="J236">
        <f t="shared" si="25"/>
        <v>6.930171780000002</v>
      </c>
      <c r="K236">
        <f t="shared" si="26"/>
        <v>5.5</v>
      </c>
      <c r="L236">
        <f t="shared" si="27"/>
        <v>12.430171780000002</v>
      </c>
      <c r="Q236">
        <f t="shared" si="28"/>
        <v>0.10315210315210319</v>
      </c>
    </row>
    <row r="237" spans="1:17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G237">
        <f t="shared" si="23"/>
        <v>0.17132117132117139</v>
      </c>
      <c r="I237">
        <f t="shared" si="24"/>
        <v>3.4999999999999931E-3</v>
      </c>
      <c r="J237">
        <f t="shared" si="25"/>
        <v>6.7434517080000056</v>
      </c>
      <c r="K237">
        <f t="shared" si="26"/>
        <v>5.3999999999999986</v>
      </c>
      <c r="L237">
        <f t="shared" si="27"/>
        <v>12.146951708000003</v>
      </c>
      <c r="Q237">
        <f t="shared" si="28"/>
        <v>0.17132117132117139</v>
      </c>
    </row>
    <row r="238" spans="1:17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G238">
        <f t="shared" si="23"/>
        <v>0.15905415905415912</v>
      </c>
      <c r="I238">
        <f t="shared" si="24"/>
        <v>3.4999999999999931E-3</v>
      </c>
      <c r="J238">
        <f t="shared" si="25"/>
        <v>6.7434517080000056</v>
      </c>
      <c r="K238">
        <f t="shared" si="26"/>
        <v>5.3999999999999986</v>
      </c>
      <c r="L238">
        <f t="shared" si="27"/>
        <v>12.146951708000003</v>
      </c>
      <c r="Q238">
        <f t="shared" si="28"/>
        <v>0.15905415905415912</v>
      </c>
    </row>
    <row r="239" spans="1:17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G239">
        <f t="shared" si="23"/>
        <v>5.6358056358056359E-2</v>
      </c>
      <c r="I239">
        <f t="shared" si="24"/>
        <v>3.4999999999999931E-3</v>
      </c>
      <c r="J239">
        <f t="shared" si="25"/>
        <v>6.7434517080000056</v>
      </c>
      <c r="K239">
        <f t="shared" si="26"/>
        <v>5.3999999999999986</v>
      </c>
      <c r="L239">
        <f t="shared" si="27"/>
        <v>12.146951708000003</v>
      </c>
      <c r="Q239">
        <f t="shared" si="28"/>
        <v>5.6358056358056359E-2</v>
      </c>
    </row>
    <row r="240" spans="1:17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G240">
        <f t="shared" si="23"/>
        <v>0.19703119703119709</v>
      </c>
      <c r="I240">
        <f t="shared" si="24"/>
        <v>3.4999999999999931E-3</v>
      </c>
      <c r="J240">
        <f t="shared" si="25"/>
        <v>6.7434517080000056</v>
      </c>
      <c r="K240">
        <f t="shared" si="26"/>
        <v>5.3999999999999986</v>
      </c>
      <c r="L240">
        <f t="shared" si="27"/>
        <v>12.146951708000003</v>
      </c>
      <c r="Q240">
        <f t="shared" si="28"/>
        <v>0.19703119703119709</v>
      </c>
    </row>
    <row r="241" spans="1:17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G241">
        <f t="shared" si="23"/>
        <v>0.15677415677415688</v>
      </c>
      <c r="I241">
        <f t="shared" si="24"/>
        <v>3.4999999999999931E-3</v>
      </c>
      <c r="J241">
        <f t="shared" si="25"/>
        <v>6.7434517080000056</v>
      </c>
      <c r="K241">
        <f t="shared" si="26"/>
        <v>5.3999999999999986</v>
      </c>
      <c r="L241">
        <f t="shared" si="27"/>
        <v>12.146951708000003</v>
      </c>
      <c r="Q241">
        <f t="shared" si="28"/>
        <v>0.15677415677415688</v>
      </c>
    </row>
    <row r="242" spans="1:17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G242">
        <f t="shared" si="23"/>
        <v>0.11691611691611702</v>
      </c>
      <c r="I242">
        <f t="shared" si="24"/>
        <v>3.4999999999999931E-3</v>
      </c>
      <c r="J242">
        <f t="shared" si="25"/>
        <v>6.7434517080000056</v>
      </c>
      <c r="K242">
        <f t="shared" si="26"/>
        <v>5.3999999999999986</v>
      </c>
      <c r="L242">
        <f t="shared" si="27"/>
        <v>12.146951708000003</v>
      </c>
      <c r="Q242">
        <f t="shared" si="28"/>
        <v>0.11691611691611702</v>
      </c>
    </row>
    <row r="243" spans="1:17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G243">
        <f t="shared" si="23"/>
        <v>0.14549114549114553</v>
      </c>
      <c r="I243">
        <f t="shared" si="24"/>
        <v>3.4999999999999931E-3</v>
      </c>
      <c r="J243">
        <f t="shared" si="25"/>
        <v>6.7434517080000056</v>
      </c>
      <c r="K243">
        <f t="shared" si="26"/>
        <v>5.3999999999999986</v>
      </c>
      <c r="L243">
        <f t="shared" si="27"/>
        <v>12.146951708000003</v>
      </c>
      <c r="Q243">
        <f t="shared" si="28"/>
        <v>0.14549114549114553</v>
      </c>
    </row>
    <row r="244" spans="1:17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G244">
        <f t="shared" si="23"/>
        <v>0.16092016092016104</v>
      </c>
      <c r="I244">
        <f t="shared" si="24"/>
        <v>3.4999999999999931E-3</v>
      </c>
      <c r="J244">
        <f t="shared" si="25"/>
        <v>6.7434517080000056</v>
      </c>
      <c r="K244">
        <f t="shared" si="26"/>
        <v>5.3999999999999986</v>
      </c>
      <c r="L244">
        <f t="shared" si="27"/>
        <v>12.146951708000003</v>
      </c>
      <c r="Q244">
        <f t="shared" si="28"/>
        <v>0.16092016092016104</v>
      </c>
    </row>
    <row r="245" spans="1:17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G245">
        <f t="shared" si="23"/>
        <v>0.12416112416112415</v>
      </c>
      <c r="I245">
        <f t="shared" si="24"/>
        <v>3.4999999999999931E-3</v>
      </c>
      <c r="J245">
        <f t="shared" si="25"/>
        <v>6.7434517080000056</v>
      </c>
      <c r="K245">
        <f t="shared" si="26"/>
        <v>5.3999999999999986</v>
      </c>
      <c r="L245">
        <f t="shared" si="27"/>
        <v>12.146951708000003</v>
      </c>
      <c r="Q245">
        <f t="shared" si="28"/>
        <v>0.12416112416112415</v>
      </c>
    </row>
    <row r="246" spans="1:17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G246">
        <f t="shared" si="23"/>
        <v>0.11270111270111272</v>
      </c>
      <c r="I246">
        <f t="shared" si="24"/>
        <v>3.4999999999999931E-3</v>
      </c>
      <c r="J246">
        <f t="shared" si="25"/>
        <v>6.7434517080000056</v>
      </c>
      <c r="K246">
        <f t="shared" si="26"/>
        <v>5.3999999999999986</v>
      </c>
      <c r="L246">
        <f t="shared" si="27"/>
        <v>12.146951708000003</v>
      </c>
      <c r="Q246">
        <f t="shared" si="28"/>
        <v>0.11270111270111272</v>
      </c>
    </row>
    <row r="247" spans="1:17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G247">
        <f t="shared" si="23"/>
        <v>0.14176814176814184</v>
      </c>
      <c r="I247">
        <f t="shared" si="24"/>
        <v>3.4999999999999931E-3</v>
      </c>
      <c r="J247">
        <f t="shared" si="25"/>
        <v>6.7434517080000056</v>
      </c>
      <c r="K247">
        <f t="shared" si="26"/>
        <v>5.3999999999999986</v>
      </c>
      <c r="L247">
        <f t="shared" si="27"/>
        <v>12.146951708000003</v>
      </c>
      <c r="Q247">
        <f t="shared" si="28"/>
        <v>0.14176814176814184</v>
      </c>
    </row>
    <row r="248" spans="1:17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G248">
        <f t="shared" si="23"/>
        <v>0.24393324393324403</v>
      </c>
      <c r="I248">
        <f t="shared" si="24"/>
        <v>3.4999999999999931E-3</v>
      </c>
      <c r="J248">
        <f t="shared" si="25"/>
        <v>6.7434517080000056</v>
      </c>
      <c r="K248">
        <f t="shared" si="26"/>
        <v>5.3999999999999986</v>
      </c>
      <c r="L248">
        <f t="shared" si="27"/>
        <v>12.146951708000003</v>
      </c>
      <c r="Q248">
        <f t="shared" si="28"/>
        <v>0.24393324393324403</v>
      </c>
    </row>
    <row r="249" spans="1:17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G249">
        <f t="shared" si="23"/>
        <v>7.855207855207863E-2</v>
      </c>
      <c r="I249">
        <f t="shared" si="24"/>
        <v>3.4999999999999931E-3</v>
      </c>
      <c r="J249">
        <f t="shared" si="25"/>
        <v>6.7434517080000056</v>
      </c>
      <c r="K249">
        <f t="shared" si="26"/>
        <v>5.3999999999999986</v>
      </c>
      <c r="L249">
        <f t="shared" si="27"/>
        <v>12.146951708000003</v>
      </c>
      <c r="Q249">
        <f t="shared" si="28"/>
        <v>7.855207855207863E-2</v>
      </c>
    </row>
    <row r="250" spans="1:17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G250">
        <f t="shared" si="23"/>
        <v>0.13231213231213243</v>
      </c>
      <c r="I250">
        <f t="shared" si="24"/>
        <v>3.4999999999999931E-3</v>
      </c>
      <c r="J250">
        <f t="shared" si="25"/>
        <v>6.7434517080000056</v>
      </c>
      <c r="K250">
        <f t="shared" si="26"/>
        <v>5.3999999999999986</v>
      </c>
      <c r="L250">
        <f t="shared" si="27"/>
        <v>12.146951708000003</v>
      </c>
      <c r="Q250">
        <f t="shared" si="28"/>
        <v>0.13231213231213243</v>
      </c>
    </row>
    <row r="251" spans="1:17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G251">
        <f t="shared" si="23"/>
        <v>8.1444081444081509E-2</v>
      </c>
      <c r="I251">
        <f t="shared" si="24"/>
        <v>3.4999999999999931E-3</v>
      </c>
      <c r="J251">
        <f t="shared" si="25"/>
        <v>6.7434517080000056</v>
      </c>
      <c r="K251">
        <f t="shared" si="26"/>
        <v>5.3999999999999986</v>
      </c>
      <c r="L251">
        <f t="shared" si="27"/>
        <v>12.146951708000003</v>
      </c>
      <c r="Q251">
        <f t="shared" si="28"/>
        <v>8.1444081444081509E-2</v>
      </c>
    </row>
    <row r="252" spans="1:17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G252">
        <f t="shared" si="23"/>
        <v>0.19050319050319059</v>
      </c>
      <c r="I252">
        <f t="shared" si="24"/>
        <v>2.3904999999999998</v>
      </c>
      <c r="J252">
        <f t="shared" si="25"/>
        <v>0.74961812800000871</v>
      </c>
      <c r="K252">
        <f t="shared" si="26"/>
        <v>5.3999999999999986</v>
      </c>
      <c r="L252">
        <f t="shared" si="27"/>
        <v>8.5401181280000067</v>
      </c>
      <c r="Q252">
        <f t="shared" si="28"/>
        <v>0.19050319050319059</v>
      </c>
    </row>
    <row r="253" spans="1:17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G253">
        <f t="shared" si="23"/>
        <v>0.15411915411915425</v>
      </c>
      <c r="I253">
        <f t="shared" si="24"/>
        <v>2.3904999999999998</v>
      </c>
      <c r="J253">
        <f t="shared" si="25"/>
        <v>0.74961812800000871</v>
      </c>
      <c r="K253">
        <f t="shared" si="26"/>
        <v>5.3999999999999986</v>
      </c>
      <c r="L253">
        <f t="shared" si="27"/>
        <v>8.5401181280000067</v>
      </c>
      <c r="Q253">
        <f t="shared" si="28"/>
        <v>0.15411915411915425</v>
      </c>
    </row>
    <row r="254" spans="1:17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G254">
        <f t="shared" si="23"/>
        <v>0.27693627693627693</v>
      </c>
      <c r="I254">
        <f t="shared" si="24"/>
        <v>2.3904999999999998</v>
      </c>
      <c r="J254">
        <f t="shared" si="25"/>
        <v>0.74961812800000871</v>
      </c>
      <c r="K254">
        <f t="shared" si="26"/>
        <v>5.3999999999999986</v>
      </c>
      <c r="L254">
        <f t="shared" si="27"/>
        <v>8.5401181280000067</v>
      </c>
      <c r="Q254">
        <f t="shared" si="28"/>
        <v>0.27693627693627693</v>
      </c>
    </row>
    <row r="255" spans="1:17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G255">
        <f t="shared" si="23"/>
        <v>0.14572514572514586</v>
      </c>
      <c r="I255">
        <f t="shared" si="24"/>
        <v>2.3904999999999998</v>
      </c>
      <c r="J255">
        <f t="shared" si="25"/>
        <v>0.74961812800000871</v>
      </c>
      <c r="K255">
        <f t="shared" si="26"/>
        <v>5.3999999999999986</v>
      </c>
      <c r="L255">
        <f t="shared" si="27"/>
        <v>8.5401181280000067</v>
      </c>
      <c r="Q255">
        <f t="shared" si="28"/>
        <v>0.14572514572514586</v>
      </c>
    </row>
    <row r="256" spans="1:17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G256">
        <f t="shared" si="23"/>
        <v>0.10215010215010217</v>
      </c>
      <c r="I256">
        <f t="shared" si="24"/>
        <v>2.3904999999999998</v>
      </c>
      <c r="J256">
        <f t="shared" si="25"/>
        <v>0.74961812800000871</v>
      </c>
      <c r="K256">
        <f t="shared" si="26"/>
        <v>5.3999999999999986</v>
      </c>
      <c r="L256">
        <f t="shared" si="27"/>
        <v>8.5401181280000067</v>
      </c>
      <c r="Q256">
        <f t="shared" ref="Q256:Q287" si="29">G256</f>
        <v>0.10215010215010217</v>
      </c>
    </row>
    <row r="257" spans="1:17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G257">
        <f t="shared" si="23"/>
        <v>0.15085515085515092</v>
      </c>
      <c r="I257">
        <f t="shared" si="24"/>
        <v>2.3904999999999998</v>
      </c>
      <c r="J257">
        <f t="shared" si="25"/>
        <v>0.74961812800000871</v>
      </c>
      <c r="K257">
        <f t="shared" si="26"/>
        <v>5.3999999999999986</v>
      </c>
      <c r="L257">
        <f t="shared" si="27"/>
        <v>8.5401181280000067</v>
      </c>
      <c r="Q257">
        <f t="shared" si="29"/>
        <v>0.15085515085515092</v>
      </c>
    </row>
    <row r="258" spans="1:17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G258">
        <f t="shared" si="23"/>
        <v>0.1175791175791177</v>
      </c>
      <c r="I258">
        <f t="shared" si="24"/>
        <v>2.3904999999999998</v>
      </c>
      <c r="J258">
        <f t="shared" si="25"/>
        <v>0.74961812800000871</v>
      </c>
      <c r="K258">
        <f t="shared" si="26"/>
        <v>5.3999999999999986</v>
      </c>
      <c r="L258">
        <f t="shared" si="27"/>
        <v>8.5401181280000067</v>
      </c>
      <c r="Q258">
        <f t="shared" si="29"/>
        <v>0.1175791175791177</v>
      </c>
    </row>
    <row r="259" spans="1:17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G259">
        <f t="shared" ref="G259:G322" si="30">($F$343-F259)/$F$343</f>
        <v>0.18104718104718118</v>
      </c>
      <c r="I259">
        <f t="shared" ref="I259:I322" si="31">(E259-0.17)*$U$2</f>
        <v>2.3904999999999998</v>
      </c>
      <c r="J259">
        <f t="shared" ref="J259:J322" si="32">(8-D259)*$U$4</f>
        <v>0.74961812800000871</v>
      </c>
      <c r="K259">
        <f t="shared" ref="K259:K322" si="33">(C259-20)*$U$3</f>
        <v>5.3999999999999986</v>
      </c>
      <c r="L259">
        <f t="shared" ref="L259:L322" si="34">SUM(I259:K259)</f>
        <v>8.5401181280000067</v>
      </c>
      <c r="Q259">
        <f t="shared" si="29"/>
        <v>0.18104718104718118</v>
      </c>
    </row>
    <row r="260" spans="1:17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G260">
        <f t="shared" si="30"/>
        <v>7.0062070062070186E-2</v>
      </c>
      <c r="I260">
        <f t="shared" si="31"/>
        <v>2.3904999999999998</v>
      </c>
      <c r="J260">
        <f t="shared" si="32"/>
        <v>0.74961812800000871</v>
      </c>
      <c r="K260">
        <f t="shared" si="33"/>
        <v>5.3999999999999986</v>
      </c>
      <c r="L260">
        <f t="shared" si="34"/>
        <v>8.5401181280000067</v>
      </c>
      <c r="Q260">
        <f t="shared" si="29"/>
        <v>7.0062070062070186E-2</v>
      </c>
    </row>
    <row r="261" spans="1:17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G261">
        <f t="shared" si="30"/>
        <v>7.4181074181074266E-2</v>
      </c>
      <c r="I261">
        <f t="shared" si="31"/>
        <v>2.3904999999999998</v>
      </c>
      <c r="J261">
        <f t="shared" si="32"/>
        <v>0.74961812800000871</v>
      </c>
      <c r="K261">
        <f t="shared" si="33"/>
        <v>5.3999999999999986</v>
      </c>
      <c r="L261">
        <f t="shared" si="34"/>
        <v>8.5401181280000067</v>
      </c>
      <c r="Q261">
        <f t="shared" si="29"/>
        <v>7.4181074181074266E-2</v>
      </c>
    </row>
    <row r="262" spans="1:17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G262">
        <f t="shared" si="30"/>
        <v>0.14717714717714725</v>
      </c>
      <c r="I262">
        <f t="shared" si="31"/>
        <v>2.3904999999999998</v>
      </c>
      <c r="J262">
        <f t="shared" si="32"/>
        <v>0.74961812800000871</v>
      </c>
      <c r="K262">
        <f t="shared" si="33"/>
        <v>5.3999999999999986</v>
      </c>
      <c r="L262">
        <f t="shared" si="34"/>
        <v>8.5401181280000067</v>
      </c>
      <c r="Q262">
        <f t="shared" si="29"/>
        <v>0.14717714717714725</v>
      </c>
    </row>
    <row r="263" spans="1:17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G263">
        <f t="shared" si="30"/>
        <v>7.3629073629073644E-2</v>
      </c>
      <c r="I263">
        <f t="shared" si="31"/>
        <v>2.3904999999999998</v>
      </c>
      <c r="J263">
        <f t="shared" si="32"/>
        <v>0.69536432000000659</v>
      </c>
      <c r="K263">
        <f t="shared" si="33"/>
        <v>5.3000000000000007</v>
      </c>
      <c r="L263">
        <f t="shared" si="34"/>
        <v>8.3858643200000067</v>
      </c>
      <c r="Q263">
        <f t="shared" si="29"/>
        <v>7.3629073629073644E-2</v>
      </c>
    </row>
    <row r="264" spans="1:17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G264">
        <f t="shared" si="30"/>
        <v>0.13739713739713749</v>
      </c>
      <c r="I264">
        <f t="shared" si="31"/>
        <v>2.3904999999999998</v>
      </c>
      <c r="J264">
        <f t="shared" si="32"/>
        <v>0.69536432000000659</v>
      </c>
      <c r="K264">
        <f t="shared" si="33"/>
        <v>5.3000000000000007</v>
      </c>
      <c r="L264">
        <f t="shared" si="34"/>
        <v>8.3858643200000067</v>
      </c>
      <c r="Q264">
        <f t="shared" si="29"/>
        <v>0.13739713739713749</v>
      </c>
    </row>
    <row r="265" spans="1:17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G265">
        <f t="shared" si="30"/>
        <v>8.94750894750896E-2</v>
      </c>
      <c r="I265">
        <f t="shared" si="31"/>
        <v>2.3904999999999998</v>
      </c>
      <c r="J265">
        <f t="shared" si="32"/>
        <v>0.69536432000000659</v>
      </c>
      <c r="K265">
        <f t="shared" si="33"/>
        <v>5.3000000000000007</v>
      </c>
      <c r="L265">
        <f t="shared" si="34"/>
        <v>8.3858643200000067</v>
      </c>
      <c r="Q265">
        <f t="shared" si="29"/>
        <v>8.94750894750896E-2</v>
      </c>
    </row>
    <row r="266" spans="1:17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G266">
        <f t="shared" si="30"/>
        <v>0.12066312066312067</v>
      </c>
      <c r="I266">
        <f t="shared" si="31"/>
        <v>2.3904999999999998</v>
      </c>
      <c r="J266">
        <f t="shared" si="32"/>
        <v>0.69536432000000659</v>
      </c>
      <c r="K266">
        <f t="shared" si="33"/>
        <v>5.3000000000000007</v>
      </c>
      <c r="L266">
        <f t="shared" si="34"/>
        <v>8.3858643200000067</v>
      </c>
      <c r="Q266">
        <f t="shared" si="29"/>
        <v>0.12066312066312067</v>
      </c>
    </row>
    <row r="267" spans="1:17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G267">
        <f t="shared" si="30"/>
        <v>0.2465672465672466</v>
      </c>
      <c r="I267">
        <f t="shared" si="31"/>
        <v>2.3904999999999998</v>
      </c>
      <c r="J267">
        <f t="shared" si="32"/>
        <v>0.69536432000000659</v>
      </c>
      <c r="K267">
        <f t="shared" si="33"/>
        <v>5.3000000000000007</v>
      </c>
      <c r="L267">
        <f t="shared" si="34"/>
        <v>8.3858643200000067</v>
      </c>
      <c r="Q267">
        <f t="shared" si="29"/>
        <v>0.2465672465672466</v>
      </c>
    </row>
    <row r="268" spans="1:17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G268">
        <f t="shared" si="30"/>
        <v>0.15322815322815328</v>
      </c>
      <c r="I268">
        <f t="shared" si="31"/>
        <v>2.3904999999999998</v>
      </c>
      <c r="J268">
        <f t="shared" si="32"/>
        <v>0.69536432000000659</v>
      </c>
      <c r="K268">
        <f t="shared" si="33"/>
        <v>5.3000000000000007</v>
      </c>
      <c r="L268">
        <f t="shared" si="34"/>
        <v>8.3858643200000067</v>
      </c>
      <c r="Q268">
        <f t="shared" si="29"/>
        <v>0.15322815322815328</v>
      </c>
    </row>
    <row r="269" spans="1:17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G269">
        <f t="shared" si="30"/>
        <v>0.26970926970926973</v>
      </c>
      <c r="I269">
        <f t="shared" si="31"/>
        <v>2.3904999999999998</v>
      </c>
      <c r="J269">
        <f t="shared" si="32"/>
        <v>0.69536432000000659</v>
      </c>
      <c r="K269">
        <f t="shared" si="33"/>
        <v>5.3000000000000007</v>
      </c>
      <c r="L269">
        <f t="shared" si="34"/>
        <v>8.3858643200000067</v>
      </c>
      <c r="Q269">
        <f t="shared" si="29"/>
        <v>0.26970926970926973</v>
      </c>
    </row>
    <row r="270" spans="1:17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G270">
        <f t="shared" si="30"/>
        <v>0.15381915381915387</v>
      </c>
      <c r="I270">
        <f t="shared" si="31"/>
        <v>2.3904999999999998</v>
      </c>
      <c r="J270">
        <f t="shared" si="32"/>
        <v>0.69536432000000659</v>
      </c>
      <c r="K270">
        <f t="shared" si="33"/>
        <v>5.3000000000000007</v>
      </c>
      <c r="L270">
        <f t="shared" si="34"/>
        <v>8.3858643200000067</v>
      </c>
      <c r="Q270">
        <f t="shared" si="29"/>
        <v>0.15381915381915387</v>
      </c>
    </row>
    <row r="271" spans="1:17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G271">
        <f t="shared" si="30"/>
        <v>0.25558525558525569</v>
      </c>
      <c r="I271">
        <f t="shared" si="31"/>
        <v>3.4999999999999931E-3</v>
      </c>
      <c r="J271">
        <f t="shared" si="32"/>
        <v>1.039270036000012</v>
      </c>
      <c r="K271">
        <f t="shared" si="33"/>
        <v>0.89999999999999858</v>
      </c>
      <c r="L271">
        <f t="shared" si="34"/>
        <v>1.9427700360000106</v>
      </c>
      <c r="Q271">
        <f t="shared" si="29"/>
        <v>0.25558525558525569</v>
      </c>
    </row>
    <row r="272" spans="1:17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G272">
        <f t="shared" si="30"/>
        <v>0.23082323082323089</v>
      </c>
      <c r="I272">
        <f t="shared" si="31"/>
        <v>3.4999999999999931E-3</v>
      </c>
      <c r="J272">
        <f t="shared" si="32"/>
        <v>1.039270036000012</v>
      </c>
      <c r="K272">
        <f t="shared" si="33"/>
        <v>0.89999999999999858</v>
      </c>
      <c r="L272">
        <f t="shared" si="34"/>
        <v>1.9427700360000106</v>
      </c>
      <c r="Q272">
        <f t="shared" si="29"/>
        <v>0.23082323082323089</v>
      </c>
    </row>
    <row r="273" spans="1:17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G273">
        <f t="shared" si="30"/>
        <v>0.20715320715320726</v>
      </c>
      <c r="I273">
        <f t="shared" si="31"/>
        <v>3.4999999999999931E-3</v>
      </c>
      <c r="J273">
        <f t="shared" si="32"/>
        <v>1.039270036000012</v>
      </c>
      <c r="K273">
        <f t="shared" si="33"/>
        <v>0.89999999999999858</v>
      </c>
      <c r="L273">
        <f t="shared" si="34"/>
        <v>1.9427700360000106</v>
      </c>
      <c r="Q273">
        <f t="shared" si="29"/>
        <v>0.20715320715320726</v>
      </c>
    </row>
    <row r="274" spans="1:17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G274">
        <f t="shared" si="30"/>
        <v>0.22769122769122782</v>
      </c>
      <c r="I274">
        <f t="shared" si="31"/>
        <v>3.4999999999999931E-3</v>
      </c>
      <c r="J274">
        <f t="shared" si="32"/>
        <v>1.039270036000012</v>
      </c>
      <c r="K274">
        <f t="shared" si="33"/>
        <v>0.89999999999999858</v>
      </c>
      <c r="L274">
        <f t="shared" si="34"/>
        <v>1.9427700360000106</v>
      </c>
      <c r="Q274">
        <f t="shared" si="29"/>
        <v>0.22769122769122782</v>
      </c>
    </row>
    <row r="275" spans="1:17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G275">
        <f t="shared" si="30"/>
        <v>0.22735822735822733</v>
      </c>
      <c r="I275">
        <f t="shared" si="31"/>
        <v>3.4999999999999931E-3</v>
      </c>
      <c r="J275">
        <f t="shared" si="32"/>
        <v>1.039270036000012</v>
      </c>
      <c r="K275">
        <f t="shared" si="33"/>
        <v>0.89999999999999858</v>
      </c>
      <c r="L275">
        <f t="shared" si="34"/>
        <v>1.9427700360000106</v>
      </c>
      <c r="Q275">
        <f t="shared" si="29"/>
        <v>0.22735822735822733</v>
      </c>
    </row>
    <row r="276" spans="1:17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G276">
        <f t="shared" si="30"/>
        <v>0.22098022098022105</v>
      </c>
      <c r="I276">
        <f t="shared" si="31"/>
        <v>3.4999999999999931E-3</v>
      </c>
      <c r="J276">
        <f t="shared" si="32"/>
        <v>1.039270036000012</v>
      </c>
      <c r="K276">
        <f t="shared" si="33"/>
        <v>0.89999999999999858</v>
      </c>
      <c r="L276">
        <f t="shared" si="34"/>
        <v>1.9427700360000106</v>
      </c>
      <c r="Q276">
        <f t="shared" si="29"/>
        <v>0.22098022098022105</v>
      </c>
    </row>
    <row r="277" spans="1:17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G277">
        <f t="shared" si="30"/>
        <v>0.23842223842223853</v>
      </c>
      <c r="I277">
        <f t="shared" si="31"/>
        <v>3.4999999999999931E-3</v>
      </c>
      <c r="J277">
        <f t="shared" si="32"/>
        <v>1.039270036000012</v>
      </c>
      <c r="K277">
        <f t="shared" si="33"/>
        <v>0.89999999999999858</v>
      </c>
      <c r="L277">
        <f t="shared" si="34"/>
        <v>1.9427700360000106</v>
      </c>
      <c r="Q277">
        <f t="shared" si="29"/>
        <v>0.23842223842223853</v>
      </c>
    </row>
    <row r="278" spans="1:17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G278">
        <f t="shared" si="30"/>
        <v>0.22718122718122727</v>
      </c>
      <c r="I278">
        <f t="shared" si="31"/>
        <v>3.4999999999999931E-3</v>
      </c>
      <c r="J278">
        <f t="shared" si="32"/>
        <v>1.039270036000012</v>
      </c>
      <c r="K278">
        <f t="shared" si="33"/>
        <v>0.89999999999999858</v>
      </c>
      <c r="L278">
        <f t="shared" si="34"/>
        <v>1.9427700360000106</v>
      </c>
      <c r="Q278">
        <f t="shared" si="29"/>
        <v>0.22718122718122727</v>
      </c>
    </row>
    <row r="279" spans="1:17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G279">
        <f t="shared" si="30"/>
        <v>0.2756972756972757</v>
      </c>
      <c r="I279">
        <f t="shared" si="31"/>
        <v>3.4999999999999931E-3</v>
      </c>
      <c r="J279">
        <f t="shared" si="32"/>
        <v>1.039270036000012</v>
      </c>
      <c r="K279">
        <f t="shared" si="33"/>
        <v>0.89999999999999858</v>
      </c>
      <c r="L279">
        <f t="shared" si="34"/>
        <v>1.9427700360000106</v>
      </c>
      <c r="Q279">
        <f t="shared" si="29"/>
        <v>0.2756972756972757</v>
      </c>
    </row>
    <row r="280" spans="1:17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G280">
        <f t="shared" si="30"/>
        <v>0.11672411672411676</v>
      </c>
      <c r="I280">
        <f t="shared" si="31"/>
        <v>3.4999999999999931E-3</v>
      </c>
      <c r="J280">
        <f t="shared" si="32"/>
        <v>0.79619313199999198</v>
      </c>
      <c r="K280">
        <f t="shared" si="33"/>
        <v>0.69999999999999929</v>
      </c>
      <c r="L280">
        <f t="shared" si="34"/>
        <v>1.4996931319999911</v>
      </c>
      <c r="Q280">
        <f t="shared" si="29"/>
        <v>0.11672411672411676</v>
      </c>
    </row>
    <row r="281" spans="1:17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G281">
        <f t="shared" si="30"/>
        <v>0.11248811248811259</v>
      </c>
      <c r="I281">
        <f t="shared" si="31"/>
        <v>3.4999999999999931E-3</v>
      </c>
      <c r="J281">
        <f t="shared" si="32"/>
        <v>0.79619313199999198</v>
      </c>
      <c r="K281">
        <f t="shared" si="33"/>
        <v>0.69999999999999929</v>
      </c>
      <c r="L281">
        <f t="shared" si="34"/>
        <v>1.4996931319999911</v>
      </c>
      <c r="Q281">
        <f t="shared" si="29"/>
        <v>0.11248811248811259</v>
      </c>
    </row>
    <row r="282" spans="1:17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G282">
        <f t="shared" si="30"/>
        <v>0.10500610500610502</v>
      </c>
      <c r="I282">
        <f t="shared" si="31"/>
        <v>3.4999999999999931E-3</v>
      </c>
      <c r="J282">
        <f t="shared" si="32"/>
        <v>0.79619313199999198</v>
      </c>
      <c r="K282">
        <f t="shared" si="33"/>
        <v>0.69999999999999929</v>
      </c>
      <c r="L282">
        <f t="shared" si="34"/>
        <v>1.4996931319999911</v>
      </c>
      <c r="Q282">
        <f t="shared" si="29"/>
        <v>0.10500610500610502</v>
      </c>
    </row>
    <row r="283" spans="1:17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G283">
        <f t="shared" si="30"/>
        <v>6.7614067614067644E-2</v>
      </c>
      <c r="I283">
        <f t="shared" si="31"/>
        <v>3.4999999999999931E-3</v>
      </c>
      <c r="J283">
        <f t="shared" si="32"/>
        <v>0.79619313199999198</v>
      </c>
      <c r="K283">
        <f t="shared" si="33"/>
        <v>0.69999999999999929</v>
      </c>
      <c r="L283">
        <f t="shared" si="34"/>
        <v>1.4996931319999911</v>
      </c>
      <c r="Q283">
        <f t="shared" si="29"/>
        <v>6.7614067614067644E-2</v>
      </c>
    </row>
    <row r="284" spans="1:17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G284">
        <f t="shared" si="30"/>
        <v>9.0486090486090576E-2</v>
      </c>
      <c r="I284">
        <f t="shared" si="31"/>
        <v>3.4999999999999931E-3</v>
      </c>
      <c r="J284">
        <f t="shared" si="32"/>
        <v>0.79619313199999198</v>
      </c>
      <c r="K284">
        <f t="shared" si="33"/>
        <v>0.69999999999999929</v>
      </c>
      <c r="L284">
        <f t="shared" si="34"/>
        <v>1.4996931319999911</v>
      </c>
      <c r="Q284">
        <f t="shared" si="29"/>
        <v>9.0486090486090576E-2</v>
      </c>
    </row>
    <row r="285" spans="1:17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G285">
        <f t="shared" si="30"/>
        <v>9.0402090402090435E-2</v>
      </c>
      <c r="I285">
        <f t="shared" si="31"/>
        <v>3.4999999999999931E-3</v>
      </c>
      <c r="J285">
        <f t="shared" si="32"/>
        <v>0.79619313199999198</v>
      </c>
      <c r="K285">
        <f t="shared" si="33"/>
        <v>0.69999999999999929</v>
      </c>
      <c r="L285">
        <f t="shared" si="34"/>
        <v>1.4996931319999911</v>
      </c>
      <c r="Q285">
        <f t="shared" si="29"/>
        <v>9.0402090402090435E-2</v>
      </c>
    </row>
    <row r="286" spans="1:17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G286">
        <f t="shared" si="30"/>
        <v>0.14240414240414245</v>
      </c>
      <c r="I286">
        <f t="shared" si="31"/>
        <v>3.4999999999999931E-3</v>
      </c>
      <c r="J286">
        <f t="shared" si="32"/>
        <v>0.79619313199999198</v>
      </c>
      <c r="K286">
        <f t="shared" si="33"/>
        <v>0.69999999999999929</v>
      </c>
      <c r="L286">
        <f t="shared" si="34"/>
        <v>1.4996931319999911</v>
      </c>
      <c r="Q286">
        <f t="shared" si="29"/>
        <v>0.14240414240414245</v>
      </c>
    </row>
    <row r="287" spans="1:17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G287">
        <f t="shared" si="30"/>
        <v>0.10371610371610372</v>
      </c>
      <c r="I287">
        <f t="shared" si="31"/>
        <v>3.4999999999999931E-3</v>
      </c>
      <c r="J287">
        <f t="shared" si="32"/>
        <v>0.79619313199999198</v>
      </c>
      <c r="K287">
        <f t="shared" si="33"/>
        <v>0.69999999999999929</v>
      </c>
      <c r="L287">
        <f t="shared" si="34"/>
        <v>1.4996931319999911</v>
      </c>
      <c r="Q287">
        <f t="shared" si="29"/>
        <v>0.10371610371610372</v>
      </c>
    </row>
    <row r="288" spans="1:17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G288">
        <f t="shared" si="30"/>
        <v>8.8428088428088414E-2</v>
      </c>
      <c r="I288">
        <f t="shared" si="31"/>
        <v>3.4999999999999931E-3</v>
      </c>
      <c r="J288">
        <f t="shared" si="32"/>
        <v>0.79619313199999198</v>
      </c>
      <c r="K288">
        <f t="shared" si="33"/>
        <v>0.69999999999999929</v>
      </c>
      <c r="L288">
        <f t="shared" si="34"/>
        <v>1.4996931319999911</v>
      </c>
      <c r="Q288">
        <f t="shared" ref="Q288:Q319" si="35">G288</f>
        <v>8.8428088428088414E-2</v>
      </c>
    </row>
    <row r="289" spans="1:17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G289">
        <f t="shared" si="30"/>
        <v>9.7842097842097936E-2</v>
      </c>
      <c r="I289">
        <f t="shared" si="31"/>
        <v>3.4999999999999931E-3</v>
      </c>
      <c r="J289">
        <f t="shared" si="32"/>
        <v>0.79619313199999198</v>
      </c>
      <c r="K289">
        <f t="shared" si="33"/>
        <v>0.69999999999999929</v>
      </c>
      <c r="L289">
        <f t="shared" si="34"/>
        <v>1.4996931319999911</v>
      </c>
      <c r="Q289">
        <f t="shared" si="35"/>
        <v>9.7842097842097936E-2</v>
      </c>
    </row>
    <row r="290" spans="1:17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G290">
        <f t="shared" si="30"/>
        <v>0.20388920388920395</v>
      </c>
      <c r="I290">
        <f t="shared" si="31"/>
        <v>2.3904999999999998</v>
      </c>
      <c r="J290">
        <f t="shared" si="32"/>
        <v>8.9616326520000058</v>
      </c>
      <c r="K290">
        <f t="shared" si="33"/>
        <v>0.80000000000000071</v>
      </c>
      <c r="L290">
        <f t="shared" si="34"/>
        <v>12.152132652000006</v>
      </c>
      <c r="Q290">
        <f t="shared" si="35"/>
        <v>0.20388920388920395</v>
      </c>
    </row>
    <row r="291" spans="1:17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G291">
        <f t="shared" si="30"/>
        <v>0.11933711933711949</v>
      </c>
      <c r="I291">
        <f t="shared" si="31"/>
        <v>2.3904999999999998</v>
      </c>
      <c r="J291">
        <f t="shared" si="32"/>
        <v>8.9616326520000058</v>
      </c>
      <c r="K291">
        <f t="shared" si="33"/>
        <v>0.80000000000000071</v>
      </c>
      <c r="L291">
        <f t="shared" si="34"/>
        <v>12.152132652000006</v>
      </c>
      <c r="Q291">
        <f t="shared" si="35"/>
        <v>0.11933711933711949</v>
      </c>
    </row>
    <row r="292" spans="1:17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G292">
        <f t="shared" si="30"/>
        <v>0.14784014784014793</v>
      </c>
      <c r="I292">
        <f t="shared" si="31"/>
        <v>2.3904999999999998</v>
      </c>
      <c r="J292">
        <f t="shared" si="32"/>
        <v>8.9616326520000058</v>
      </c>
      <c r="K292">
        <f t="shared" si="33"/>
        <v>0.80000000000000071</v>
      </c>
      <c r="L292">
        <f t="shared" si="34"/>
        <v>12.152132652000006</v>
      </c>
      <c r="Q292">
        <f t="shared" si="35"/>
        <v>0.14784014784014793</v>
      </c>
    </row>
    <row r="293" spans="1:17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G293">
        <f t="shared" si="30"/>
        <v>9.933009933009937E-2</v>
      </c>
      <c r="I293">
        <f t="shared" si="31"/>
        <v>2.3904999999999998</v>
      </c>
      <c r="J293">
        <f t="shared" si="32"/>
        <v>8.9616326520000058</v>
      </c>
      <c r="K293">
        <f t="shared" si="33"/>
        <v>0.80000000000000071</v>
      </c>
      <c r="L293">
        <f t="shared" si="34"/>
        <v>12.152132652000006</v>
      </c>
      <c r="Q293">
        <f t="shared" si="35"/>
        <v>9.933009933009937E-2</v>
      </c>
    </row>
    <row r="294" spans="1:17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G294">
        <f t="shared" si="30"/>
        <v>6.1533061533061602E-2</v>
      </c>
      <c r="I294">
        <f t="shared" si="31"/>
        <v>2.3904999999999998</v>
      </c>
      <c r="J294">
        <f t="shared" si="32"/>
        <v>8.9616326520000058</v>
      </c>
      <c r="K294">
        <f t="shared" si="33"/>
        <v>0.80000000000000071</v>
      </c>
      <c r="L294">
        <f t="shared" si="34"/>
        <v>12.152132652000006</v>
      </c>
      <c r="Q294">
        <f t="shared" si="35"/>
        <v>6.1533061533061602E-2</v>
      </c>
    </row>
    <row r="295" spans="1:17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G295">
        <f t="shared" si="30"/>
        <v>5.2374052374052453E-2</v>
      </c>
      <c r="I295">
        <f t="shared" si="31"/>
        <v>2.3904999999999998</v>
      </c>
      <c r="J295">
        <f t="shared" si="32"/>
        <v>8.9616326520000058</v>
      </c>
      <c r="K295">
        <f t="shared" si="33"/>
        <v>0.80000000000000071</v>
      </c>
      <c r="L295">
        <f t="shared" si="34"/>
        <v>12.152132652000006</v>
      </c>
      <c r="Q295">
        <f t="shared" si="35"/>
        <v>5.2374052374052453E-2</v>
      </c>
    </row>
    <row r="296" spans="1:17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G296">
        <f t="shared" si="30"/>
        <v>0.11134211134211143</v>
      </c>
      <c r="I296">
        <f t="shared" si="31"/>
        <v>2.7404999999999999</v>
      </c>
      <c r="J296">
        <f t="shared" si="32"/>
        <v>8.9616326520000058</v>
      </c>
      <c r="K296">
        <f t="shared" si="33"/>
        <v>0.5</v>
      </c>
      <c r="L296">
        <f t="shared" si="34"/>
        <v>12.202132652000007</v>
      </c>
      <c r="Q296">
        <f t="shared" si="35"/>
        <v>0.11134211134211143</v>
      </c>
    </row>
    <row r="297" spans="1:17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G297">
        <f t="shared" si="30"/>
        <v>0.10250410250410251</v>
      </c>
      <c r="I297">
        <f t="shared" si="31"/>
        <v>2.7404999999999999</v>
      </c>
      <c r="J297">
        <f t="shared" si="32"/>
        <v>8.9616326520000058</v>
      </c>
      <c r="K297">
        <f t="shared" si="33"/>
        <v>0.5</v>
      </c>
      <c r="L297">
        <f t="shared" si="34"/>
        <v>12.202132652000007</v>
      </c>
      <c r="Q297">
        <f t="shared" si="35"/>
        <v>0.10250410250410251</v>
      </c>
    </row>
    <row r="298" spans="1:17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G298">
        <f t="shared" si="30"/>
        <v>0.18879918879918894</v>
      </c>
      <c r="I298">
        <f t="shared" si="31"/>
        <v>2.7404999999999999</v>
      </c>
      <c r="J298">
        <f t="shared" si="32"/>
        <v>8.9616326520000058</v>
      </c>
      <c r="K298">
        <f t="shared" si="33"/>
        <v>0.5</v>
      </c>
      <c r="L298">
        <f t="shared" si="34"/>
        <v>12.202132652000007</v>
      </c>
      <c r="Q298">
        <f t="shared" si="35"/>
        <v>0.18879918879918894</v>
      </c>
    </row>
    <row r="299" spans="1:17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G299">
        <f t="shared" si="30"/>
        <v>0.22381822381822394</v>
      </c>
      <c r="I299">
        <f t="shared" si="31"/>
        <v>2.7404999999999999</v>
      </c>
      <c r="J299">
        <f t="shared" si="32"/>
        <v>8.9616326520000058</v>
      </c>
      <c r="K299">
        <f t="shared" si="33"/>
        <v>0.5</v>
      </c>
      <c r="L299">
        <f t="shared" si="34"/>
        <v>12.202132652000007</v>
      </c>
      <c r="Q299">
        <f t="shared" si="35"/>
        <v>0.22381822381822394</v>
      </c>
    </row>
    <row r="300" spans="1:17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G300">
        <f t="shared" si="30"/>
        <v>0.18609018609018615</v>
      </c>
      <c r="I300">
        <f t="shared" si="31"/>
        <v>2.7404999999999999</v>
      </c>
      <c r="J300">
        <f t="shared" si="32"/>
        <v>8.9616326520000058</v>
      </c>
      <c r="K300">
        <f t="shared" si="33"/>
        <v>0.5</v>
      </c>
      <c r="L300">
        <f t="shared" si="34"/>
        <v>12.202132652000007</v>
      </c>
      <c r="Q300">
        <f t="shared" si="35"/>
        <v>0.18609018609018615</v>
      </c>
    </row>
    <row r="301" spans="1:17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G301">
        <f t="shared" si="30"/>
        <v>0.21418221418221417</v>
      </c>
      <c r="I301">
        <f t="shared" si="31"/>
        <v>2.7404999999999999</v>
      </c>
      <c r="J301">
        <f t="shared" si="32"/>
        <v>8.9616326520000058</v>
      </c>
      <c r="K301">
        <f t="shared" si="33"/>
        <v>0.5</v>
      </c>
      <c r="L301">
        <f t="shared" si="34"/>
        <v>12.202132652000007</v>
      </c>
      <c r="Q301">
        <f t="shared" si="35"/>
        <v>0.21418221418221417</v>
      </c>
    </row>
    <row r="302" spans="1:17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G302">
        <f t="shared" si="30"/>
        <v>7.2501072501072586E-2</v>
      </c>
      <c r="I302">
        <f t="shared" si="31"/>
        <v>2.7404999999999999</v>
      </c>
      <c r="J302">
        <f t="shared" si="32"/>
        <v>8.9616326520000058</v>
      </c>
      <c r="K302">
        <f t="shared" si="33"/>
        <v>0.5</v>
      </c>
      <c r="L302">
        <f t="shared" si="34"/>
        <v>12.202132652000007</v>
      </c>
      <c r="Q302">
        <f t="shared" si="35"/>
        <v>7.2501072501072586E-2</v>
      </c>
    </row>
    <row r="303" spans="1:17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G303">
        <f t="shared" si="30"/>
        <v>2.9700029700043614E-4</v>
      </c>
      <c r="I303">
        <f t="shared" si="31"/>
        <v>3.4999999999999931E-3</v>
      </c>
      <c r="J303">
        <f t="shared" si="32"/>
        <v>0.87257195199999416</v>
      </c>
      <c r="K303">
        <f t="shared" si="33"/>
        <v>5.5</v>
      </c>
      <c r="L303">
        <f t="shared" si="34"/>
        <v>6.376071951999994</v>
      </c>
      <c r="Q303">
        <f t="shared" si="35"/>
        <v>2.9700029700043614E-4</v>
      </c>
    </row>
    <row r="304" spans="1:17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G304">
        <f t="shared" si="30"/>
        <v>4.6170046170047486E-3</v>
      </c>
      <c r="I304">
        <f t="shared" si="31"/>
        <v>3.4999999999999931E-3</v>
      </c>
      <c r="J304">
        <f t="shared" si="32"/>
        <v>0.87257195199999416</v>
      </c>
      <c r="K304">
        <f t="shared" si="33"/>
        <v>5.5</v>
      </c>
      <c r="L304">
        <f t="shared" si="34"/>
        <v>6.376071951999994</v>
      </c>
      <c r="Q304">
        <f t="shared" si="35"/>
        <v>4.6170046170047486E-3</v>
      </c>
    </row>
    <row r="305" spans="1:17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G305">
        <f t="shared" si="30"/>
        <v>0.15562515562515561</v>
      </c>
      <c r="I305">
        <f t="shared" si="31"/>
        <v>3.4999999999999931E-3</v>
      </c>
      <c r="J305">
        <f t="shared" si="32"/>
        <v>0.87257195199999416</v>
      </c>
      <c r="K305">
        <f t="shared" si="33"/>
        <v>5.5</v>
      </c>
      <c r="L305">
        <f t="shared" si="34"/>
        <v>6.376071951999994</v>
      </c>
      <c r="Q305">
        <f t="shared" si="35"/>
        <v>0.15562515562515561</v>
      </c>
    </row>
    <row r="306" spans="1:17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G306">
        <f t="shared" si="30"/>
        <v>0.19969219969219973</v>
      </c>
      <c r="I306">
        <f t="shared" si="31"/>
        <v>3.4999999999999931E-3</v>
      </c>
      <c r="J306">
        <f t="shared" si="32"/>
        <v>0.87257195199999416</v>
      </c>
      <c r="K306">
        <f t="shared" si="33"/>
        <v>5.5</v>
      </c>
      <c r="L306">
        <f t="shared" si="34"/>
        <v>6.376071951999994</v>
      </c>
      <c r="Q306">
        <f t="shared" si="35"/>
        <v>0.19969219969219973</v>
      </c>
    </row>
    <row r="307" spans="1:17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G307">
        <f t="shared" si="30"/>
        <v>0.12656412656412669</v>
      </c>
      <c r="I307">
        <f t="shared" si="31"/>
        <v>3.4999999999999931E-3</v>
      </c>
      <c r="J307">
        <f t="shared" si="32"/>
        <v>0.87257195199999416</v>
      </c>
      <c r="K307">
        <f t="shared" si="33"/>
        <v>5.5</v>
      </c>
      <c r="L307">
        <f t="shared" si="34"/>
        <v>6.376071951999994</v>
      </c>
      <c r="Q307">
        <f t="shared" si="35"/>
        <v>0.12656412656412669</v>
      </c>
    </row>
    <row r="308" spans="1:17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G308">
        <f t="shared" si="30"/>
        <v>8.4090084090084172E-2</v>
      </c>
      <c r="I308">
        <f t="shared" si="31"/>
        <v>3.4999999999999931E-3</v>
      </c>
      <c r="J308">
        <f t="shared" si="32"/>
        <v>0.87257195199999416</v>
      </c>
      <c r="K308">
        <f t="shared" si="33"/>
        <v>5.5</v>
      </c>
      <c r="L308">
        <f t="shared" si="34"/>
        <v>6.376071951999994</v>
      </c>
      <c r="Q308">
        <f t="shared" si="35"/>
        <v>8.4090084090084172E-2</v>
      </c>
    </row>
    <row r="309" spans="1:17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G309">
        <f t="shared" si="30"/>
        <v>9.4743094743094794E-2</v>
      </c>
      <c r="I309">
        <f t="shared" si="31"/>
        <v>3.4999999999999931E-3</v>
      </c>
      <c r="J309">
        <f t="shared" si="32"/>
        <v>0.87257195199999416</v>
      </c>
      <c r="K309">
        <f t="shared" si="33"/>
        <v>5.5</v>
      </c>
      <c r="L309">
        <f t="shared" si="34"/>
        <v>6.376071951999994</v>
      </c>
      <c r="Q309">
        <f t="shared" si="35"/>
        <v>9.4743094743094794E-2</v>
      </c>
    </row>
    <row r="310" spans="1:17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G310">
        <f t="shared" si="30"/>
        <v>9.5298095298095353E-2</v>
      </c>
      <c r="I310">
        <f t="shared" si="31"/>
        <v>3.4999999999999931E-3</v>
      </c>
      <c r="J310">
        <f t="shared" si="32"/>
        <v>0.87257195199999416</v>
      </c>
      <c r="K310">
        <f t="shared" si="33"/>
        <v>5.5</v>
      </c>
      <c r="L310">
        <f t="shared" si="34"/>
        <v>6.376071951999994</v>
      </c>
      <c r="Q310">
        <f t="shared" si="35"/>
        <v>9.5298095298095353E-2</v>
      </c>
    </row>
    <row r="311" spans="1:17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G311">
        <f t="shared" si="30"/>
        <v>0</v>
      </c>
      <c r="I311">
        <f t="shared" si="31"/>
        <v>3.4999999999999931E-3</v>
      </c>
      <c r="J311">
        <f t="shared" si="32"/>
        <v>0.87257195199999416</v>
      </c>
      <c r="K311">
        <f t="shared" si="33"/>
        <v>5.5</v>
      </c>
      <c r="L311">
        <f t="shared" si="34"/>
        <v>6.376071951999994</v>
      </c>
      <c r="Q311">
        <f t="shared" si="35"/>
        <v>0</v>
      </c>
    </row>
    <row r="312" spans="1:17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G312">
        <f t="shared" si="30"/>
        <v>0.12028212028212043</v>
      </c>
      <c r="I312">
        <f t="shared" si="31"/>
        <v>3.4999999999999931E-3</v>
      </c>
      <c r="J312">
        <f t="shared" si="32"/>
        <v>0.87257195199999416</v>
      </c>
      <c r="K312">
        <f t="shared" si="33"/>
        <v>5.5</v>
      </c>
      <c r="L312">
        <f t="shared" si="34"/>
        <v>6.376071951999994</v>
      </c>
      <c r="Q312">
        <f t="shared" si="35"/>
        <v>0.12028212028212043</v>
      </c>
    </row>
    <row r="313" spans="1:17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G313">
        <f t="shared" si="30"/>
        <v>0.21714321714321722</v>
      </c>
      <c r="I313">
        <f t="shared" si="31"/>
        <v>3.4999999999999931E-3</v>
      </c>
      <c r="J313">
        <f t="shared" si="32"/>
        <v>1.0139420760000029</v>
      </c>
      <c r="K313">
        <f t="shared" si="33"/>
        <v>5.6000000000000014</v>
      </c>
      <c r="L313">
        <f t="shared" si="34"/>
        <v>6.6174420760000041</v>
      </c>
      <c r="Q313">
        <f t="shared" si="35"/>
        <v>0.21714321714321722</v>
      </c>
    </row>
    <row r="314" spans="1:17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G314">
        <f t="shared" si="30"/>
        <v>0.15693315693315701</v>
      </c>
      <c r="I314">
        <f t="shared" si="31"/>
        <v>3.4999999999999931E-3</v>
      </c>
      <c r="J314">
        <f t="shared" si="32"/>
        <v>1.0139420760000029</v>
      </c>
      <c r="K314">
        <f t="shared" si="33"/>
        <v>5.6000000000000014</v>
      </c>
      <c r="L314">
        <f t="shared" si="34"/>
        <v>6.6174420760000041</v>
      </c>
      <c r="Q314">
        <f t="shared" si="35"/>
        <v>0.15693315693315701</v>
      </c>
    </row>
    <row r="315" spans="1:17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G315">
        <f t="shared" si="30"/>
        <v>0.22968922968922981</v>
      </c>
      <c r="I315">
        <f t="shared" si="31"/>
        <v>3.4999999999999931E-3</v>
      </c>
      <c r="J315">
        <f t="shared" si="32"/>
        <v>1.0139420760000029</v>
      </c>
      <c r="K315">
        <f t="shared" si="33"/>
        <v>5.6000000000000014</v>
      </c>
      <c r="L315">
        <f t="shared" si="34"/>
        <v>6.6174420760000041</v>
      </c>
      <c r="Q315">
        <f t="shared" si="35"/>
        <v>0.22968922968922981</v>
      </c>
    </row>
    <row r="316" spans="1:17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G316">
        <f t="shared" si="30"/>
        <v>0.17288717288717292</v>
      </c>
      <c r="I316">
        <f t="shared" si="31"/>
        <v>3.4999999999999931E-3</v>
      </c>
      <c r="J316">
        <f t="shared" si="32"/>
        <v>1.0139420760000029</v>
      </c>
      <c r="K316">
        <f t="shared" si="33"/>
        <v>5.6000000000000014</v>
      </c>
      <c r="L316">
        <f t="shared" si="34"/>
        <v>6.6174420760000041</v>
      </c>
      <c r="Q316">
        <f t="shared" si="35"/>
        <v>0.17288717288717292</v>
      </c>
    </row>
    <row r="317" spans="1:17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G317">
        <f t="shared" si="30"/>
        <v>0.21685821685821685</v>
      </c>
      <c r="I317">
        <f t="shared" si="31"/>
        <v>3.4999999999999931E-3</v>
      </c>
      <c r="J317">
        <f t="shared" si="32"/>
        <v>1.0139420760000029</v>
      </c>
      <c r="K317">
        <f t="shared" si="33"/>
        <v>5.6000000000000014</v>
      </c>
      <c r="L317">
        <f t="shared" si="34"/>
        <v>6.6174420760000041</v>
      </c>
      <c r="Q317">
        <f t="shared" si="35"/>
        <v>0.21685821685821685</v>
      </c>
    </row>
    <row r="318" spans="1:17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G318">
        <f t="shared" si="30"/>
        <v>0.18166818166818177</v>
      </c>
      <c r="I318">
        <f t="shared" si="31"/>
        <v>3.4999999999999931E-3</v>
      </c>
      <c r="J318">
        <f t="shared" si="32"/>
        <v>1.0139420760000029</v>
      </c>
      <c r="K318">
        <f t="shared" si="33"/>
        <v>5.6000000000000014</v>
      </c>
      <c r="L318">
        <f t="shared" si="34"/>
        <v>6.6174420760000041</v>
      </c>
      <c r="Q318">
        <f t="shared" si="35"/>
        <v>0.18166818166818177</v>
      </c>
    </row>
    <row r="319" spans="1:17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G319">
        <f t="shared" si="30"/>
        <v>0.18460218460218472</v>
      </c>
      <c r="I319">
        <f t="shared" si="31"/>
        <v>3.4999999999999931E-3</v>
      </c>
      <c r="J319">
        <f t="shared" si="32"/>
        <v>1.0139420760000029</v>
      </c>
      <c r="K319">
        <f t="shared" si="33"/>
        <v>5.6000000000000014</v>
      </c>
      <c r="L319">
        <f t="shared" si="34"/>
        <v>6.6174420760000041</v>
      </c>
      <c r="Q319">
        <f t="shared" si="35"/>
        <v>0.18460218460218472</v>
      </c>
    </row>
    <row r="320" spans="1:17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G320">
        <f t="shared" si="30"/>
        <v>0.16716016716016724</v>
      </c>
      <c r="I320">
        <f t="shared" si="31"/>
        <v>3.4999999999999931E-3</v>
      </c>
      <c r="J320">
        <f t="shared" si="32"/>
        <v>1.0139420760000029</v>
      </c>
      <c r="K320">
        <f t="shared" si="33"/>
        <v>5.6000000000000014</v>
      </c>
      <c r="L320">
        <f t="shared" si="34"/>
        <v>6.6174420760000041</v>
      </c>
      <c r="Q320">
        <f t="shared" ref="Q320:Q340" si="36">G320</f>
        <v>0.16716016716016724</v>
      </c>
    </row>
    <row r="321" spans="1:17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G321">
        <f t="shared" si="30"/>
        <v>0.18667518667518673</v>
      </c>
      <c r="I321">
        <f t="shared" si="31"/>
        <v>3.4999999999999931E-3</v>
      </c>
      <c r="J321">
        <f t="shared" si="32"/>
        <v>1.0139420760000029</v>
      </c>
      <c r="K321">
        <f t="shared" si="33"/>
        <v>5.6000000000000014</v>
      </c>
      <c r="L321">
        <f t="shared" si="34"/>
        <v>6.6174420760000041</v>
      </c>
      <c r="Q321">
        <f t="shared" si="36"/>
        <v>0.18667518667518673</v>
      </c>
    </row>
    <row r="322" spans="1:17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G322">
        <f t="shared" si="30"/>
        <v>0.15051915051915052</v>
      </c>
      <c r="I322">
        <f t="shared" si="31"/>
        <v>3.4999999999999931E-3</v>
      </c>
      <c r="J322">
        <f t="shared" si="32"/>
        <v>1.0139420760000029</v>
      </c>
      <c r="K322">
        <f t="shared" si="33"/>
        <v>5.6000000000000014</v>
      </c>
      <c r="L322">
        <f t="shared" si="34"/>
        <v>6.6174420760000041</v>
      </c>
      <c r="Q322">
        <f t="shared" si="36"/>
        <v>0.15051915051915052</v>
      </c>
    </row>
    <row r="323" spans="1:17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G323">
        <f t="shared" ref="G323:G340" si="37">($F$343-F323)/$F$343</f>
        <v>0.1667881667881668</v>
      </c>
      <c r="I323">
        <f t="shared" ref="I323:I340" si="38">(E323-0.17)*$U$2</f>
        <v>2.3904999999999998</v>
      </c>
      <c r="J323">
        <f t="shared" ref="J323:J340" si="39">(8-D323)*$U$4</f>
        <v>6.6920391160000001</v>
      </c>
      <c r="K323">
        <f t="shared" ref="K323:K340" si="40">(C323-20)*$U$3</f>
        <v>5.5</v>
      </c>
      <c r="L323">
        <f t="shared" ref="L323:L340" si="41">SUM(I323:K323)</f>
        <v>14.582539116</v>
      </c>
      <c r="Q323">
        <f t="shared" si="36"/>
        <v>0.1667881667881668</v>
      </c>
    </row>
    <row r="324" spans="1:17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G324">
        <f t="shared" si="37"/>
        <v>0.18057918057918068</v>
      </c>
      <c r="I324">
        <f t="shared" si="38"/>
        <v>2.3904999999999998</v>
      </c>
      <c r="J324">
        <f t="shared" si="39"/>
        <v>6.6920391160000001</v>
      </c>
      <c r="K324">
        <f t="shared" si="40"/>
        <v>5.5</v>
      </c>
      <c r="L324">
        <f t="shared" si="41"/>
        <v>14.582539116</v>
      </c>
      <c r="Q324">
        <f t="shared" si="36"/>
        <v>0.18057918057918068</v>
      </c>
    </row>
    <row r="325" spans="1:17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G325">
        <f t="shared" si="37"/>
        <v>0.16576516576516589</v>
      </c>
      <c r="I325">
        <f t="shared" si="38"/>
        <v>2.3904999999999998</v>
      </c>
      <c r="J325">
        <f t="shared" si="39"/>
        <v>6.6920391160000001</v>
      </c>
      <c r="K325">
        <f t="shared" si="40"/>
        <v>5.5</v>
      </c>
      <c r="L325">
        <f t="shared" si="41"/>
        <v>14.582539116</v>
      </c>
      <c r="Q325">
        <f t="shared" si="36"/>
        <v>0.16576516576516589</v>
      </c>
    </row>
    <row r="326" spans="1:17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G326">
        <f t="shared" si="37"/>
        <v>0.17192117192117196</v>
      </c>
      <c r="I326">
        <f t="shared" si="38"/>
        <v>2.3904999999999998</v>
      </c>
      <c r="J326">
        <f t="shared" si="39"/>
        <v>6.6920391160000001</v>
      </c>
      <c r="K326">
        <f t="shared" si="40"/>
        <v>5.5</v>
      </c>
      <c r="L326">
        <f t="shared" si="41"/>
        <v>14.582539116</v>
      </c>
      <c r="Q326">
        <f t="shared" si="36"/>
        <v>0.17192117192117196</v>
      </c>
    </row>
    <row r="327" spans="1:17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G327">
        <f t="shared" si="37"/>
        <v>0.14863514863514868</v>
      </c>
      <c r="I327">
        <f t="shared" si="38"/>
        <v>2.3904999999999998</v>
      </c>
      <c r="J327">
        <f t="shared" si="39"/>
        <v>6.6920391160000001</v>
      </c>
      <c r="K327">
        <f t="shared" si="40"/>
        <v>5.5</v>
      </c>
      <c r="L327">
        <f t="shared" si="41"/>
        <v>14.582539116</v>
      </c>
      <c r="Q327">
        <f t="shared" si="36"/>
        <v>0.14863514863514868</v>
      </c>
    </row>
    <row r="328" spans="1:17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G328">
        <f t="shared" si="37"/>
        <v>0.14769014769014774</v>
      </c>
      <c r="I328">
        <f t="shared" si="38"/>
        <v>2.3904999999999998</v>
      </c>
      <c r="J328">
        <f t="shared" si="39"/>
        <v>6.6920391160000001</v>
      </c>
      <c r="K328">
        <f t="shared" si="40"/>
        <v>5.5</v>
      </c>
      <c r="L328">
        <f t="shared" si="41"/>
        <v>14.582539116</v>
      </c>
      <c r="Q328">
        <f t="shared" si="36"/>
        <v>0.14769014769014774</v>
      </c>
    </row>
    <row r="329" spans="1:17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G329">
        <f t="shared" si="37"/>
        <v>0.1364881364881366</v>
      </c>
      <c r="I329">
        <f t="shared" si="38"/>
        <v>2.3904999999999998</v>
      </c>
      <c r="J329">
        <f t="shared" si="39"/>
        <v>6.6920391160000001</v>
      </c>
      <c r="K329">
        <f t="shared" si="40"/>
        <v>5.5</v>
      </c>
      <c r="L329">
        <f t="shared" si="41"/>
        <v>14.582539116</v>
      </c>
      <c r="Q329">
        <f t="shared" si="36"/>
        <v>0.1364881364881366</v>
      </c>
    </row>
    <row r="330" spans="1:17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G330">
        <f t="shared" si="37"/>
        <v>0.19389619389619389</v>
      </c>
      <c r="I330">
        <f t="shared" si="38"/>
        <v>2.3904999999999998</v>
      </c>
      <c r="J330">
        <f t="shared" si="39"/>
        <v>6.6920391160000001</v>
      </c>
      <c r="K330">
        <f t="shared" si="40"/>
        <v>5.5</v>
      </c>
      <c r="L330">
        <f t="shared" si="41"/>
        <v>14.582539116</v>
      </c>
      <c r="Q330">
        <f t="shared" si="36"/>
        <v>0.19389619389619389</v>
      </c>
    </row>
    <row r="331" spans="1:17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G331">
        <f t="shared" si="37"/>
        <v>0.17616017616017624</v>
      </c>
      <c r="I331">
        <f t="shared" si="38"/>
        <v>2.3904999999999998</v>
      </c>
      <c r="J331">
        <f t="shared" si="39"/>
        <v>6.6920391160000001</v>
      </c>
      <c r="K331">
        <f t="shared" si="40"/>
        <v>5.5</v>
      </c>
      <c r="L331">
        <f t="shared" si="41"/>
        <v>14.582539116</v>
      </c>
      <c r="Q331">
        <f t="shared" si="36"/>
        <v>0.17616017616017624</v>
      </c>
    </row>
    <row r="332" spans="1:17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G332">
        <f t="shared" si="37"/>
        <v>0.17464217464217463</v>
      </c>
      <c r="I332">
        <f t="shared" si="38"/>
        <v>2.3904999999999998</v>
      </c>
      <c r="J332">
        <f t="shared" si="39"/>
        <v>6.6920391160000001</v>
      </c>
      <c r="K332">
        <f t="shared" si="40"/>
        <v>5.5</v>
      </c>
      <c r="L332">
        <f t="shared" si="41"/>
        <v>14.582539116</v>
      </c>
      <c r="Q332">
        <f t="shared" si="36"/>
        <v>0.17464217464217463</v>
      </c>
    </row>
    <row r="333" spans="1:17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G333">
        <f t="shared" si="37"/>
        <v>0.18889218889218887</v>
      </c>
      <c r="I333">
        <f t="shared" si="38"/>
        <v>2.7404999999999999</v>
      </c>
      <c r="J333">
        <f t="shared" si="39"/>
        <v>6.9879633599999877</v>
      </c>
      <c r="K333">
        <f t="shared" si="40"/>
        <v>5.6000000000000014</v>
      </c>
      <c r="L333">
        <f t="shared" si="41"/>
        <v>15.32846335999999</v>
      </c>
      <c r="Q333">
        <f t="shared" si="36"/>
        <v>0.18889218889218887</v>
      </c>
    </row>
    <row r="334" spans="1:17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G334">
        <f t="shared" si="37"/>
        <v>0.1958071958071958</v>
      </c>
      <c r="I334">
        <f t="shared" si="38"/>
        <v>2.7404999999999999</v>
      </c>
      <c r="J334">
        <f t="shared" si="39"/>
        <v>6.9879633599999877</v>
      </c>
      <c r="K334">
        <f t="shared" si="40"/>
        <v>5.6000000000000014</v>
      </c>
      <c r="L334">
        <f t="shared" si="41"/>
        <v>15.32846335999999</v>
      </c>
      <c r="Q334">
        <f t="shared" si="36"/>
        <v>0.1958071958071958</v>
      </c>
    </row>
    <row r="335" spans="1:17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G335">
        <f t="shared" si="37"/>
        <v>4.8474048474048514E-2</v>
      </c>
      <c r="I335">
        <f t="shared" si="38"/>
        <v>2.7404999999999999</v>
      </c>
      <c r="J335">
        <f t="shared" si="39"/>
        <v>6.9879633599999877</v>
      </c>
      <c r="K335">
        <f t="shared" si="40"/>
        <v>5.6000000000000014</v>
      </c>
      <c r="L335">
        <f t="shared" si="41"/>
        <v>15.32846335999999</v>
      </c>
      <c r="Q335">
        <f t="shared" si="36"/>
        <v>4.8474048474048514E-2</v>
      </c>
    </row>
    <row r="336" spans="1:17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G336">
        <f t="shared" si="37"/>
        <v>0.18214518214518222</v>
      </c>
      <c r="I336">
        <f t="shared" si="38"/>
        <v>2.7404999999999999</v>
      </c>
      <c r="J336">
        <f t="shared" si="39"/>
        <v>6.9879633599999877</v>
      </c>
      <c r="K336">
        <f t="shared" si="40"/>
        <v>5.6000000000000014</v>
      </c>
      <c r="L336">
        <f t="shared" si="41"/>
        <v>15.32846335999999</v>
      </c>
      <c r="Q336">
        <f t="shared" si="36"/>
        <v>0.18214518214518222</v>
      </c>
    </row>
    <row r="337" spans="1:17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G337">
        <f t="shared" si="37"/>
        <v>0.19021519021519029</v>
      </c>
      <c r="I337">
        <f t="shared" si="38"/>
        <v>2.7404999999999999</v>
      </c>
      <c r="J337">
        <f t="shared" si="39"/>
        <v>6.9879633599999877</v>
      </c>
      <c r="K337">
        <f t="shared" si="40"/>
        <v>5.6000000000000014</v>
      </c>
      <c r="L337">
        <f t="shared" si="41"/>
        <v>15.32846335999999</v>
      </c>
      <c r="Q337">
        <f t="shared" si="36"/>
        <v>0.19021519021519029</v>
      </c>
    </row>
    <row r="338" spans="1:17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G338">
        <f t="shared" si="37"/>
        <v>0.26022326022326031</v>
      </c>
      <c r="I338">
        <f t="shared" si="38"/>
        <v>2.7404999999999999</v>
      </c>
      <c r="J338">
        <f t="shared" si="39"/>
        <v>6.9879633599999877</v>
      </c>
      <c r="K338">
        <f t="shared" si="40"/>
        <v>5.6000000000000014</v>
      </c>
      <c r="L338">
        <f t="shared" si="41"/>
        <v>15.32846335999999</v>
      </c>
      <c r="Q338">
        <f t="shared" si="36"/>
        <v>0.26022326022326031</v>
      </c>
    </row>
    <row r="339" spans="1:17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G339">
        <f t="shared" si="37"/>
        <v>0.14310614310614325</v>
      </c>
      <c r="I339">
        <f t="shared" si="38"/>
        <v>2.7404999999999999</v>
      </c>
      <c r="J339">
        <f t="shared" si="39"/>
        <v>6.9879633599999877</v>
      </c>
      <c r="K339">
        <f t="shared" si="40"/>
        <v>5.6000000000000014</v>
      </c>
      <c r="L339">
        <f t="shared" si="41"/>
        <v>15.32846335999999</v>
      </c>
      <c r="Q339">
        <f t="shared" si="36"/>
        <v>0.14310614310614325</v>
      </c>
    </row>
    <row r="340" spans="1:17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G340">
        <f t="shared" si="37"/>
        <v>0.22889722889722899</v>
      </c>
      <c r="I340">
        <f t="shared" si="38"/>
        <v>2.7404999999999999</v>
      </c>
      <c r="J340">
        <f t="shared" si="39"/>
        <v>6.9879633599999877</v>
      </c>
      <c r="K340">
        <f t="shared" si="40"/>
        <v>5.6000000000000014</v>
      </c>
      <c r="L340">
        <f t="shared" si="41"/>
        <v>15.32846335999999</v>
      </c>
      <c r="Q340">
        <f t="shared" si="36"/>
        <v>0.22889722889722899</v>
      </c>
    </row>
    <row r="343" spans="1:17" x14ac:dyDescent="0.2">
      <c r="A343" t="s">
        <v>13</v>
      </c>
      <c r="F343">
        <f>MAX(F2:F340)</f>
        <v>83.333250000000007</v>
      </c>
      <c r="G343">
        <f>MAX(G2:G340)</f>
        <v>0.48698748698748695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16A1-0739-4F6D-A4CE-0013FAAAF25B}">
  <dimension ref="A1:V343"/>
  <sheetViews>
    <sheetView topLeftCell="G1" zoomScale="133" workbookViewId="0">
      <selection activeCell="E44" sqref="E44"/>
    </sheetView>
  </sheetViews>
  <sheetFormatPr baseColWidth="10" defaultColWidth="8.83203125" defaultRowHeight="15" x14ac:dyDescent="0.2"/>
  <sheetData>
    <row r="1" spans="1:22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12</v>
      </c>
      <c r="I1" s="9" t="s">
        <v>19</v>
      </c>
      <c r="J1" s="9" t="s">
        <v>20</v>
      </c>
      <c r="K1" s="9" t="s">
        <v>21</v>
      </c>
      <c r="L1" s="9" t="s">
        <v>25</v>
      </c>
      <c r="N1" s="9" t="s">
        <v>27</v>
      </c>
      <c r="O1" s="9" t="s">
        <v>18</v>
      </c>
      <c r="R1" s="9" t="s">
        <v>22</v>
      </c>
      <c r="V1" s="9" t="s">
        <v>29</v>
      </c>
    </row>
    <row r="2" spans="1:22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G2">
        <f>($F$343-F2)/$F$343</f>
        <v>0.12800712800712813</v>
      </c>
      <c r="I2">
        <f t="shared" ref="I2:I65" si="0">(E2-0.17)*$S$2</f>
        <v>6.9999999999999958E-3</v>
      </c>
      <c r="J2">
        <f t="shared" ref="J2:J65" si="1">(8-D2)*$S$4</f>
        <v>0.50145796335908344</v>
      </c>
      <c r="K2">
        <f t="shared" ref="K2:K65" si="2">(C2-20)*$S$3</f>
        <v>-0.30000000000000071</v>
      </c>
      <c r="L2">
        <f t="shared" ref="L2:L65" si="3">SUM(I2:K2)+($V$2*(J2*K2))</f>
        <v>0.20845796335908273</v>
      </c>
      <c r="N2">
        <f t="shared" ref="N2:N33" si="4">G2</f>
        <v>0.12800712800712813</v>
      </c>
      <c r="R2" t="s">
        <v>23</v>
      </c>
      <c r="S2">
        <v>0.35</v>
      </c>
      <c r="U2" t="s">
        <v>34</v>
      </c>
      <c r="V2">
        <v>0</v>
      </c>
    </row>
    <row r="3" spans="1:22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G3">
        <f t="shared" ref="G3:G66" si="5">($F$343-F3)/$F$343</f>
        <v>7.9749079749079826E-2</v>
      </c>
      <c r="I3">
        <f t="shared" si="0"/>
        <v>6.9999999999999958E-3</v>
      </c>
      <c r="J3">
        <f t="shared" si="1"/>
        <v>0.50145796335908344</v>
      </c>
      <c r="K3">
        <f t="shared" si="2"/>
        <v>-0.30000000000000071</v>
      </c>
      <c r="L3">
        <f t="shared" si="3"/>
        <v>0.20845796335908273</v>
      </c>
      <c r="N3">
        <f t="shared" si="4"/>
        <v>7.9749079749079826E-2</v>
      </c>
      <c r="R3" t="s">
        <v>24</v>
      </c>
      <c r="S3">
        <v>1</v>
      </c>
    </row>
    <row r="4" spans="1:22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G4">
        <f t="shared" si="5"/>
        <v>0.16524016524016535</v>
      </c>
      <c r="I4">
        <f t="shared" si="0"/>
        <v>6.9999999999999958E-3</v>
      </c>
      <c r="J4">
        <f t="shared" si="1"/>
        <v>0.50145796335908344</v>
      </c>
      <c r="K4">
        <f t="shared" si="2"/>
        <v>-0.30000000000000071</v>
      </c>
      <c r="L4">
        <f t="shared" si="3"/>
        <v>0.20845796335908273</v>
      </c>
      <c r="N4">
        <f t="shared" si="4"/>
        <v>0.16524016524016535</v>
      </c>
      <c r="R4" t="s">
        <v>8</v>
      </c>
      <c r="S4">
        <v>28</v>
      </c>
    </row>
    <row r="5" spans="1:22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G5">
        <f t="shared" si="5"/>
        <v>0.19913719913719918</v>
      </c>
      <c r="I5">
        <f t="shared" si="0"/>
        <v>6.9999999999999958E-3</v>
      </c>
      <c r="J5">
        <f t="shared" si="1"/>
        <v>0.50145796335908344</v>
      </c>
      <c r="K5">
        <f t="shared" si="2"/>
        <v>-0.30000000000000071</v>
      </c>
      <c r="L5">
        <f t="shared" si="3"/>
        <v>0.20845796335908273</v>
      </c>
      <c r="N5">
        <f t="shared" si="4"/>
        <v>0.19913719913719918</v>
      </c>
      <c r="S5" t="s">
        <v>26</v>
      </c>
    </row>
    <row r="6" spans="1:22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G6">
        <f t="shared" si="5"/>
        <v>2.1819021819021889E-2</v>
      </c>
      <c r="I6">
        <f t="shared" si="0"/>
        <v>6.9999999999999958E-3</v>
      </c>
      <c r="J6">
        <f t="shared" si="1"/>
        <v>0.50145796335908344</v>
      </c>
      <c r="K6">
        <f t="shared" si="2"/>
        <v>-0.30000000000000071</v>
      </c>
      <c r="L6">
        <f t="shared" si="3"/>
        <v>0.20845796335908273</v>
      </c>
      <c r="N6">
        <f t="shared" si="4"/>
        <v>2.1819021819021889E-2</v>
      </c>
    </row>
    <row r="7" spans="1:22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G7">
        <f t="shared" si="5"/>
        <v>0.17031617031617044</v>
      </c>
      <c r="I7">
        <f t="shared" si="0"/>
        <v>6.9999999999999958E-3</v>
      </c>
      <c r="J7">
        <f t="shared" si="1"/>
        <v>0.50145796335908344</v>
      </c>
      <c r="K7">
        <f t="shared" si="2"/>
        <v>-0.30000000000000071</v>
      </c>
      <c r="L7">
        <f t="shared" si="3"/>
        <v>0.20845796335908273</v>
      </c>
      <c r="N7">
        <f t="shared" si="4"/>
        <v>0.17031617031617044</v>
      </c>
    </row>
    <row r="8" spans="1:22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G8">
        <f t="shared" si="5"/>
        <v>0.11291711291711294</v>
      </c>
      <c r="I8">
        <f t="shared" si="0"/>
        <v>6.9999999999999958E-3</v>
      </c>
      <c r="J8">
        <f t="shared" si="1"/>
        <v>0.50145796335908344</v>
      </c>
      <c r="K8">
        <f t="shared" si="2"/>
        <v>-0.30000000000000071</v>
      </c>
      <c r="L8">
        <f t="shared" si="3"/>
        <v>0.20845796335908273</v>
      </c>
      <c r="N8">
        <f t="shared" si="4"/>
        <v>0.11291711291711294</v>
      </c>
    </row>
    <row r="9" spans="1:22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G9">
        <f t="shared" si="5"/>
        <v>3.7926037926038082E-2</v>
      </c>
      <c r="I9">
        <f t="shared" si="0"/>
        <v>6.9999999999999958E-3</v>
      </c>
      <c r="J9">
        <f t="shared" si="1"/>
        <v>0.50145796335908344</v>
      </c>
      <c r="K9">
        <f t="shared" si="2"/>
        <v>-0.30000000000000071</v>
      </c>
      <c r="L9">
        <f t="shared" si="3"/>
        <v>0.20845796335908273</v>
      </c>
      <c r="N9">
        <f t="shared" si="4"/>
        <v>3.7926037926038082E-2</v>
      </c>
    </row>
    <row r="10" spans="1:22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G10">
        <f t="shared" si="5"/>
        <v>0.15680415680415688</v>
      </c>
      <c r="I10">
        <f t="shared" si="0"/>
        <v>6.9999999999999958E-3</v>
      </c>
      <c r="J10">
        <f t="shared" si="1"/>
        <v>0.50145796335908344</v>
      </c>
      <c r="K10">
        <f t="shared" si="2"/>
        <v>-0.30000000000000071</v>
      </c>
      <c r="L10">
        <f t="shared" si="3"/>
        <v>0.20845796335908273</v>
      </c>
      <c r="N10">
        <f t="shared" si="4"/>
        <v>0.15680415680415688</v>
      </c>
    </row>
    <row r="11" spans="1:22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G11">
        <f t="shared" si="5"/>
        <v>4.959004959005019E-3</v>
      </c>
      <c r="I11">
        <f t="shared" si="0"/>
        <v>6.9999999999999958E-3</v>
      </c>
      <c r="J11">
        <f t="shared" si="1"/>
        <v>0.50145796335908344</v>
      </c>
      <c r="K11">
        <f t="shared" si="2"/>
        <v>-0.30000000000000071</v>
      </c>
      <c r="L11">
        <f t="shared" si="3"/>
        <v>0.20845796335908273</v>
      </c>
      <c r="N11">
        <f t="shared" si="4"/>
        <v>4.959004959005019E-3</v>
      </c>
    </row>
    <row r="12" spans="1:22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G12">
        <f t="shared" si="5"/>
        <v>0.16649416649416662</v>
      </c>
      <c r="I12">
        <f t="shared" si="0"/>
        <v>6.9999999999999958E-3</v>
      </c>
      <c r="J12">
        <f t="shared" si="1"/>
        <v>0.50145796335908344</v>
      </c>
      <c r="K12">
        <f t="shared" si="2"/>
        <v>-0.30000000000000071</v>
      </c>
      <c r="L12">
        <f t="shared" si="3"/>
        <v>0.20845796335908273</v>
      </c>
      <c r="N12">
        <f t="shared" si="4"/>
        <v>0.16649416649416662</v>
      </c>
    </row>
    <row r="13" spans="1:22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G13">
        <f t="shared" si="5"/>
        <v>0.11266211266211275</v>
      </c>
      <c r="I13">
        <f t="shared" si="0"/>
        <v>6.9999999999999958E-3</v>
      </c>
      <c r="J13">
        <f t="shared" si="1"/>
        <v>0.50145796335908344</v>
      </c>
      <c r="K13">
        <f t="shared" si="2"/>
        <v>-0.30000000000000071</v>
      </c>
      <c r="L13">
        <f t="shared" si="3"/>
        <v>0.20845796335908273</v>
      </c>
      <c r="N13">
        <f t="shared" si="4"/>
        <v>0.11266211266211275</v>
      </c>
    </row>
    <row r="14" spans="1:22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G14">
        <f t="shared" si="5"/>
        <v>5.2920052920053043E-2</v>
      </c>
      <c r="I14">
        <f t="shared" si="0"/>
        <v>6.9999999999999958E-3</v>
      </c>
      <c r="J14">
        <f t="shared" si="1"/>
        <v>0.50145796335908344</v>
      </c>
      <c r="K14">
        <f t="shared" si="2"/>
        <v>-0.30000000000000071</v>
      </c>
      <c r="L14">
        <f t="shared" si="3"/>
        <v>0.20845796335908273</v>
      </c>
      <c r="N14">
        <f t="shared" si="4"/>
        <v>5.2920052920053043E-2</v>
      </c>
    </row>
    <row r="15" spans="1:22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G15">
        <f t="shared" si="5"/>
        <v>2.2119022119022259E-2</v>
      </c>
      <c r="I15">
        <f t="shared" si="0"/>
        <v>6.9999999999999958E-3</v>
      </c>
      <c r="J15">
        <f t="shared" si="1"/>
        <v>0.50145796335908344</v>
      </c>
      <c r="K15">
        <f t="shared" si="2"/>
        <v>-0.30000000000000071</v>
      </c>
      <c r="L15">
        <f t="shared" si="3"/>
        <v>0.20845796335908273</v>
      </c>
      <c r="N15">
        <f t="shared" si="4"/>
        <v>2.2119022119022259E-2</v>
      </c>
    </row>
    <row r="16" spans="1:22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G16">
        <f t="shared" si="5"/>
        <v>7.5867075867075986E-2</v>
      </c>
      <c r="I16">
        <f t="shared" si="0"/>
        <v>6.9999999999999958E-3</v>
      </c>
      <c r="J16">
        <f t="shared" si="1"/>
        <v>0.50145796335908344</v>
      </c>
      <c r="K16">
        <f t="shared" si="2"/>
        <v>-0.30000000000000071</v>
      </c>
      <c r="L16">
        <f t="shared" si="3"/>
        <v>0.20845796335908273</v>
      </c>
      <c r="N16">
        <f t="shared" si="4"/>
        <v>7.5867075867075986E-2</v>
      </c>
    </row>
    <row r="17" spans="1:14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G17">
        <f t="shared" si="5"/>
        <v>0.11539511539511547</v>
      </c>
      <c r="I17">
        <f t="shared" si="0"/>
        <v>6.9999999999999958E-3</v>
      </c>
      <c r="J17">
        <f t="shared" si="1"/>
        <v>0.50145796335908344</v>
      </c>
      <c r="K17">
        <f t="shared" si="2"/>
        <v>-0.30000000000000071</v>
      </c>
      <c r="L17">
        <f t="shared" si="3"/>
        <v>0.20845796335908273</v>
      </c>
      <c r="N17">
        <f t="shared" si="4"/>
        <v>0.11539511539511547</v>
      </c>
    </row>
    <row r="18" spans="1:14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G18">
        <f t="shared" si="5"/>
        <v>0.18041718041718044</v>
      </c>
      <c r="I18">
        <f t="shared" si="0"/>
        <v>6.9999999999999958E-3</v>
      </c>
      <c r="J18">
        <f t="shared" si="1"/>
        <v>0.50145796335908344</v>
      </c>
      <c r="K18">
        <f t="shared" si="2"/>
        <v>-0.30000000000000071</v>
      </c>
      <c r="L18">
        <f t="shared" si="3"/>
        <v>0.20845796335908273</v>
      </c>
      <c r="N18">
        <f t="shared" si="4"/>
        <v>0.18041718041718044</v>
      </c>
    </row>
    <row r="19" spans="1:14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G19">
        <f t="shared" si="5"/>
        <v>2.3640023640023794E-2</v>
      </c>
      <c r="I19">
        <f t="shared" si="0"/>
        <v>6.9999999999999958E-3</v>
      </c>
      <c r="J19">
        <f t="shared" si="1"/>
        <v>0.50145796335908344</v>
      </c>
      <c r="K19">
        <f t="shared" si="2"/>
        <v>-0.30000000000000071</v>
      </c>
      <c r="L19">
        <f t="shared" si="3"/>
        <v>0.20845796335908273</v>
      </c>
      <c r="N19">
        <f t="shared" si="4"/>
        <v>2.3640023640023794E-2</v>
      </c>
    </row>
    <row r="20" spans="1:14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G20">
        <f t="shared" si="5"/>
        <v>0.18426918426918426</v>
      </c>
      <c r="I20">
        <f t="shared" si="0"/>
        <v>6.9999999999999958E-3</v>
      </c>
      <c r="J20">
        <f t="shared" si="1"/>
        <v>0.50145796335908344</v>
      </c>
      <c r="K20">
        <f t="shared" si="2"/>
        <v>-0.30000000000000071</v>
      </c>
      <c r="L20">
        <f t="shared" si="3"/>
        <v>0.20845796335908273</v>
      </c>
      <c r="N20">
        <f t="shared" si="4"/>
        <v>0.18426918426918426</v>
      </c>
    </row>
    <row r="21" spans="1:14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G21">
        <f t="shared" si="5"/>
        <v>0.20885720885720893</v>
      </c>
      <c r="I21">
        <f t="shared" si="0"/>
        <v>6.9999999999999958E-3</v>
      </c>
      <c r="J21">
        <f t="shared" si="1"/>
        <v>0.50145796335908344</v>
      </c>
      <c r="K21">
        <f t="shared" si="2"/>
        <v>-0.30000000000000071</v>
      </c>
      <c r="L21">
        <f t="shared" si="3"/>
        <v>0.20845796335908273</v>
      </c>
      <c r="N21">
        <f t="shared" si="4"/>
        <v>0.20885720885720893</v>
      </c>
    </row>
    <row r="22" spans="1:14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G22">
        <f t="shared" si="5"/>
        <v>0.1371691371691372</v>
      </c>
      <c r="I22">
        <f t="shared" si="0"/>
        <v>0.99049999999999994</v>
      </c>
      <c r="J22">
        <f t="shared" si="1"/>
        <v>0.28305141215483332</v>
      </c>
      <c r="K22">
        <f t="shared" si="2"/>
        <v>-0.30000000000000071</v>
      </c>
      <c r="L22">
        <f t="shared" si="3"/>
        <v>0.97355141215483254</v>
      </c>
      <c r="N22">
        <f t="shared" si="4"/>
        <v>0.1371691371691372</v>
      </c>
    </row>
    <row r="23" spans="1:14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G23">
        <f t="shared" si="5"/>
        <v>0.18929418929418931</v>
      </c>
      <c r="I23">
        <f t="shared" si="0"/>
        <v>0.99049999999999994</v>
      </c>
      <c r="J23">
        <f t="shared" si="1"/>
        <v>0.28305141215483332</v>
      </c>
      <c r="K23">
        <f t="shared" si="2"/>
        <v>-0.30000000000000071</v>
      </c>
      <c r="L23">
        <f t="shared" si="3"/>
        <v>0.97355141215483254</v>
      </c>
      <c r="N23">
        <f t="shared" si="4"/>
        <v>0.18929418929418931</v>
      </c>
    </row>
    <row r="24" spans="1:14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G24">
        <f t="shared" si="5"/>
        <v>0.13476613476613483</v>
      </c>
      <c r="I24">
        <f t="shared" si="0"/>
        <v>0.99049999999999994</v>
      </c>
      <c r="J24">
        <f t="shared" si="1"/>
        <v>0.28305141215483332</v>
      </c>
      <c r="K24">
        <f t="shared" si="2"/>
        <v>-0.30000000000000071</v>
      </c>
      <c r="L24">
        <f t="shared" si="3"/>
        <v>0.97355141215483254</v>
      </c>
      <c r="N24">
        <f t="shared" si="4"/>
        <v>0.13476613476613483</v>
      </c>
    </row>
    <row r="25" spans="1:14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G25">
        <f t="shared" si="5"/>
        <v>0.18343218343218343</v>
      </c>
      <c r="I25">
        <f t="shared" si="0"/>
        <v>0.99049999999999994</v>
      </c>
      <c r="J25">
        <f t="shared" si="1"/>
        <v>0.28305141215483332</v>
      </c>
      <c r="K25">
        <f t="shared" si="2"/>
        <v>-0.30000000000000071</v>
      </c>
      <c r="L25">
        <f t="shared" si="3"/>
        <v>0.97355141215483254</v>
      </c>
      <c r="N25">
        <f t="shared" si="4"/>
        <v>0.18343218343218343</v>
      </c>
    </row>
    <row r="26" spans="1:14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G26">
        <f t="shared" si="5"/>
        <v>0.17034317034317034</v>
      </c>
      <c r="I26">
        <f t="shared" si="0"/>
        <v>0.99049999999999994</v>
      </c>
      <c r="J26">
        <f t="shared" si="1"/>
        <v>0.28305141215483332</v>
      </c>
      <c r="K26">
        <f t="shared" si="2"/>
        <v>-0.30000000000000071</v>
      </c>
      <c r="L26">
        <f t="shared" si="3"/>
        <v>0.97355141215483254</v>
      </c>
      <c r="N26">
        <f t="shared" si="4"/>
        <v>0.17034317034317034</v>
      </c>
    </row>
    <row r="27" spans="1:14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G27">
        <f t="shared" si="5"/>
        <v>9.0012090012090068E-2</v>
      </c>
      <c r="I27">
        <f t="shared" si="0"/>
        <v>0.99049999999999994</v>
      </c>
      <c r="J27">
        <f t="shared" si="1"/>
        <v>0.28305141215483332</v>
      </c>
      <c r="K27">
        <f t="shared" si="2"/>
        <v>-0.30000000000000071</v>
      </c>
      <c r="L27">
        <f t="shared" si="3"/>
        <v>0.97355141215483254</v>
      </c>
      <c r="N27">
        <f t="shared" si="4"/>
        <v>9.0012090012090068E-2</v>
      </c>
    </row>
    <row r="28" spans="1:14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G28">
        <f t="shared" si="5"/>
        <v>0.18559218559218568</v>
      </c>
      <c r="I28">
        <f t="shared" si="0"/>
        <v>0.99049999999999994</v>
      </c>
      <c r="J28">
        <f t="shared" si="1"/>
        <v>0.28305141215483332</v>
      </c>
      <c r="K28">
        <f t="shared" si="2"/>
        <v>-0.30000000000000071</v>
      </c>
      <c r="L28">
        <f t="shared" si="3"/>
        <v>0.97355141215483254</v>
      </c>
      <c r="N28">
        <f t="shared" si="4"/>
        <v>0.18559218559218568</v>
      </c>
    </row>
    <row r="29" spans="1:14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G29">
        <f t="shared" si="5"/>
        <v>0.12043512043512054</v>
      </c>
      <c r="I29">
        <f t="shared" si="0"/>
        <v>0.99049999999999994</v>
      </c>
      <c r="J29">
        <f t="shared" si="1"/>
        <v>0.28305141215483332</v>
      </c>
      <c r="K29">
        <f t="shared" si="2"/>
        <v>-0.30000000000000071</v>
      </c>
      <c r="L29">
        <f t="shared" si="3"/>
        <v>0.97355141215483254</v>
      </c>
      <c r="N29">
        <f t="shared" si="4"/>
        <v>0.12043512043512054</v>
      </c>
    </row>
    <row r="30" spans="1:14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G30">
        <f t="shared" si="5"/>
        <v>0.16009216009216018</v>
      </c>
      <c r="I30">
        <f t="shared" si="0"/>
        <v>0.99049999999999994</v>
      </c>
      <c r="J30">
        <f t="shared" si="1"/>
        <v>0.28305141215483332</v>
      </c>
      <c r="K30">
        <f t="shared" si="2"/>
        <v>-0.30000000000000071</v>
      </c>
      <c r="L30">
        <f t="shared" si="3"/>
        <v>0.97355141215483254</v>
      </c>
      <c r="N30">
        <f t="shared" si="4"/>
        <v>0.16009216009216018</v>
      </c>
    </row>
    <row r="31" spans="1:14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G31">
        <f t="shared" si="5"/>
        <v>6.7992067992068125E-2</v>
      </c>
      <c r="I31">
        <f t="shared" si="0"/>
        <v>0.99049999999999994</v>
      </c>
      <c r="J31">
        <f t="shared" si="1"/>
        <v>0.28305141215483332</v>
      </c>
      <c r="K31">
        <f t="shared" si="2"/>
        <v>-0.30000000000000071</v>
      </c>
      <c r="L31">
        <f t="shared" si="3"/>
        <v>0.97355141215483254</v>
      </c>
      <c r="N31">
        <f t="shared" si="4"/>
        <v>6.7992067992068125E-2</v>
      </c>
    </row>
    <row r="32" spans="1:14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G32">
        <f t="shared" si="5"/>
        <v>0.11629211629211632</v>
      </c>
      <c r="I32">
        <f t="shared" si="0"/>
        <v>0.99049999999999994</v>
      </c>
      <c r="J32">
        <f t="shared" si="1"/>
        <v>0.28305141215483332</v>
      </c>
      <c r="K32">
        <f t="shared" si="2"/>
        <v>-0.30000000000000071</v>
      </c>
      <c r="L32">
        <f t="shared" si="3"/>
        <v>0.97355141215483254</v>
      </c>
      <c r="N32">
        <f t="shared" si="4"/>
        <v>0.11629211629211632</v>
      </c>
    </row>
    <row r="33" spans="1:14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G33">
        <f t="shared" si="5"/>
        <v>6.3222063222063252E-2</v>
      </c>
      <c r="I33">
        <f t="shared" si="0"/>
        <v>0.99049999999999994</v>
      </c>
      <c r="J33">
        <f t="shared" si="1"/>
        <v>0.28305141215483332</v>
      </c>
      <c r="K33">
        <f t="shared" si="2"/>
        <v>-0.30000000000000071</v>
      </c>
      <c r="L33">
        <f t="shared" si="3"/>
        <v>0.97355141215483254</v>
      </c>
      <c r="N33">
        <f t="shared" si="4"/>
        <v>6.3222063222063252E-2</v>
      </c>
    </row>
    <row r="34" spans="1:14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G34">
        <f t="shared" si="5"/>
        <v>6.464406464406465E-2</v>
      </c>
      <c r="I34">
        <f t="shared" si="0"/>
        <v>0.99049999999999994</v>
      </c>
      <c r="J34">
        <f t="shared" si="1"/>
        <v>0.28305141215483332</v>
      </c>
      <c r="K34">
        <f t="shared" si="2"/>
        <v>-0.30000000000000071</v>
      </c>
      <c r="L34">
        <f t="shared" si="3"/>
        <v>0.97355141215483254</v>
      </c>
      <c r="N34">
        <f t="shared" ref="N34:N65" si="6">G34</f>
        <v>6.464406464406465E-2</v>
      </c>
    </row>
    <row r="35" spans="1:14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G35">
        <f t="shared" si="5"/>
        <v>0.12816612816612827</v>
      </c>
      <c r="I35">
        <f t="shared" si="0"/>
        <v>0.99049999999999994</v>
      </c>
      <c r="J35">
        <f t="shared" si="1"/>
        <v>0.28305141215483332</v>
      </c>
      <c r="K35">
        <f t="shared" si="2"/>
        <v>-0.30000000000000071</v>
      </c>
      <c r="L35">
        <f t="shared" si="3"/>
        <v>0.97355141215483254</v>
      </c>
      <c r="N35">
        <f t="shared" si="6"/>
        <v>0.12816612816612827</v>
      </c>
    </row>
    <row r="36" spans="1:14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G36">
        <f t="shared" si="5"/>
        <v>0.11077811077811091</v>
      </c>
      <c r="I36">
        <f t="shared" si="0"/>
        <v>2.7404999999999999</v>
      </c>
      <c r="J36">
        <f t="shared" si="1"/>
        <v>0.58266196080932886</v>
      </c>
      <c r="K36">
        <f t="shared" si="2"/>
        <v>-0.30000000000000071</v>
      </c>
      <c r="L36">
        <f t="shared" si="3"/>
        <v>3.0231619608093281</v>
      </c>
      <c r="N36">
        <f t="shared" si="6"/>
        <v>0.11077811077811091</v>
      </c>
    </row>
    <row r="37" spans="1:14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G37">
        <f t="shared" si="5"/>
        <v>6.9117069117069246E-2</v>
      </c>
      <c r="I37">
        <f t="shared" si="0"/>
        <v>2.7404999999999999</v>
      </c>
      <c r="J37">
        <f t="shared" si="1"/>
        <v>0.58266196080932886</v>
      </c>
      <c r="K37">
        <f t="shared" si="2"/>
        <v>-0.30000000000000071</v>
      </c>
      <c r="L37">
        <f t="shared" si="3"/>
        <v>3.0231619608093281</v>
      </c>
      <c r="N37">
        <f t="shared" si="6"/>
        <v>6.9117069117069246E-2</v>
      </c>
    </row>
    <row r="38" spans="1:14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G38">
        <f t="shared" si="5"/>
        <v>8.5020085020085109E-2</v>
      </c>
      <c r="I38">
        <f t="shared" si="0"/>
        <v>2.7404999999999999</v>
      </c>
      <c r="J38">
        <f t="shared" si="1"/>
        <v>0.58266196080932886</v>
      </c>
      <c r="K38">
        <f t="shared" si="2"/>
        <v>-0.30000000000000071</v>
      </c>
      <c r="L38">
        <f t="shared" si="3"/>
        <v>3.0231619608093281</v>
      </c>
      <c r="N38">
        <f t="shared" si="6"/>
        <v>8.5020085020085109E-2</v>
      </c>
    </row>
    <row r="39" spans="1:14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G39">
        <f t="shared" si="5"/>
        <v>0.11979311979311991</v>
      </c>
      <c r="I39">
        <f t="shared" si="0"/>
        <v>2.7404999999999999</v>
      </c>
      <c r="J39">
        <f t="shared" si="1"/>
        <v>0.58266196080932886</v>
      </c>
      <c r="K39">
        <f t="shared" si="2"/>
        <v>-0.30000000000000071</v>
      </c>
      <c r="L39">
        <f t="shared" si="3"/>
        <v>3.0231619608093281</v>
      </c>
      <c r="N39">
        <f t="shared" si="6"/>
        <v>0.11979311979311991</v>
      </c>
    </row>
    <row r="40" spans="1:14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G40">
        <f t="shared" si="5"/>
        <v>9.4314094314094446E-2</v>
      </c>
      <c r="I40">
        <f t="shared" si="0"/>
        <v>2.7404999999999999</v>
      </c>
      <c r="J40">
        <f t="shared" si="1"/>
        <v>0.58266196080932886</v>
      </c>
      <c r="K40">
        <f t="shared" si="2"/>
        <v>-0.30000000000000071</v>
      </c>
      <c r="L40">
        <f t="shared" si="3"/>
        <v>3.0231619608093281</v>
      </c>
      <c r="N40">
        <f t="shared" si="6"/>
        <v>9.4314094314094446E-2</v>
      </c>
    </row>
    <row r="41" spans="1:14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G41">
        <f t="shared" si="5"/>
        <v>0.15705315705315703</v>
      </c>
      <c r="I41">
        <f t="shared" si="0"/>
        <v>2.7404999999999999</v>
      </c>
      <c r="J41">
        <f t="shared" si="1"/>
        <v>0.58266196080932886</v>
      </c>
      <c r="K41">
        <f t="shared" si="2"/>
        <v>-0.30000000000000071</v>
      </c>
      <c r="L41">
        <f t="shared" si="3"/>
        <v>3.0231619608093281</v>
      </c>
      <c r="N41">
        <f t="shared" si="6"/>
        <v>0.15705315705315703</v>
      </c>
    </row>
    <row r="42" spans="1:14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G42">
        <f t="shared" si="5"/>
        <v>7.9083079083079211E-2</v>
      </c>
      <c r="I42">
        <f t="shared" si="0"/>
        <v>2.7404999999999999</v>
      </c>
      <c r="J42">
        <f t="shared" si="1"/>
        <v>0.58266196080932886</v>
      </c>
      <c r="K42">
        <f t="shared" si="2"/>
        <v>-0.30000000000000071</v>
      </c>
      <c r="L42">
        <f t="shared" si="3"/>
        <v>3.0231619608093281</v>
      </c>
      <c r="N42">
        <f t="shared" si="6"/>
        <v>7.9083079083079211E-2</v>
      </c>
    </row>
    <row r="43" spans="1:14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G43">
        <f t="shared" si="5"/>
        <v>9.0978090978091036E-2</v>
      </c>
      <c r="I43">
        <f t="shared" si="0"/>
        <v>2.7404999999999999</v>
      </c>
      <c r="J43">
        <f t="shared" si="1"/>
        <v>0.58266196080932886</v>
      </c>
      <c r="K43">
        <f t="shared" si="2"/>
        <v>-0.30000000000000071</v>
      </c>
      <c r="L43">
        <f t="shared" si="3"/>
        <v>3.0231619608093281</v>
      </c>
      <c r="N43">
        <f t="shared" si="6"/>
        <v>9.0978090978091036E-2</v>
      </c>
    </row>
    <row r="44" spans="1:14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G44">
        <f t="shared" si="5"/>
        <v>0.13791013791013798</v>
      </c>
      <c r="I44">
        <f t="shared" si="0"/>
        <v>2.7404999999999999</v>
      </c>
      <c r="J44">
        <f t="shared" si="1"/>
        <v>0.58266196080932886</v>
      </c>
      <c r="K44">
        <f t="shared" si="2"/>
        <v>-0.30000000000000071</v>
      </c>
      <c r="L44">
        <f t="shared" si="3"/>
        <v>3.0231619608093281</v>
      </c>
      <c r="N44">
        <f t="shared" si="6"/>
        <v>0.13791013791013798</v>
      </c>
    </row>
    <row r="45" spans="1:14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G45">
        <f t="shared" si="5"/>
        <v>8.4546084546084588E-2</v>
      </c>
      <c r="I45">
        <f t="shared" si="0"/>
        <v>2.7404999999999999</v>
      </c>
      <c r="J45">
        <f t="shared" si="1"/>
        <v>0.58266196080932886</v>
      </c>
      <c r="K45">
        <f t="shared" si="2"/>
        <v>-0.30000000000000071</v>
      </c>
      <c r="L45">
        <f t="shared" si="3"/>
        <v>3.0231619608093281</v>
      </c>
      <c r="N45">
        <f t="shared" si="6"/>
        <v>8.4546084546084588E-2</v>
      </c>
    </row>
    <row r="46" spans="1:14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G46">
        <f t="shared" si="5"/>
        <v>7.3362073362073385E-2</v>
      </c>
      <c r="I46">
        <f t="shared" si="0"/>
        <v>2.7404999999999999</v>
      </c>
      <c r="J46">
        <f t="shared" si="1"/>
        <v>0.58266196080932886</v>
      </c>
      <c r="K46">
        <f t="shared" si="2"/>
        <v>-0.30000000000000071</v>
      </c>
      <c r="L46">
        <f t="shared" si="3"/>
        <v>3.0231619608093281</v>
      </c>
      <c r="N46">
        <f t="shared" si="6"/>
        <v>7.3362073362073385E-2</v>
      </c>
    </row>
    <row r="47" spans="1:14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G47">
        <f t="shared" si="5"/>
        <v>0.17003417003417018</v>
      </c>
      <c r="I47">
        <f t="shared" si="0"/>
        <v>2.7404999999999999</v>
      </c>
      <c r="J47">
        <f t="shared" si="1"/>
        <v>0.58266196080932886</v>
      </c>
      <c r="K47">
        <f t="shared" si="2"/>
        <v>-0.30000000000000071</v>
      </c>
      <c r="L47">
        <f t="shared" si="3"/>
        <v>3.0231619608093281</v>
      </c>
      <c r="N47">
        <f t="shared" si="6"/>
        <v>0.17003417003417018</v>
      </c>
    </row>
    <row r="48" spans="1:14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G48">
        <f t="shared" si="5"/>
        <v>9.7260097260097295E-2</v>
      </c>
      <c r="I48">
        <f t="shared" si="0"/>
        <v>4.1404999999999994</v>
      </c>
      <c r="J48">
        <f t="shared" si="1"/>
        <v>0.43985732243822895</v>
      </c>
      <c r="K48">
        <f t="shared" si="2"/>
        <v>-0.30000000000000071</v>
      </c>
      <c r="L48">
        <f t="shared" si="3"/>
        <v>4.2803573224382276</v>
      </c>
      <c r="N48">
        <f t="shared" si="6"/>
        <v>9.7260097260097295E-2</v>
      </c>
    </row>
    <row r="49" spans="1:14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G49">
        <f t="shared" si="5"/>
        <v>0.14444114444114459</v>
      </c>
      <c r="I49">
        <f t="shared" si="0"/>
        <v>4.1404999999999994</v>
      </c>
      <c r="J49">
        <f t="shared" si="1"/>
        <v>0.43985732243822895</v>
      </c>
      <c r="K49">
        <f t="shared" si="2"/>
        <v>-0.30000000000000071</v>
      </c>
      <c r="L49">
        <f t="shared" si="3"/>
        <v>4.2803573224382276</v>
      </c>
      <c r="N49">
        <f t="shared" si="6"/>
        <v>0.14444114444114459</v>
      </c>
    </row>
    <row r="50" spans="1:14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G50">
        <f t="shared" si="5"/>
        <v>0.14603114603114609</v>
      </c>
      <c r="I50">
        <f t="shared" si="0"/>
        <v>4.1404999999999994</v>
      </c>
      <c r="J50">
        <f t="shared" si="1"/>
        <v>0.43985732243822895</v>
      </c>
      <c r="K50">
        <f t="shared" si="2"/>
        <v>-0.30000000000000071</v>
      </c>
      <c r="L50">
        <f t="shared" si="3"/>
        <v>4.2803573224382276</v>
      </c>
      <c r="N50">
        <f t="shared" si="6"/>
        <v>0.14603114603114609</v>
      </c>
    </row>
    <row r="51" spans="1:14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G51">
        <f t="shared" si="5"/>
        <v>0.12197412197412201</v>
      </c>
      <c r="I51">
        <f t="shared" si="0"/>
        <v>4.1404999999999994</v>
      </c>
      <c r="J51">
        <f t="shared" si="1"/>
        <v>0.43985732243822895</v>
      </c>
      <c r="K51">
        <f t="shared" si="2"/>
        <v>-0.30000000000000071</v>
      </c>
      <c r="L51">
        <f t="shared" si="3"/>
        <v>4.2803573224382276</v>
      </c>
      <c r="N51">
        <f t="shared" si="6"/>
        <v>0.12197412197412201</v>
      </c>
    </row>
    <row r="52" spans="1:14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G52">
        <f t="shared" si="5"/>
        <v>7.5276075276075397E-2</v>
      </c>
      <c r="I52">
        <f t="shared" si="0"/>
        <v>4.1404999999999994</v>
      </c>
      <c r="J52">
        <f t="shared" si="1"/>
        <v>0.43985732243822895</v>
      </c>
      <c r="K52">
        <f t="shared" si="2"/>
        <v>-0.30000000000000071</v>
      </c>
      <c r="L52">
        <f t="shared" si="3"/>
        <v>4.2803573224382276</v>
      </c>
      <c r="N52">
        <f t="shared" si="6"/>
        <v>7.5276075276075397E-2</v>
      </c>
    </row>
    <row r="53" spans="1:14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G53">
        <f t="shared" si="5"/>
        <v>0.19237819237819245</v>
      </c>
      <c r="I53">
        <f t="shared" si="0"/>
        <v>4.1404999999999994</v>
      </c>
      <c r="J53">
        <f t="shared" si="1"/>
        <v>0.43985732243822895</v>
      </c>
      <c r="K53">
        <f t="shared" si="2"/>
        <v>-0.30000000000000071</v>
      </c>
      <c r="L53">
        <f t="shared" si="3"/>
        <v>4.2803573224382276</v>
      </c>
      <c r="N53">
        <f t="shared" si="6"/>
        <v>0.19237819237819245</v>
      </c>
    </row>
    <row r="54" spans="1:14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G54">
        <f t="shared" si="5"/>
        <v>0.22926922926922927</v>
      </c>
      <c r="I54">
        <f t="shared" si="0"/>
        <v>4.1404999999999994</v>
      </c>
      <c r="J54">
        <f t="shared" si="1"/>
        <v>0.43985732243822895</v>
      </c>
      <c r="K54">
        <f t="shared" si="2"/>
        <v>-0.30000000000000071</v>
      </c>
      <c r="L54">
        <f t="shared" si="3"/>
        <v>4.2803573224382276</v>
      </c>
      <c r="N54">
        <f t="shared" si="6"/>
        <v>0.22926922926922927</v>
      </c>
    </row>
    <row r="55" spans="1:14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G55">
        <f t="shared" si="5"/>
        <v>0.25654825654825658</v>
      </c>
      <c r="I55">
        <f t="shared" si="0"/>
        <v>4.1404999999999994</v>
      </c>
      <c r="J55">
        <f t="shared" si="1"/>
        <v>0.43985732243822895</v>
      </c>
      <c r="K55">
        <f t="shared" si="2"/>
        <v>-0.30000000000000071</v>
      </c>
      <c r="L55">
        <f t="shared" si="3"/>
        <v>4.2803573224382276</v>
      </c>
      <c r="N55">
        <f t="shared" si="6"/>
        <v>0.25654825654825658</v>
      </c>
    </row>
    <row r="56" spans="1:14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G56">
        <f t="shared" si="5"/>
        <v>0.21369021369021374</v>
      </c>
      <c r="I56">
        <f t="shared" si="0"/>
        <v>4.1404999999999994</v>
      </c>
      <c r="J56">
        <f t="shared" si="1"/>
        <v>0.43985732243822895</v>
      </c>
      <c r="K56">
        <f t="shared" si="2"/>
        <v>-0.30000000000000071</v>
      </c>
      <c r="L56">
        <f t="shared" si="3"/>
        <v>4.2803573224382276</v>
      </c>
      <c r="N56">
        <f t="shared" si="6"/>
        <v>0.21369021369021374</v>
      </c>
    </row>
    <row r="57" spans="1:14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G57">
        <f t="shared" si="5"/>
        <v>0.10111810111810116</v>
      </c>
      <c r="I57">
        <f t="shared" si="0"/>
        <v>4.1404999999999994</v>
      </c>
      <c r="J57">
        <f t="shared" si="1"/>
        <v>0.43985732243822895</v>
      </c>
      <c r="K57">
        <f t="shared" si="2"/>
        <v>-0.30000000000000071</v>
      </c>
      <c r="L57">
        <f t="shared" si="3"/>
        <v>4.2803573224382276</v>
      </c>
      <c r="N57">
        <f t="shared" si="6"/>
        <v>0.10111810111810116</v>
      </c>
    </row>
    <row r="58" spans="1:14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G58">
        <f t="shared" si="5"/>
        <v>3.3228033228033291E-2</v>
      </c>
      <c r="I58">
        <f t="shared" si="0"/>
        <v>4.1404999999999994</v>
      </c>
      <c r="J58">
        <f t="shared" si="1"/>
        <v>0.43985732243822895</v>
      </c>
      <c r="K58">
        <f t="shared" si="2"/>
        <v>-0.30000000000000071</v>
      </c>
      <c r="L58">
        <f t="shared" si="3"/>
        <v>4.2803573224382276</v>
      </c>
      <c r="N58">
        <f t="shared" si="6"/>
        <v>3.3228033228033291E-2</v>
      </c>
    </row>
    <row r="59" spans="1:14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G59">
        <f t="shared" si="5"/>
        <v>0.1889131889131889</v>
      </c>
      <c r="I59">
        <f t="shared" si="0"/>
        <v>4.1404999999999994</v>
      </c>
      <c r="J59">
        <f t="shared" si="1"/>
        <v>0.43985732243822895</v>
      </c>
      <c r="K59">
        <f t="shared" si="2"/>
        <v>-0.30000000000000071</v>
      </c>
      <c r="L59">
        <f t="shared" si="3"/>
        <v>4.2803573224382276</v>
      </c>
      <c r="N59">
        <f t="shared" si="6"/>
        <v>0.1889131889131889</v>
      </c>
    </row>
    <row r="60" spans="1:14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G60">
        <f t="shared" si="5"/>
        <v>0.1218361218361219</v>
      </c>
      <c r="I60">
        <f t="shared" si="0"/>
        <v>4.1404999999999994</v>
      </c>
      <c r="J60">
        <f t="shared" si="1"/>
        <v>0.43985732243822895</v>
      </c>
      <c r="K60">
        <f t="shared" si="2"/>
        <v>-0.30000000000000071</v>
      </c>
      <c r="L60">
        <f t="shared" si="3"/>
        <v>4.2803573224382276</v>
      </c>
      <c r="N60">
        <f t="shared" si="6"/>
        <v>0.1218361218361219</v>
      </c>
    </row>
    <row r="61" spans="1:14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G61">
        <f t="shared" si="5"/>
        <v>9.9591099591099588E-2</v>
      </c>
      <c r="I61">
        <f t="shared" si="0"/>
        <v>4.1404999999999994</v>
      </c>
      <c r="J61">
        <f t="shared" si="1"/>
        <v>0.43985732243822895</v>
      </c>
      <c r="K61">
        <f t="shared" si="2"/>
        <v>-0.30000000000000071</v>
      </c>
      <c r="L61">
        <f t="shared" si="3"/>
        <v>4.2803573224382276</v>
      </c>
      <c r="N61">
        <f t="shared" si="6"/>
        <v>9.9591099591099588E-2</v>
      </c>
    </row>
    <row r="62" spans="1:14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G62">
        <f t="shared" si="5"/>
        <v>0.17869517869517884</v>
      </c>
      <c r="I62">
        <f t="shared" si="0"/>
        <v>7.2904999999999989</v>
      </c>
      <c r="J62">
        <f t="shared" si="1"/>
        <v>-9.2156901541862624E-2</v>
      </c>
      <c r="K62">
        <f t="shared" si="2"/>
        <v>-0.30000000000000071</v>
      </c>
      <c r="L62">
        <f t="shared" si="3"/>
        <v>6.8983430984581355</v>
      </c>
      <c r="N62">
        <f t="shared" si="6"/>
        <v>0.17869517869517884</v>
      </c>
    </row>
    <row r="63" spans="1:14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G63">
        <f t="shared" si="5"/>
        <v>0.22195822195822207</v>
      </c>
      <c r="I63">
        <f t="shared" si="0"/>
        <v>7.2904999999999989</v>
      </c>
      <c r="J63">
        <f t="shared" si="1"/>
        <v>-9.2156901541862624E-2</v>
      </c>
      <c r="K63">
        <f t="shared" si="2"/>
        <v>-0.30000000000000071</v>
      </c>
      <c r="L63">
        <f t="shared" si="3"/>
        <v>6.8983430984581355</v>
      </c>
      <c r="N63">
        <f t="shared" si="6"/>
        <v>0.22195822195822207</v>
      </c>
    </row>
    <row r="64" spans="1:14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G64">
        <f t="shared" si="5"/>
        <v>0.20695520695520697</v>
      </c>
      <c r="I64">
        <f t="shared" si="0"/>
        <v>7.2904999999999989</v>
      </c>
      <c r="J64">
        <f t="shared" si="1"/>
        <v>-9.2156901541862624E-2</v>
      </c>
      <c r="K64">
        <f t="shared" si="2"/>
        <v>-0.30000000000000071</v>
      </c>
      <c r="L64">
        <f t="shared" si="3"/>
        <v>6.8983430984581355</v>
      </c>
      <c r="N64">
        <f t="shared" si="6"/>
        <v>0.20695520695520697</v>
      </c>
    </row>
    <row r="65" spans="1:14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G65">
        <f t="shared" si="5"/>
        <v>0.12630312630312629</v>
      </c>
      <c r="I65">
        <f t="shared" si="0"/>
        <v>7.2904999999999989</v>
      </c>
      <c r="J65">
        <f t="shared" si="1"/>
        <v>-9.2156901541862624E-2</v>
      </c>
      <c r="K65">
        <f t="shared" si="2"/>
        <v>-0.30000000000000071</v>
      </c>
      <c r="L65">
        <f t="shared" si="3"/>
        <v>6.8983430984581355</v>
      </c>
      <c r="N65">
        <f t="shared" si="6"/>
        <v>0.12630312630312629</v>
      </c>
    </row>
    <row r="66" spans="1:14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G66">
        <f t="shared" si="5"/>
        <v>0.1312471312471313</v>
      </c>
      <c r="I66">
        <f t="shared" ref="I66:I129" si="7">(E66-0.17)*$S$2</f>
        <v>7.2904999999999989</v>
      </c>
      <c r="J66">
        <f t="shared" ref="J66:J129" si="8">(8-D66)*$S$4</f>
        <v>-9.2156901541862624E-2</v>
      </c>
      <c r="K66">
        <f t="shared" ref="K66:K129" si="9">(C66-20)*$S$3</f>
        <v>-0.30000000000000071</v>
      </c>
      <c r="L66">
        <f t="shared" ref="L66:L129" si="10">SUM(I66:K66)+($V$2*(J66*K66))</f>
        <v>6.8983430984581355</v>
      </c>
      <c r="N66">
        <f t="shared" ref="N66:N83" si="11">G66</f>
        <v>0.1312471312471313</v>
      </c>
    </row>
    <row r="67" spans="1:14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G67">
        <f t="shared" ref="G67:G130" si="12">($F$343-F67)/$F$343</f>
        <v>0.16843216843216843</v>
      </c>
      <c r="I67">
        <f t="shared" si="7"/>
        <v>7.2904999999999989</v>
      </c>
      <c r="J67">
        <f t="shared" si="8"/>
        <v>-9.2156901541862624E-2</v>
      </c>
      <c r="K67">
        <f t="shared" si="9"/>
        <v>-0.30000000000000071</v>
      </c>
      <c r="L67">
        <f t="shared" si="10"/>
        <v>6.8983430984581355</v>
      </c>
      <c r="N67">
        <f t="shared" si="11"/>
        <v>0.16843216843216843</v>
      </c>
    </row>
    <row r="68" spans="1:14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G68">
        <f t="shared" si="12"/>
        <v>0.19862119862119876</v>
      </c>
      <c r="I68">
        <f t="shared" si="7"/>
        <v>7.2904999999999989</v>
      </c>
      <c r="J68">
        <f t="shared" si="8"/>
        <v>-9.2156901541862624E-2</v>
      </c>
      <c r="K68">
        <f t="shared" si="9"/>
        <v>-0.30000000000000071</v>
      </c>
      <c r="L68">
        <f t="shared" si="10"/>
        <v>6.8983430984581355</v>
      </c>
      <c r="N68">
        <f t="shared" si="11"/>
        <v>0.19862119862119876</v>
      </c>
    </row>
    <row r="69" spans="1:14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G69">
        <f t="shared" si="12"/>
        <v>0.20203820203820202</v>
      </c>
      <c r="I69">
        <f t="shared" si="7"/>
        <v>7.2904999999999989</v>
      </c>
      <c r="J69">
        <f t="shared" si="8"/>
        <v>-9.2156901541862624E-2</v>
      </c>
      <c r="K69">
        <f t="shared" si="9"/>
        <v>-0.30000000000000071</v>
      </c>
      <c r="L69">
        <f t="shared" si="10"/>
        <v>6.8983430984581355</v>
      </c>
      <c r="N69">
        <f t="shared" si="11"/>
        <v>0.20203820203820202</v>
      </c>
    </row>
    <row r="70" spans="1:14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G70">
        <f t="shared" si="12"/>
        <v>0.21662721662721662</v>
      </c>
      <c r="I70">
        <f t="shared" si="7"/>
        <v>7.2904999999999989</v>
      </c>
      <c r="J70">
        <f t="shared" si="8"/>
        <v>-9.2156901541862624E-2</v>
      </c>
      <c r="K70">
        <f t="shared" si="9"/>
        <v>-0.30000000000000071</v>
      </c>
      <c r="L70">
        <f t="shared" si="10"/>
        <v>6.8983430984581355</v>
      </c>
      <c r="N70">
        <f t="shared" si="11"/>
        <v>0.21662721662721662</v>
      </c>
    </row>
    <row r="71" spans="1:14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G71">
        <f t="shared" si="12"/>
        <v>0.22974622974622988</v>
      </c>
      <c r="I71">
        <f t="shared" si="7"/>
        <v>7.2904999999999989</v>
      </c>
      <c r="J71">
        <f t="shared" si="8"/>
        <v>-9.2156901541862624E-2</v>
      </c>
      <c r="K71">
        <f t="shared" si="9"/>
        <v>-0.30000000000000071</v>
      </c>
      <c r="L71">
        <f t="shared" si="10"/>
        <v>6.8983430984581355</v>
      </c>
      <c r="N71">
        <f t="shared" si="11"/>
        <v>0.22974622974622988</v>
      </c>
    </row>
    <row r="72" spans="1:14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G72">
        <f t="shared" si="12"/>
        <v>0.21427221427221435</v>
      </c>
      <c r="I72">
        <f t="shared" si="7"/>
        <v>7.2904999999999989</v>
      </c>
      <c r="J72">
        <f t="shared" si="8"/>
        <v>-9.2156901541862624E-2</v>
      </c>
      <c r="K72">
        <f t="shared" si="9"/>
        <v>-0.30000000000000071</v>
      </c>
      <c r="L72">
        <f t="shared" si="10"/>
        <v>6.8983430984581355</v>
      </c>
      <c r="N72">
        <f t="shared" si="11"/>
        <v>0.21427221427221435</v>
      </c>
    </row>
    <row r="73" spans="1:14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G73">
        <f t="shared" si="12"/>
        <v>0.20742920742920751</v>
      </c>
      <c r="I73">
        <f t="shared" si="7"/>
        <v>7.2904999999999989</v>
      </c>
      <c r="J73">
        <f t="shared" si="8"/>
        <v>-9.2156901541862624E-2</v>
      </c>
      <c r="K73">
        <f t="shared" si="9"/>
        <v>-0.30000000000000071</v>
      </c>
      <c r="L73">
        <f t="shared" si="10"/>
        <v>6.8983430984581355</v>
      </c>
      <c r="N73">
        <f t="shared" si="11"/>
        <v>0.20742920742920751</v>
      </c>
    </row>
    <row r="74" spans="1:14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G74">
        <f t="shared" si="12"/>
        <v>0.24478524478524485</v>
      </c>
      <c r="I74">
        <f t="shared" si="7"/>
        <v>7.2904999999999989</v>
      </c>
      <c r="J74">
        <f t="shared" si="8"/>
        <v>-9.2156901541862624E-2</v>
      </c>
      <c r="K74">
        <f t="shared" si="9"/>
        <v>-0.30000000000000071</v>
      </c>
      <c r="L74">
        <f t="shared" si="10"/>
        <v>6.8983430984581355</v>
      </c>
      <c r="N74">
        <f t="shared" si="11"/>
        <v>0.24478524478524485</v>
      </c>
    </row>
    <row r="75" spans="1:14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G75">
        <f t="shared" si="12"/>
        <v>0.25155925155925157</v>
      </c>
      <c r="I75">
        <f t="shared" si="7"/>
        <v>7.2904999999999989</v>
      </c>
      <c r="J75">
        <f t="shared" si="8"/>
        <v>-9.2156901541862624E-2</v>
      </c>
      <c r="K75">
        <f t="shared" si="9"/>
        <v>-0.30000000000000071</v>
      </c>
      <c r="L75">
        <f t="shared" si="10"/>
        <v>6.8983430984581355</v>
      </c>
      <c r="N75">
        <f t="shared" si="11"/>
        <v>0.25155925155925157</v>
      </c>
    </row>
    <row r="76" spans="1:14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G76">
        <f t="shared" si="12"/>
        <v>0.16445416445416455</v>
      </c>
      <c r="I76">
        <f t="shared" si="7"/>
        <v>7.2904999999999989</v>
      </c>
      <c r="J76">
        <f t="shared" si="8"/>
        <v>-9.2156901541862624E-2</v>
      </c>
      <c r="K76">
        <f t="shared" si="9"/>
        <v>-0.30000000000000071</v>
      </c>
      <c r="L76">
        <f t="shared" si="10"/>
        <v>6.8983430984581355</v>
      </c>
      <c r="N76">
        <f t="shared" si="11"/>
        <v>0.16445416445416455</v>
      </c>
    </row>
    <row r="77" spans="1:14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G77">
        <f t="shared" si="12"/>
        <v>0.18346518346518353</v>
      </c>
      <c r="I77">
        <f t="shared" si="7"/>
        <v>7.2904999999999989</v>
      </c>
      <c r="J77">
        <f t="shared" si="8"/>
        <v>-9.2156901541862624E-2</v>
      </c>
      <c r="K77">
        <f t="shared" si="9"/>
        <v>-0.30000000000000071</v>
      </c>
      <c r="L77">
        <f t="shared" si="10"/>
        <v>6.8983430984581355</v>
      </c>
      <c r="N77">
        <f t="shared" si="11"/>
        <v>0.18346518346518353</v>
      </c>
    </row>
    <row r="78" spans="1:14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G78">
        <f t="shared" si="12"/>
        <v>0.17519717519717518</v>
      </c>
      <c r="I78">
        <f t="shared" si="7"/>
        <v>7.2904999999999989</v>
      </c>
      <c r="J78">
        <f t="shared" si="8"/>
        <v>-9.2156901541862624E-2</v>
      </c>
      <c r="K78">
        <f t="shared" si="9"/>
        <v>-0.30000000000000071</v>
      </c>
      <c r="L78">
        <f t="shared" si="10"/>
        <v>6.8983430984581355</v>
      </c>
      <c r="N78">
        <f t="shared" si="11"/>
        <v>0.17519717519717518</v>
      </c>
    </row>
    <row r="79" spans="1:14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G79">
        <f t="shared" si="12"/>
        <v>0.18216318216318217</v>
      </c>
      <c r="I79">
        <f t="shared" si="7"/>
        <v>7.2904999999999989</v>
      </c>
      <c r="J79">
        <f t="shared" si="8"/>
        <v>-9.2156901541862624E-2</v>
      </c>
      <c r="K79">
        <f t="shared" si="9"/>
        <v>-0.30000000000000071</v>
      </c>
      <c r="L79">
        <f t="shared" si="10"/>
        <v>6.8983430984581355</v>
      </c>
      <c r="N79">
        <f t="shared" si="11"/>
        <v>0.18216318216318217</v>
      </c>
    </row>
    <row r="80" spans="1:14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G80">
        <f t="shared" si="12"/>
        <v>0.17678417678417693</v>
      </c>
      <c r="I80">
        <f t="shared" si="7"/>
        <v>7.2904999999999989</v>
      </c>
      <c r="J80">
        <f t="shared" si="8"/>
        <v>-9.2156901541862624E-2</v>
      </c>
      <c r="K80">
        <f t="shared" si="9"/>
        <v>-0.30000000000000071</v>
      </c>
      <c r="L80">
        <f t="shared" si="10"/>
        <v>6.8983430984581355</v>
      </c>
      <c r="N80">
        <f t="shared" si="11"/>
        <v>0.17678417678417693</v>
      </c>
    </row>
    <row r="81" spans="1:14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G81">
        <f t="shared" si="12"/>
        <v>0.248886248886249</v>
      </c>
      <c r="I81">
        <f t="shared" si="7"/>
        <v>7.2904999999999989</v>
      </c>
      <c r="J81">
        <f t="shared" si="8"/>
        <v>-9.2156901541862624E-2</v>
      </c>
      <c r="K81">
        <f t="shared" si="9"/>
        <v>-0.30000000000000071</v>
      </c>
      <c r="L81">
        <f t="shared" si="10"/>
        <v>6.8983430984581355</v>
      </c>
      <c r="N81">
        <f t="shared" si="11"/>
        <v>0.248886248886249</v>
      </c>
    </row>
    <row r="82" spans="1:14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G82">
        <f t="shared" si="12"/>
        <v>0.23805023805023809</v>
      </c>
      <c r="I82">
        <f t="shared" si="7"/>
        <v>7.2904999999999989</v>
      </c>
      <c r="J82">
        <f t="shared" si="8"/>
        <v>-9.2156901541862624E-2</v>
      </c>
      <c r="K82">
        <f t="shared" si="9"/>
        <v>-0.30000000000000071</v>
      </c>
      <c r="L82">
        <f t="shared" si="10"/>
        <v>6.8983430984581355</v>
      </c>
      <c r="N82">
        <f t="shared" si="11"/>
        <v>0.23805023805023809</v>
      </c>
    </row>
    <row r="83" spans="1:14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G83">
        <f t="shared" si="12"/>
        <v>7.0302070302070377E-2</v>
      </c>
      <c r="I83">
        <f t="shared" si="7"/>
        <v>6.9999999999999958E-3</v>
      </c>
      <c r="J83">
        <f t="shared" si="8"/>
        <v>0.35585504129813117</v>
      </c>
      <c r="K83">
        <f t="shared" si="9"/>
        <v>-0.30000000000000071</v>
      </c>
      <c r="L83">
        <f t="shared" si="10"/>
        <v>6.2855041298130465E-2</v>
      </c>
      <c r="N83">
        <f t="shared" si="11"/>
        <v>7.0302070302070377E-2</v>
      </c>
    </row>
    <row r="84" spans="1:14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G84">
        <f t="shared" si="12"/>
        <v>7.7016077016077086E-2</v>
      </c>
      <c r="I84">
        <f t="shared" si="7"/>
        <v>6.9999999999999958E-3</v>
      </c>
      <c r="J84">
        <f t="shared" si="8"/>
        <v>0.35585504129813117</v>
      </c>
      <c r="K84">
        <f t="shared" si="9"/>
        <v>-0.30000000000000071</v>
      </c>
      <c r="L84">
        <f t="shared" si="10"/>
        <v>6.2855041298130465E-2</v>
      </c>
      <c r="N84">
        <f t="shared" ref="N84:N133" si="13">G84</f>
        <v>7.7016077016077086E-2</v>
      </c>
    </row>
    <row r="85" spans="1:14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G85">
        <f t="shared" si="12"/>
        <v>0.15660015660015672</v>
      </c>
      <c r="I85">
        <f t="shared" si="7"/>
        <v>6.9999999999999958E-3</v>
      </c>
      <c r="J85">
        <f t="shared" si="8"/>
        <v>0.35585504129813117</v>
      </c>
      <c r="K85">
        <f t="shared" si="9"/>
        <v>-0.30000000000000071</v>
      </c>
      <c r="L85">
        <f t="shared" si="10"/>
        <v>6.2855041298130465E-2</v>
      </c>
      <c r="N85">
        <f t="shared" si="13"/>
        <v>0.15660015660015672</v>
      </c>
    </row>
    <row r="86" spans="1:14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G86">
        <f t="shared" si="12"/>
        <v>8.8863088863088968E-2</v>
      </c>
      <c r="I86">
        <f t="shared" si="7"/>
        <v>6.9999999999999958E-3</v>
      </c>
      <c r="J86">
        <f t="shared" si="8"/>
        <v>0.35585504129813117</v>
      </c>
      <c r="K86">
        <f t="shared" si="9"/>
        <v>-0.30000000000000071</v>
      </c>
      <c r="L86">
        <f t="shared" si="10"/>
        <v>6.2855041298130465E-2</v>
      </c>
      <c r="N86">
        <f t="shared" si="13"/>
        <v>8.8863088863088968E-2</v>
      </c>
    </row>
    <row r="87" spans="1:14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G87">
        <f t="shared" si="12"/>
        <v>0.15013815013815027</v>
      </c>
      <c r="I87">
        <f t="shared" si="7"/>
        <v>6.9999999999999958E-3</v>
      </c>
      <c r="J87">
        <f t="shared" si="8"/>
        <v>0.35585504129813117</v>
      </c>
      <c r="K87">
        <f t="shared" si="9"/>
        <v>-0.30000000000000071</v>
      </c>
      <c r="L87">
        <f t="shared" si="10"/>
        <v>6.2855041298130465E-2</v>
      </c>
      <c r="N87">
        <f t="shared" si="13"/>
        <v>0.15013815013815027</v>
      </c>
    </row>
    <row r="88" spans="1:14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G88">
        <f t="shared" si="12"/>
        <v>0.19714519714519724</v>
      </c>
      <c r="I88">
        <f t="shared" si="7"/>
        <v>6.9999999999999958E-3</v>
      </c>
      <c r="J88">
        <f t="shared" si="8"/>
        <v>0.35585504129813117</v>
      </c>
      <c r="K88">
        <f t="shared" si="9"/>
        <v>-0.30000000000000071</v>
      </c>
      <c r="L88">
        <f t="shared" si="10"/>
        <v>6.2855041298130465E-2</v>
      </c>
      <c r="N88">
        <f t="shared" si="13"/>
        <v>0.19714519714519724</v>
      </c>
    </row>
    <row r="89" spans="1:14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G89">
        <f t="shared" si="12"/>
        <v>3.9420039420039549E-2</v>
      </c>
      <c r="I89">
        <f t="shared" si="7"/>
        <v>6.9999999999999958E-3</v>
      </c>
      <c r="J89">
        <f t="shared" si="8"/>
        <v>0.35585504129813117</v>
      </c>
      <c r="K89">
        <f t="shared" si="9"/>
        <v>-0.30000000000000071</v>
      </c>
      <c r="L89">
        <f t="shared" si="10"/>
        <v>6.2855041298130465E-2</v>
      </c>
      <c r="N89">
        <f t="shared" si="13"/>
        <v>3.9420039420039549E-2</v>
      </c>
    </row>
    <row r="90" spans="1:14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G90">
        <f t="shared" si="12"/>
        <v>7.8120078120078179E-2</v>
      </c>
      <c r="I90">
        <f t="shared" si="7"/>
        <v>6.9999999999999958E-3</v>
      </c>
      <c r="J90">
        <f t="shared" si="8"/>
        <v>0.35585504129813117</v>
      </c>
      <c r="K90">
        <f t="shared" si="9"/>
        <v>-0.30000000000000071</v>
      </c>
      <c r="L90">
        <f t="shared" si="10"/>
        <v>6.2855041298130465E-2</v>
      </c>
      <c r="N90">
        <f t="shared" si="13"/>
        <v>7.8120078120078179E-2</v>
      </c>
    </row>
    <row r="91" spans="1:14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G91">
        <f t="shared" si="12"/>
        <v>0.22653322653322658</v>
      </c>
      <c r="I91">
        <f t="shared" si="7"/>
        <v>6.9999999999999958E-3</v>
      </c>
      <c r="J91">
        <f t="shared" si="8"/>
        <v>0.35585504129813117</v>
      </c>
      <c r="K91">
        <f t="shared" si="9"/>
        <v>-0.30000000000000071</v>
      </c>
      <c r="L91">
        <f t="shared" si="10"/>
        <v>6.2855041298130465E-2</v>
      </c>
      <c r="N91">
        <f t="shared" si="13"/>
        <v>0.22653322653322658</v>
      </c>
    </row>
    <row r="92" spans="1:14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G92">
        <f t="shared" si="12"/>
        <v>0.17335217335217348</v>
      </c>
      <c r="I92">
        <f t="shared" si="7"/>
        <v>6.9999999999999958E-3</v>
      </c>
      <c r="J92">
        <f t="shared" si="8"/>
        <v>0.35585504129813117</v>
      </c>
      <c r="K92">
        <f t="shared" si="9"/>
        <v>-0.30000000000000071</v>
      </c>
      <c r="L92">
        <f t="shared" si="10"/>
        <v>6.2855041298130465E-2</v>
      </c>
      <c r="N92">
        <f t="shared" si="13"/>
        <v>0.17335217335217348</v>
      </c>
    </row>
    <row r="93" spans="1:14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G93">
        <f t="shared" si="12"/>
        <v>7.6245076245076301E-2</v>
      </c>
      <c r="I93">
        <f t="shared" si="7"/>
        <v>6.9999999999999958E-3</v>
      </c>
      <c r="J93">
        <f t="shared" si="8"/>
        <v>0.35585504129813117</v>
      </c>
      <c r="K93">
        <f t="shared" si="9"/>
        <v>-0.30000000000000071</v>
      </c>
      <c r="L93">
        <f t="shared" si="10"/>
        <v>6.2855041298130465E-2</v>
      </c>
      <c r="N93">
        <f t="shared" si="13"/>
        <v>7.6245076245076301E-2</v>
      </c>
    </row>
    <row r="94" spans="1:14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G94">
        <f t="shared" si="12"/>
        <v>0.11988011988011998</v>
      </c>
      <c r="I94">
        <f t="shared" si="7"/>
        <v>3.4999999999999931E-3</v>
      </c>
      <c r="J94">
        <f t="shared" si="8"/>
        <v>3.0103579775645528</v>
      </c>
      <c r="K94">
        <f t="shared" si="9"/>
        <v>-0.30000000000000071</v>
      </c>
      <c r="L94">
        <f t="shared" si="10"/>
        <v>2.7138579775645519</v>
      </c>
      <c r="N94">
        <f t="shared" si="13"/>
        <v>0.11988011988011998</v>
      </c>
    </row>
    <row r="95" spans="1:14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G95">
        <f t="shared" si="12"/>
        <v>9.9945099945100105E-2</v>
      </c>
      <c r="I95">
        <f t="shared" si="7"/>
        <v>3.4999999999999931E-3</v>
      </c>
      <c r="J95">
        <f t="shared" si="8"/>
        <v>3.0103579775645528</v>
      </c>
      <c r="K95">
        <f t="shared" si="9"/>
        <v>-0.30000000000000071</v>
      </c>
      <c r="L95">
        <f t="shared" si="10"/>
        <v>2.7138579775645519</v>
      </c>
      <c r="N95">
        <f t="shared" si="13"/>
        <v>9.9945099945100105E-2</v>
      </c>
    </row>
    <row r="96" spans="1:14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G96">
        <f t="shared" si="12"/>
        <v>2.6313026313026355E-2</v>
      </c>
      <c r="I96">
        <f t="shared" si="7"/>
        <v>3.4999999999999931E-3</v>
      </c>
      <c r="J96">
        <f t="shared" si="8"/>
        <v>3.0103579775645528</v>
      </c>
      <c r="K96">
        <f t="shared" si="9"/>
        <v>-0.30000000000000071</v>
      </c>
      <c r="L96">
        <f t="shared" si="10"/>
        <v>2.7138579775645519</v>
      </c>
      <c r="N96">
        <f t="shared" si="13"/>
        <v>2.6313026313026355E-2</v>
      </c>
    </row>
    <row r="97" spans="1:14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G97">
        <f t="shared" si="12"/>
        <v>0.11459711459711462</v>
      </c>
      <c r="I97">
        <f t="shared" si="7"/>
        <v>3.4999999999999931E-3</v>
      </c>
      <c r="J97">
        <f t="shared" si="8"/>
        <v>3.0103579775645528</v>
      </c>
      <c r="K97">
        <f t="shared" si="9"/>
        <v>-0.30000000000000071</v>
      </c>
      <c r="L97">
        <f t="shared" si="10"/>
        <v>2.7138579775645519</v>
      </c>
      <c r="N97">
        <f t="shared" si="13"/>
        <v>0.11459711459711462</v>
      </c>
    </row>
    <row r="98" spans="1:14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G98">
        <f t="shared" si="12"/>
        <v>0.14822114822114832</v>
      </c>
      <c r="I98">
        <f t="shared" si="7"/>
        <v>3.4999999999999931E-3</v>
      </c>
      <c r="J98">
        <f t="shared" si="8"/>
        <v>3.0103579775645528</v>
      </c>
      <c r="K98">
        <f t="shared" si="9"/>
        <v>-0.30000000000000071</v>
      </c>
      <c r="L98">
        <f t="shared" si="10"/>
        <v>2.7138579775645519</v>
      </c>
      <c r="N98">
        <f t="shared" si="13"/>
        <v>0.14822114822114832</v>
      </c>
    </row>
    <row r="99" spans="1:14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G99">
        <f t="shared" si="12"/>
        <v>0.11827211827211837</v>
      </c>
      <c r="I99">
        <f t="shared" si="7"/>
        <v>3.4999999999999931E-3</v>
      </c>
      <c r="J99">
        <f t="shared" si="8"/>
        <v>3.0103579775645528</v>
      </c>
      <c r="K99">
        <f t="shared" si="9"/>
        <v>-0.30000000000000071</v>
      </c>
      <c r="L99">
        <f t="shared" si="10"/>
        <v>2.7138579775645519</v>
      </c>
      <c r="N99">
        <f t="shared" si="13"/>
        <v>0.11827211827211837</v>
      </c>
    </row>
    <row r="100" spans="1:14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G100">
        <f t="shared" si="12"/>
        <v>8.0295080295080423E-2</v>
      </c>
      <c r="I100">
        <f t="shared" si="7"/>
        <v>3.4999999999999931E-3</v>
      </c>
      <c r="J100">
        <f t="shared" si="8"/>
        <v>3.0103579775645528</v>
      </c>
      <c r="K100">
        <f t="shared" si="9"/>
        <v>-0.30000000000000071</v>
      </c>
      <c r="L100">
        <f t="shared" si="10"/>
        <v>2.7138579775645519</v>
      </c>
      <c r="N100">
        <f t="shared" si="13"/>
        <v>8.0295080295080423E-2</v>
      </c>
    </row>
    <row r="101" spans="1:14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G101">
        <f t="shared" si="12"/>
        <v>0.13963513963513968</v>
      </c>
      <c r="I101">
        <f t="shared" si="7"/>
        <v>3.4999999999999931E-3</v>
      </c>
      <c r="J101">
        <f t="shared" si="8"/>
        <v>3.0103579775645528</v>
      </c>
      <c r="K101">
        <f t="shared" si="9"/>
        <v>-0.30000000000000071</v>
      </c>
      <c r="L101">
        <f t="shared" si="10"/>
        <v>2.7138579775645519</v>
      </c>
      <c r="N101">
        <f t="shared" si="13"/>
        <v>0.13963513963513968</v>
      </c>
    </row>
    <row r="102" spans="1:14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G102">
        <f t="shared" si="12"/>
        <v>9.0018090018090094E-2</v>
      </c>
      <c r="I102">
        <f t="shared" si="7"/>
        <v>3.4999999999999931E-3</v>
      </c>
      <c r="J102">
        <f t="shared" si="8"/>
        <v>6.6365695458465197</v>
      </c>
      <c r="K102">
        <f t="shared" si="9"/>
        <v>-0.30000000000000071</v>
      </c>
      <c r="L102">
        <f t="shared" si="10"/>
        <v>6.3400695458465188</v>
      </c>
      <c r="N102">
        <f t="shared" si="13"/>
        <v>9.0018090018090094E-2</v>
      </c>
    </row>
    <row r="103" spans="1:14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G103">
        <f t="shared" si="12"/>
        <v>6.7830067830067869E-2</v>
      </c>
      <c r="I103">
        <f t="shared" si="7"/>
        <v>3.4999999999999931E-3</v>
      </c>
      <c r="J103">
        <f t="shared" si="8"/>
        <v>6.6365695458465197</v>
      </c>
      <c r="K103">
        <f t="shared" si="9"/>
        <v>-0.30000000000000071</v>
      </c>
      <c r="L103">
        <f t="shared" si="10"/>
        <v>6.3400695458465188</v>
      </c>
      <c r="N103">
        <f t="shared" si="13"/>
        <v>6.7830067830067869E-2</v>
      </c>
    </row>
    <row r="104" spans="1:14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G104">
        <f t="shared" si="12"/>
        <v>0.12582012582012597</v>
      </c>
      <c r="I104">
        <f t="shared" si="7"/>
        <v>3.4999999999999931E-3</v>
      </c>
      <c r="J104">
        <f t="shared" si="8"/>
        <v>6.6365695458465197</v>
      </c>
      <c r="K104">
        <f t="shared" si="9"/>
        <v>-0.30000000000000071</v>
      </c>
      <c r="L104">
        <f t="shared" si="10"/>
        <v>6.3400695458465188</v>
      </c>
      <c r="N104">
        <f t="shared" si="13"/>
        <v>0.12582012582012597</v>
      </c>
    </row>
    <row r="105" spans="1:14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G105">
        <f t="shared" si="12"/>
        <v>8.5638085638085781E-2</v>
      </c>
      <c r="I105">
        <f t="shared" si="7"/>
        <v>3.4999999999999931E-3</v>
      </c>
      <c r="J105">
        <f t="shared" si="8"/>
        <v>6.6365695458465197</v>
      </c>
      <c r="K105">
        <f t="shared" si="9"/>
        <v>-0.30000000000000071</v>
      </c>
      <c r="L105">
        <f t="shared" si="10"/>
        <v>6.3400695458465188</v>
      </c>
      <c r="N105">
        <f t="shared" si="13"/>
        <v>8.5638085638085781E-2</v>
      </c>
    </row>
    <row r="106" spans="1:14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G106">
        <f t="shared" si="12"/>
        <v>0.12505512505512506</v>
      </c>
      <c r="I106">
        <f t="shared" si="7"/>
        <v>3.4999999999999931E-3</v>
      </c>
      <c r="J106">
        <f t="shared" si="8"/>
        <v>6.6365695458465197</v>
      </c>
      <c r="K106">
        <f t="shared" si="9"/>
        <v>-0.30000000000000071</v>
      </c>
      <c r="L106">
        <f t="shared" si="10"/>
        <v>6.3400695458465188</v>
      </c>
      <c r="N106">
        <f t="shared" si="13"/>
        <v>0.12505512505512506</v>
      </c>
    </row>
    <row r="107" spans="1:14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G107">
        <f t="shared" si="12"/>
        <v>0.11157611157611159</v>
      </c>
      <c r="I107">
        <f t="shared" si="7"/>
        <v>3.4999999999999931E-3</v>
      </c>
      <c r="J107">
        <f t="shared" si="8"/>
        <v>6.6365695458465197</v>
      </c>
      <c r="K107">
        <f t="shared" si="9"/>
        <v>-0.30000000000000071</v>
      </c>
      <c r="L107">
        <f t="shared" si="10"/>
        <v>6.3400695458465188</v>
      </c>
      <c r="N107">
        <f t="shared" si="13"/>
        <v>0.11157611157611159</v>
      </c>
    </row>
    <row r="108" spans="1:14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G108">
        <f t="shared" si="12"/>
        <v>5.7864057864057891E-2</v>
      </c>
      <c r="I108">
        <f t="shared" si="7"/>
        <v>3.4999999999999931E-3</v>
      </c>
      <c r="J108">
        <f t="shared" si="8"/>
        <v>6.6365695458465197</v>
      </c>
      <c r="K108">
        <f t="shared" si="9"/>
        <v>-0.30000000000000071</v>
      </c>
      <c r="L108">
        <f t="shared" si="10"/>
        <v>6.3400695458465188</v>
      </c>
      <c r="N108">
        <f t="shared" si="13"/>
        <v>5.7864057864057891E-2</v>
      </c>
    </row>
    <row r="109" spans="1:14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G109">
        <f t="shared" si="12"/>
        <v>5.2425052425052486E-2</v>
      </c>
      <c r="I109">
        <f t="shared" si="7"/>
        <v>3.4999999999999931E-3</v>
      </c>
      <c r="J109">
        <f t="shared" si="8"/>
        <v>6.6365695458465197</v>
      </c>
      <c r="K109">
        <f t="shared" si="9"/>
        <v>-0.30000000000000071</v>
      </c>
      <c r="L109">
        <f t="shared" si="10"/>
        <v>6.3400695458465188</v>
      </c>
      <c r="N109">
        <f t="shared" si="13"/>
        <v>5.2425052425052486E-2</v>
      </c>
    </row>
    <row r="110" spans="1:14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G110">
        <f t="shared" si="12"/>
        <v>8.8752088752088759E-2</v>
      </c>
      <c r="I110">
        <f t="shared" si="7"/>
        <v>3.4999999999999931E-3</v>
      </c>
      <c r="J110">
        <f t="shared" si="8"/>
        <v>6.6365695458465197</v>
      </c>
      <c r="K110">
        <f t="shared" si="9"/>
        <v>-0.30000000000000071</v>
      </c>
      <c r="L110">
        <f t="shared" si="10"/>
        <v>6.3400695458465188</v>
      </c>
      <c r="N110">
        <f t="shared" si="13"/>
        <v>8.8752088752088759E-2</v>
      </c>
    </row>
    <row r="111" spans="1:14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G111">
        <f t="shared" si="12"/>
        <v>8.5953085953085984E-2</v>
      </c>
      <c r="I111">
        <f t="shared" si="7"/>
        <v>3.4999999999999931E-3</v>
      </c>
      <c r="J111">
        <f t="shared" si="8"/>
        <v>8.369906071570405</v>
      </c>
      <c r="K111">
        <f t="shared" si="9"/>
        <v>-0.30000000000000071</v>
      </c>
      <c r="L111">
        <f t="shared" si="10"/>
        <v>8.073406071570405</v>
      </c>
      <c r="N111">
        <f t="shared" si="13"/>
        <v>8.5953085953085984E-2</v>
      </c>
    </row>
    <row r="112" spans="1:14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G112">
        <f t="shared" si="12"/>
        <v>0.17851217851217854</v>
      </c>
      <c r="I112">
        <f t="shared" si="7"/>
        <v>3.4999999999999931E-3</v>
      </c>
      <c r="J112">
        <f t="shared" si="8"/>
        <v>8.369906071570405</v>
      </c>
      <c r="K112">
        <f t="shared" si="9"/>
        <v>-0.30000000000000071</v>
      </c>
      <c r="L112">
        <f t="shared" si="10"/>
        <v>8.073406071570405</v>
      </c>
      <c r="N112">
        <f t="shared" si="13"/>
        <v>0.17851217851217854</v>
      </c>
    </row>
    <row r="113" spans="1:14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G113">
        <f t="shared" si="12"/>
        <v>9.2046092046092085E-2</v>
      </c>
      <c r="I113">
        <f t="shared" si="7"/>
        <v>3.4999999999999931E-3</v>
      </c>
      <c r="J113">
        <f t="shared" si="8"/>
        <v>8.369906071570405</v>
      </c>
      <c r="K113">
        <f t="shared" si="9"/>
        <v>-0.30000000000000071</v>
      </c>
      <c r="L113">
        <f t="shared" si="10"/>
        <v>8.073406071570405</v>
      </c>
      <c r="N113">
        <f t="shared" si="13"/>
        <v>9.2046092046092085E-2</v>
      </c>
    </row>
    <row r="114" spans="1:14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G114">
        <f t="shared" si="12"/>
        <v>0.22262722262722262</v>
      </c>
      <c r="I114">
        <f t="shared" si="7"/>
        <v>3.4999999999999931E-3</v>
      </c>
      <c r="J114">
        <f t="shared" si="8"/>
        <v>8.369906071570405</v>
      </c>
      <c r="K114">
        <f t="shared" si="9"/>
        <v>-0.30000000000000071</v>
      </c>
      <c r="L114">
        <f t="shared" si="10"/>
        <v>8.073406071570405</v>
      </c>
      <c r="N114">
        <f t="shared" si="13"/>
        <v>0.22262722262722262</v>
      </c>
    </row>
    <row r="115" spans="1:14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G115">
        <f t="shared" si="12"/>
        <v>0.28587628587628594</v>
      </c>
      <c r="I115">
        <f t="shared" si="7"/>
        <v>3.4999999999999931E-3</v>
      </c>
      <c r="J115">
        <f t="shared" si="8"/>
        <v>8.369906071570405</v>
      </c>
      <c r="K115">
        <f t="shared" si="9"/>
        <v>-0.30000000000000071</v>
      </c>
      <c r="L115">
        <f t="shared" si="10"/>
        <v>8.073406071570405</v>
      </c>
      <c r="N115">
        <f t="shared" si="13"/>
        <v>0.28587628587628594</v>
      </c>
    </row>
    <row r="116" spans="1:14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G116">
        <f t="shared" si="12"/>
        <v>0.36977136977136976</v>
      </c>
      <c r="I116">
        <f t="shared" si="7"/>
        <v>3.4999999999999931E-3</v>
      </c>
      <c r="J116">
        <f t="shared" si="8"/>
        <v>8.369906071570405</v>
      </c>
      <c r="K116">
        <f t="shared" si="9"/>
        <v>-0.30000000000000071</v>
      </c>
      <c r="L116">
        <f t="shared" si="10"/>
        <v>8.073406071570405</v>
      </c>
      <c r="N116">
        <f t="shared" si="13"/>
        <v>0.36977136977136976</v>
      </c>
    </row>
    <row r="117" spans="1:14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G117">
        <f t="shared" si="12"/>
        <v>0.35826035826035829</v>
      </c>
      <c r="I117">
        <f t="shared" si="7"/>
        <v>3.4999999999999931E-3</v>
      </c>
      <c r="J117">
        <f t="shared" si="8"/>
        <v>8.369906071570405</v>
      </c>
      <c r="K117">
        <f t="shared" si="9"/>
        <v>-0.30000000000000071</v>
      </c>
      <c r="L117">
        <f t="shared" si="10"/>
        <v>8.073406071570405</v>
      </c>
      <c r="N117">
        <f t="shared" si="13"/>
        <v>0.35826035826035829</v>
      </c>
    </row>
    <row r="118" spans="1:14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G118">
        <f t="shared" si="12"/>
        <v>0.30790230790230794</v>
      </c>
      <c r="I118">
        <f t="shared" si="7"/>
        <v>3.4999999999999931E-3</v>
      </c>
      <c r="J118">
        <f t="shared" si="8"/>
        <v>8.369906071570405</v>
      </c>
      <c r="K118">
        <f t="shared" si="9"/>
        <v>-0.30000000000000071</v>
      </c>
      <c r="L118">
        <f t="shared" si="10"/>
        <v>8.073406071570405</v>
      </c>
      <c r="N118">
        <f t="shared" si="13"/>
        <v>0.30790230790230794</v>
      </c>
    </row>
    <row r="119" spans="1:14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G119">
        <f t="shared" si="12"/>
        <v>8.5824085824085836E-2</v>
      </c>
      <c r="I119">
        <f t="shared" si="7"/>
        <v>3.4999999999999931E-3</v>
      </c>
      <c r="J119">
        <f t="shared" si="8"/>
        <v>8.369906071570405</v>
      </c>
      <c r="K119">
        <f t="shared" si="9"/>
        <v>-0.30000000000000071</v>
      </c>
      <c r="L119">
        <f t="shared" si="10"/>
        <v>8.073406071570405</v>
      </c>
      <c r="N119">
        <f t="shared" si="13"/>
        <v>8.5824085824085836E-2</v>
      </c>
    </row>
    <row r="120" spans="1:14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G120">
        <f t="shared" si="12"/>
        <v>0.12098412098412106</v>
      </c>
      <c r="I120">
        <f t="shared" si="7"/>
        <v>3.4999999999999931E-3</v>
      </c>
      <c r="J120">
        <f t="shared" si="8"/>
        <v>8.369906071570405</v>
      </c>
      <c r="K120">
        <f t="shared" si="9"/>
        <v>-0.30000000000000071</v>
      </c>
      <c r="L120">
        <f t="shared" si="10"/>
        <v>8.073406071570405</v>
      </c>
      <c r="N120">
        <f t="shared" si="13"/>
        <v>0.12098412098412106</v>
      </c>
    </row>
    <row r="121" spans="1:14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G121">
        <f t="shared" si="12"/>
        <v>0.205854205854206</v>
      </c>
      <c r="I121">
        <f t="shared" si="7"/>
        <v>0</v>
      </c>
      <c r="J121">
        <f t="shared" si="8"/>
        <v>9.9352472759738824</v>
      </c>
      <c r="K121">
        <f t="shared" si="9"/>
        <v>-0.30000000000000071</v>
      </c>
      <c r="L121">
        <f t="shared" si="10"/>
        <v>9.6352472759738816</v>
      </c>
      <c r="N121">
        <f t="shared" si="13"/>
        <v>0.205854205854206</v>
      </c>
    </row>
    <row r="122" spans="1:14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G122">
        <f t="shared" si="12"/>
        <v>0.17593517593517605</v>
      </c>
      <c r="I122">
        <f t="shared" si="7"/>
        <v>0</v>
      </c>
      <c r="J122">
        <f t="shared" si="8"/>
        <v>9.9352472759738824</v>
      </c>
      <c r="K122">
        <f t="shared" si="9"/>
        <v>-0.30000000000000071</v>
      </c>
      <c r="L122">
        <f t="shared" si="10"/>
        <v>9.6352472759738816</v>
      </c>
      <c r="N122">
        <f t="shared" si="13"/>
        <v>0.17593517593517605</v>
      </c>
    </row>
    <row r="123" spans="1:14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G123">
        <f t="shared" si="12"/>
        <v>0.23281223281223293</v>
      </c>
      <c r="I123">
        <f t="shared" si="7"/>
        <v>0</v>
      </c>
      <c r="J123">
        <f t="shared" si="8"/>
        <v>9.9352472759738824</v>
      </c>
      <c r="K123">
        <f t="shared" si="9"/>
        <v>-0.30000000000000071</v>
      </c>
      <c r="L123">
        <f t="shared" si="10"/>
        <v>9.6352472759738816</v>
      </c>
      <c r="N123">
        <f t="shared" si="13"/>
        <v>0.23281223281223293</v>
      </c>
    </row>
    <row r="124" spans="1:14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G124">
        <f t="shared" si="12"/>
        <v>0.1909771909771911</v>
      </c>
      <c r="I124">
        <f t="shared" si="7"/>
        <v>0</v>
      </c>
      <c r="J124">
        <f t="shared" si="8"/>
        <v>9.9352472759738824</v>
      </c>
      <c r="K124">
        <f t="shared" si="9"/>
        <v>-0.30000000000000071</v>
      </c>
      <c r="L124">
        <f t="shared" si="10"/>
        <v>9.6352472759738816</v>
      </c>
      <c r="N124">
        <f t="shared" si="13"/>
        <v>0.1909771909771911</v>
      </c>
    </row>
    <row r="125" spans="1:14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G125">
        <f t="shared" si="12"/>
        <v>0.26901326901326916</v>
      </c>
      <c r="I125">
        <f t="shared" si="7"/>
        <v>0</v>
      </c>
      <c r="J125">
        <f t="shared" si="8"/>
        <v>9.9352472759738824</v>
      </c>
      <c r="K125">
        <f t="shared" si="9"/>
        <v>-0.30000000000000071</v>
      </c>
      <c r="L125">
        <f t="shared" si="10"/>
        <v>9.6352472759738816</v>
      </c>
      <c r="N125">
        <f t="shared" si="13"/>
        <v>0.26901326901326916</v>
      </c>
    </row>
    <row r="126" spans="1:14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G126">
        <f t="shared" si="12"/>
        <v>0.14352014352014361</v>
      </c>
      <c r="I126">
        <f t="shared" si="7"/>
        <v>0</v>
      </c>
      <c r="J126">
        <f t="shared" si="8"/>
        <v>9.9352472759738824</v>
      </c>
      <c r="K126">
        <f t="shared" si="9"/>
        <v>-0.30000000000000071</v>
      </c>
      <c r="L126">
        <f t="shared" si="10"/>
        <v>9.6352472759738816</v>
      </c>
      <c r="N126">
        <f t="shared" si="13"/>
        <v>0.14352014352014361</v>
      </c>
    </row>
    <row r="127" spans="1:14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G127">
        <f t="shared" si="12"/>
        <v>0.277023277023277</v>
      </c>
      <c r="I127">
        <f t="shared" si="7"/>
        <v>0</v>
      </c>
      <c r="J127">
        <f t="shared" si="8"/>
        <v>9.9352472759738824</v>
      </c>
      <c r="K127">
        <f t="shared" si="9"/>
        <v>-0.30000000000000071</v>
      </c>
      <c r="L127">
        <f t="shared" si="10"/>
        <v>9.6352472759738816</v>
      </c>
      <c r="N127">
        <f t="shared" si="13"/>
        <v>0.277023277023277</v>
      </c>
    </row>
    <row r="128" spans="1:14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G128">
        <f t="shared" si="12"/>
        <v>0.23099423099423111</v>
      </c>
      <c r="I128">
        <f t="shared" si="7"/>
        <v>0</v>
      </c>
      <c r="J128">
        <f t="shared" si="8"/>
        <v>9.9352472759738824</v>
      </c>
      <c r="K128">
        <f t="shared" si="9"/>
        <v>-0.30000000000000071</v>
      </c>
      <c r="L128">
        <f t="shared" si="10"/>
        <v>9.6352472759738816</v>
      </c>
      <c r="N128">
        <f t="shared" si="13"/>
        <v>0.23099423099423111</v>
      </c>
    </row>
    <row r="129" spans="1:14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G129">
        <f t="shared" si="12"/>
        <v>0.21545121545121546</v>
      </c>
      <c r="I129">
        <f t="shared" si="7"/>
        <v>0</v>
      </c>
      <c r="J129">
        <f t="shared" si="8"/>
        <v>9.9352472759738824</v>
      </c>
      <c r="K129">
        <f t="shared" si="9"/>
        <v>-0.30000000000000071</v>
      </c>
      <c r="L129">
        <f t="shared" si="10"/>
        <v>9.6352472759738816</v>
      </c>
      <c r="N129">
        <f t="shared" si="13"/>
        <v>0.21545121545121546</v>
      </c>
    </row>
    <row r="130" spans="1:14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G130">
        <f t="shared" si="12"/>
        <v>0.23685023685023696</v>
      </c>
      <c r="I130">
        <f t="shared" ref="I130:I193" si="14">(E130-0.17)*$S$2</f>
        <v>0</v>
      </c>
      <c r="J130">
        <f t="shared" ref="J130:J193" si="15">(8-D130)*$S$4</f>
        <v>9.9352472759738824</v>
      </c>
      <c r="K130">
        <f t="shared" ref="K130:K193" si="16">(C130-20)*$S$3</f>
        <v>-0.30000000000000071</v>
      </c>
      <c r="L130">
        <f t="shared" ref="L130:L193" si="17">SUM(I130:K130)+($V$2*(J130*K130))</f>
        <v>9.6352472759738816</v>
      </c>
      <c r="N130">
        <f t="shared" si="13"/>
        <v>0.23685023685023696</v>
      </c>
    </row>
    <row r="131" spans="1:14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G131">
        <f t="shared" ref="G131:G194" si="18">($F$343-F131)/$F$343</f>
        <v>0.24973524973524974</v>
      </c>
      <c r="I131">
        <f t="shared" si="14"/>
        <v>0</v>
      </c>
      <c r="J131">
        <f t="shared" si="15"/>
        <v>9.9352472759738824</v>
      </c>
      <c r="K131">
        <f t="shared" si="16"/>
        <v>-0.30000000000000071</v>
      </c>
      <c r="L131">
        <f t="shared" si="17"/>
        <v>9.6352472759738816</v>
      </c>
      <c r="N131">
        <f t="shared" si="13"/>
        <v>0.24973524973524974</v>
      </c>
    </row>
    <row r="132" spans="1:14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G132">
        <f t="shared" si="18"/>
        <v>0.18558618558618564</v>
      </c>
      <c r="I132">
        <f t="shared" si="14"/>
        <v>0</v>
      </c>
      <c r="J132">
        <f t="shared" si="15"/>
        <v>9.9352472759738824</v>
      </c>
      <c r="K132">
        <f t="shared" si="16"/>
        <v>-0.30000000000000071</v>
      </c>
      <c r="L132">
        <f t="shared" si="17"/>
        <v>9.6352472759738816</v>
      </c>
      <c r="N132">
        <f t="shared" si="13"/>
        <v>0.18558618558618564</v>
      </c>
    </row>
    <row r="133" spans="1:14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G133">
        <f t="shared" si="18"/>
        <v>0.28875328875328882</v>
      </c>
      <c r="I133">
        <f t="shared" si="14"/>
        <v>0</v>
      </c>
      <c r="J133">
        <f t="shared" si="15"/>
        <v>9.9352472759738824</v>
      </c>
      <c r="K133">
        <f t="shared" si="16"/>
        <v>-0.30000000000000071</v>
      </c>
      <c r="L133">
        <f t="shared" si="17"/>
        <v>9.6352472759738816</v>
      </c>
      <c r="N133">
        <f t="shared" si="13"/>
        <v>0.28875328875328882</v>
      </c>
    </row>
    <row r="134" spans="1:14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G134">
        <f t="shared" si="18"/>
        <v>0.25128925128925139</v>
      </c>
      <c r="I134">
        <f t="shared" si="14"/>
        <v>0</v>
      </c>
      <c r="J134">
        <f t="shared" si="15"/>
        <v>9.9352472759738824</v>
      </c>
      <c r="K134">
        <f t="shared" si="16"/>
        <v>-0.30000000000000071</v>
      </c>
      <c r="L134">
        <f t="shared" si="17"/>
        <v>9.6352472759738816</v>
      </c>
      <c r="N134">
        <f>G134</f>
        <v>0.25128925128925139</v>
      </c>
    </row>
    <row r="135" spans="1:14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G135">
        <f t="shared" si="18"/>
        <v>0.48698748698748695</v>
      </c>
      <c r="I135">
        <f t="shared" si="14"/>
        <v>3.4999999999999931E-3</v>
      </c>
      <c r="J135">
        <f t="shared" si="15"/>
        <v>-0.7334131170760827</v>
      </c>
      <c r="K135">
        <f t="shared" si="16"/>
        <v>-7.6999999999999993</v>
      </c>
      <c r="L135">
        <f t="shared" si="17"/>
        <v>-8.4299131170760813</v>
      </c>
      <c r="N135">
        <f>G135</f>
        <v>0.48698748698748695</v>
      </c>
    </row>
    <row r="136" spans="1:14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G136">
        <f t="shared" si="18"/>
        <v>0.42843642843642843</v>
      </c>
      <c r="I136">
        <f t="shared" si="14"/>
        <v>3.4999999999999931E-3</v>
      </c>
      <c r="J136">
        <f t="shared" si="15"/>
        <v>-0.7334131170760827</v>
      </c>
      <c r="K136">
        <f t="shared" si="16"/>
        <v>-7.6999999999999993</v>
      </c>
      <c r="L136">
        <f t="shared" si="17"/>
        <v>-8.4299131170760813</v>
      </c>
      <c r="N136">
        <f t="shared" ref="N136:N191" si="19">G136</f>
        <v>0.42843642843642843</v>
      </c>
    </row>
    <row r="137" spans="1:14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G137">
        <f t="shared" si="18"/>
        <v>0.4558984558984559</v>
      </c>
      <c r="I137">
        <f t="shared" si="14"/>
        <v>3.4999999999999931E-3</v>
      </c>
      <c r="J137">
        <f t="shared" si="15"/>
        <v>-0.7334131170760827</v>
      </c>
      <c r="K137">
        <f t="shared" si="16"/>
        <v>-7.6999999999999993</v>
      </c>
      <c r="L137">
        <f t="shared" si="17"/>
        <v>-8.4299131170760813</v>
      </c>
      <c r="N137">
        <f t="shared" si="19"/>
        <v>0.4558984558984559</v>
      </c>
    </row>
    <row r="138" spans="1:14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G138">
        <f t="shared" si="18"/>
        <v>0.41305241305241308</v>
      </c>
      <c r="I138">
        <f t="shared" si="14"/>
        <v>3.4999999999999931E-3</v>
      </c>
      <c r="J138">
        <f t="shared" si="15"/>
        <v>-0.7334131170760827</v>
      </c>
      <c r="K138">
        <f t="shared" si="16"/>
        <v>-7.6999999999999993</v>
      </c>
      <c r="L138">
        <f t="shared" si="17"/>
        <v>-8.4299131170760813</v>
      </c>
      <c r="N138">
        <f t="shared" si="19"/>
        <v>0.41305241305241308</v>
      </c>
    </row>
    <row r="139" spans="1:14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G139">
        <f t="shared" si="18"/>
        <v>0.42921342921342925</v>
      </c>
      <c r="I139">
        <f t="shared" si="14"/>
        <v>3.4999999999999931E-3</v>
      </c>
      <c r="J139">
        <f t="shared" si="15"/>
        <v>-0.7334131170760827</v>
      </c>
      <c r="K139">
        <f t="shared" si="16"/>
        <v>-7.6999999999999993</v>
      </c>
      <c r="L139">
        <f t="shared" si="17"/>
        <v>-8.4299131170760813</v>
      </c>
      <c r="N139">
        <f t="shared" si="19"/>
        <v>0.42921342921342925</v>
      </c>
    </row>
    <row r="140" spans="1:14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G140">
        <f t="shared" si="18"/>
        <v>0.46170346170346171</v>
      </c>
      <c r="I140">
        <f t="shared" si="14"/>
        <v>3.4999999999999931E-3</v>
      </c>
      <c r="J140">
        <f t="shared" si="15"/>
        <v>-0.7334131170760827</v>
      </c>
      <c r="K140">
        <f t="shared" si="16"/>
        <v>-7.6999999999999993</v>
      </c>
      <c r="L140">
        <f t="shared" si="17"/>
        <v>-8.4299131170760813</v>
      </c>
      <c r="N140">
        <f t="shared" si="19"/>
        <v>0.46170346170346171</v>
      </c>
    </row>
    <row r="141" spans="1:14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G141">
        <f t="shared" si="18"/>
        <v>0.40313740313740315</v>
      </c>
      <c r="I141">
        <f t="shared" si="14"/>
        <v>3.4999999999999931E-3</v>
      </c>
      <c r="J141">
        <f t="shared" si="15"/>
        <v>-0.7334131170760827</v>
      </c>
      <c r="K141">
        <f t="shared" si="16"/>
        <v>-7.6999999999999993</v>
      </c>
      <c r="L141">
        <f t="shared" si="17"/>
        <v>-8.4299131170760813</v>
      </c>
      <c r="N141">
        <f t="shared" si="19"/>
        <v>0.40313740313740315</v>
      </c>
    </row>
    <row r="142" spans="1:14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G142">
        <f t="shared" si="18"/>
        <v>0.40715440715440715</v>
      </c>
      <c r="I142">
        <f t="shared" si="14"/>
        <v>3.4999999999999931E-3</v>
      </c>
      <c r="J142">
        <f t="shared" si="15"/>
        <v>-0.7334131170760827</v>
      </c>
      <c r="K142">
        <f t="shared" si="16"/>
        <v>-7.6999999999999993</v>
      </c>
      <c r="L142">
        <f t="shared" si="17"/>
        <v>-8.4299131170760813</v>
      </c>
      <c r="N142">
        <f t="shared" si="19"/>
        <v>0.40715440715440715</v>
      </c>
    </row>
    <row r="143" spans="1:14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G143">
        <f t="shared" si="18"/>
        <v>0.44755544755544752</v>
      </c>
      <c r="I143">
        <f t="shared" si="14"/>
        <v>3.4999999999999931E-3</v>
      </c>
      <c r="J143">
        <f t="shared" si="15"/>
        <v>-0.7334131170760827</v>
      </c>
      <c r="K143">
        <f t="shared" si="16"/>
        <v>-7.6999999999999993</v>
      </c>
      <c r="L143">
        <f t="shared" si="17"/>
        <v>-8.4299131170760813</v>
      </c>
      <c r="N143">
        <f t="shared" si="19"/>
        <v>0.44755544755544752</v>
      </c>
    </row>
    <row r="144" spans="1:14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G144">
        <f t="shared" si="18"/>
        <v>0.47937647937647943</v>
      </c>
      <c r="I144">
        <f t="shared" si="14"/>
        <v>3.4999999999999931E-3</v>
      </c>
      <c r="J144">
        <f t="shared" si="15"/>
        <v>-0.7334131170760827</v>
      </c>
      <c r="K144">
        <f t="shared" si="16"/>
        <v>-7.6999999999999993</v>
      </c>
      <c r="L144">
        <f t="shared" si="17"/>
        <v>-8.4299131170760813</v>
      </c>
      <c r="N144">
        <f t="shared" si="19"/>
        <v>0.47937647937647943</v>
      </c>
    </row>
    <row r="145" spans="1:14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G145">
        <f t="shared" si="18"/>
        <v>0.4563994563994565</v>
      </c>
      <c r="I145">
        <f t="shared" si="14"/>
        <v>3.4999999999999931E-3</v>
      </c>
      <c r="J145">
        <f t="shared" si="15"/>
        <v>-0.7334131170760827</v>
      </c>
      <c r="K145">
        <f t="shared" si="16"/>
        <v>-7.6999999999999993</v>
      </c>
      <c r="L145">
        <f t="shared" si="17"/>
        <v>-8.4299131170760813</v>
      </c>
      <c r="N145">
        <f t="shared" si="19"/>
        <v>0.4563994563994565</v>
      </c>
    </row>
    <row r="146" spans="1:14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G146">
        <f t="shared" si="18"/>
        <v>0.45899145899145899</v>
      </c>
      <c r="I146">
        <f t="shared" si="14"/>
        <v>3.4999999999999931E-3</v>
      </c>
      <c r="J146">
        <f t="shared" si="15"/>
        <v>-0.7334131170760827</v>
      </c>
      <c r="K146">
        <f t="shared" si="16"/>
        <v>-7.6999999999999993</v>
      </c>
      <c r="L146">
        <f t="shared" si="17"/>
        <v>-8.4299131170760813</v>
      </c>
      <c r="N146">
        <f t="shared" si="19"/>
        <v>0.45899145899145899</v>
      </c>
    </row>
    <row r="147" spans="1:14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G147">
        <f t="shared" si="18"/>
        <v>0.10250410250410251</v>
      </c>
      <c r="I147">
        <f t="shared" si="14"/>
        <v>0</v>
      </c>
      <c r="J147">
        <f t="shared" si="15"/>
        <v>-0.15657827155401804</v>
      </c>
      <c r="K147">
        <f t="shared" si="16"/>
        <v>-4.0999999999999996</v>
      </c>
      <c r="L147">
        <f t="shared" si="17"/>
        <v>-4.2565782715540177</v>
      </c>
      <c r="N147">
        <f t="shared" si="19"/>
        <v>0.10250410250410251</v>
      </c>
    </row>
    <row r="148" spans="1:14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G148">
        <f t="shared" si="18"/>
        <v>6.3549063549063686E-2</v>
      </c>
      <c r="I148">
        <f t="shared" si="14"/>
        <v>0</v>
      </c>
      <c r="J148">
        <f t="shared" si="15"/>
        <v>-0.15657827155401804</v>
      </c>
      <c r="K148">
        <f t="shared" si="16"/>
        <v>-4.0999999999999996</v>
      </c>
      <c r="L148">
        <f t="shared" si="17"/>
        <v>-4.2565782715540177</v>
      </c>
      <c r="N148">
        <f t="shared" si="19"/>
        <v>6.3549063549063686E-2</v>
      </c>
    </row>
    <row r="149" spans="1:14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G149">
        <f t="shared" si="18"/>
        <v>4.2606042606042768E-2</v>
      </c>
      <c r="I149">
        <f t="shared" si="14"/>
        <v>0</v>
      </c>
      <c r="J149">
        <f t="shared" si="15"/>
        <v>-0.15657827155401804</v>
      </c>
      <c r="K149">
        <f t="shared" si="16"/>
        <v>-4.0999999999999996</v>
      </c>
      <c r="L149">
        <f t="shared" si="17"/>
        <v>-4.2565782715540177</v>
      </c>
      <c r="N149">
        <f t="shared" si="19"/>
        <v>4.2606042606042768E-2</v>
      </c>
    </row>
    <row r="150" spans="1:14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G150">
        <f t="shared" si="18"/>
        <v>0.12865212865212869</v>
      </c>
      <c r="I150">
        <f t="shared" si="14"/>
        <v>0</v>
      </c>
      <c r="J150">
        <f t="shared" si="15"/>
        <v>-0.15657827155401804</v>
      </c>
      <c r="K150">
        <f t="shared" si="16"/>
        <v>-4.0999999999999996</v>
      </c>
      <c r="L150">
        <f t="shared" si="17"/>
        <v>-4.2565782715540177</v>
      </c>
      <c r="N150">
        <f t="shared" si="19"/>
        <v>0.12865212865212869</v>
      </c>
    </row>
    <row r="151" spans="1:14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G151">
        <f t="shared" si="18"/>
        <v>9.0783090783090853E-2</v>
      </c>
      <c r="I151">
        <f t="shared" si="14"/>
        <v>0</v>
      </c>
      <c r="J151">
        <f t="shared" si="15"/>
        <v>-0.15657827155401804</v>
      </c>
      <c r="K151">
        <f t="shared" si="16"/>
        <v>-4.0999999999999996</v>
      </c>
      <c r="L151">
        <f t="shared" si="17"/>
        <v>-4.2565782715540177</v>
      </c>
      <c r="N151">
        <f t="shared" si="19"/>
        <v>9.0783090783090853E-2</v>
      </c>
    </row>
    <row r="152" spans="1:14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G152">
        <f t="shared" si="18"/>
        <v>6.9741069741069778E-2</v>
      </c>
      <c r="I152">
        <f t="shared" si="14"/>
        <v>0</v>
      </c>
      <c r="J152">
        <f t="shared" si="15"/>
        <v>-0.15657827155401804</v>
      </c>
      <c r="K152">
        <f t="shared" si="16"/>
        <v>-4.0999999999999996</v>
      </c>
      <c r="L152">
        <f t="shared" si="17"/>
        <v>-4.2565782715540177</v>
      </c>
      <c r="N152">
        <f t="shared" si="19"/>
        <v>6.9741069741069778E-2</v>
      </c>
    </row>
    <row r="153" spans="1:14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G153">
        <f t="shared" si="18"/>
        <v>3.6132036132036249E-2</v>
      </c>
      <c r="I153">
        <f t="shared" si="14"/>
        <v>0</v>
      </c>
      <c r="J153">
        <f t="shared" si="15"/>
        <v>-0.15657827155401804</v>
      </c>
      <c r="K153">
        <f t="shared" si="16"/>
        <v>-4.0999999999999996</v>
      </c>
      <c r="L153">
        <f t="shared" si="17"/>
        <v>-4.2565782715540177</v>
      </c>
      <c r="N153">
        <f t="shared" si="19"/>
        <v>3.6132036132036249E-2</v>
      </c>
    </row>
    <row r="154" spans="1:14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G154">
        <f t="shared" si="18"/>
        <v>0.18434718434718436</v>
      </c>
      <c r="I154">
        <f t="shared" si="14"/>
        <v>0</v>
      </c>
      <c r="J154">
        <f t="shared" si="15"/>
        <v>-0.15657827155401804</v>
      </c>
      <c r="K154">
        <f t="shared" si="16"/>
        <v>-4.0999999999999996</v>
      </c>
      <c r="L154">
        <f t="shared" si="17"/>
        <v>-4.2565782715540177</v>
      </c>
      <c r="N154">
        <f t="shared" si="19"/>
        <v>0.18434718434718436</v>
      </c>
    </row>
    <row r="155" spans="1:14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G155">
        <f t="shared" si="18"/>
        <v>3.4062034062034188E-2</v>
      </c>
      <c r="I155">
        <f t="shared" si="14"/>
        <v>0</v>
      </c>
      <c r="J155">
        <f t="shared" si="15"/>
        <v>-0.15657827155401804</v>
      </c>
      <c r="K155">
        <f t="shared" si="16"/>
        <v>-4.0999999999999996</v>
      </c>
      <c r="L155">
        <f t="shared" si="17"/>
        <v>-4.2565782715540177</v>
      </c>
      <c r="N155">
        <f t="shared" si="19"/>
        <v>3.4062034062034188E-2</v>
      </c>
    </row>
    <row r="156" spans="1:14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G156">
        <f t="shared" si="18"/>
        <v>0.10909510909510911</v>
      </c>
      <c r="I156">
        <f t="shared" si="14"/>
        <v>0</v>
      </c>
      <c r="J156">
        <f t="shared" si="15"/>
        <v>-0.15657827155401804</v>
      </c>
      <c r="K156">
        <f t="shared" si="16"/>
        <v>-4.0999999999999996</v>
      </c>
      <c r="L156">
        <f t="shared" si="17"/>
        <v>-4.2565782715540177</v>
      </c>
      <c r="N156">
        <f t="shared" si="19"/>
        <v>0.10909510909510911</v>
      </c>
    </row>
    <row r="157" spans="1:14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G157">
        <f t="shared" si="18"/>
        <v>0.12196512196512205</v>
      </c>
      <c r="I157">
        <f t="shared" si="14"/>
        <v>0</v>
      </c>
      <c r="J157">
        <f t="shared" si="15"/>
        <v>-0.15657827155401804</v>
      </c>
      <c r="K157">
        <f t="shared" si="16"/>
        <v>-4.0999999999999996</v>
      </c>
      <c r="L157">
        <f t="shared" si="17"/>
        <v>-4.2565782715540177</v>
      </c>
      <c r="N157">
        <f t="shared" si="19"/>
        <v>0.12196512196512205</v>
      </c>
    </row>
    <row r="158" spans="1:14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G158">
        <f t="shared" si="18"/>
        <v>9.5691095691095823E-2</v>
      </c>
      <c r="I158">
        <f t="shared" si="14"/>
        <v>0</v>
      </c>
      <c r="J158">
        <f t="shared" si="15"/>
        <v>-0.15657827155401804</v>
      </c>
      <c r="K158">
        <f t="shared" si="16"/>
        <v>-4.0999999999999996</v>
      </c>
      <c r="L158">
        <f t="shared" si="17"/>
        <v>-4.2565782715540177</v>
      </c>
      <c r="N158">
        <f t="shared" si="19"/>
        <v>9.5691095691095823E-2</v>
      </c>
    </row>
    <row r="159" spans="1:14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G159">
        <f t="shared" si="18"/>
        <v>0.1656691656691657</v>
      </c>
      <c r="I159">
        <f t="shared" si="14"/>
        <v>1.0499999999999999E-2</v>
      </c>
      <c r="J159">
        <f t="shared" si="15"/>
        <v>-0.36657332749237526</v>
      </c>
      <c r="K159">
        <f t="shared" si="16"/>
        <v>-0.30000000000000071</v>
      </c>
      <c r="L159">
        <f t="shared" si="17"/>
        <v>-0.65607332749237601</v>
      </c>
      <c r="N159">
        <f t="shared" si="19"/>
        <v>0.1656691656691657</v>
      </c>
    </row>
    <row r="160" spans="1:14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G160">
        <f t="shared" si="18"/>
        <v>0.11066111066111066</v>
      </c>
      <c r="I160">
        <f t="shared" si="14"/>
        <v>1.0499999999999999E-2</v>
      </c>
      <c r="J160">
        <f t="shared" si="15"/>
        <v>-0.36657332749237526</v>
      </c>
      <c r="K160">
        <f t="shared" si="16"/>
        <v>-0.30000000000000071</v>
      </c>
      <c r="L160">
        <f t="shared" si="17"/>
        <v>-0.65607332749237601</v>
      </c>
      <c r="N160">
        <f t="shared" si="19"/>
        <v>0.11066111066111066</v>
      </c>
    </row>
    <row r="161" spans="1:14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G161">
        <f t="shared" si="18"/>
        <v>8.7324087324087335E-2</v>
      </c>
      <c r="I161">
        <f t="shared" si="14"/>
        <v>1.0499999999999999E-2</v>
      </c>
      <c r="J161">
        <f t="shared" si="15"/>
        <v>-0.36657332749237526</v>
      </c>
      <c r="K161">
        <f t="shared" si="16"/>
        <v>-0.30000000000000071</v>
      </c>
      <c r="L161">
        <f t="shared" si="17"/>
        <v>-0.65607332749237601</v>
      </c>
      <c r="N161">
        <f t="shared" si="19"/>
        <v>8.7324087324087335E-2</v>
      </c>
    </row>
    <row r="162" spans="1:14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G162">
        <f t="shared" si="18"/>
        <v>0.13644313644313658</v>
      </c>
      <c r="I162">
        <f t="shared" si="14"/>
        <v>1.0499999999999999E-2</v>
      </c>
      <c r="J162">
        <f t="shared" si="15"/>
        <v>-0.36657332749237526</v>
      </c>
      <c r="K162">
        <f t="shared" si="16"/>
        <v>-0.30000000000000071</v>
      </c>
      <c r="L162">
        <f t="shared" si="17"/>
        <v>-0.65607332749237601</v>
      </c>
      <c r="N162">
        <f t="shared" si="19"/>
        <v>0.13644313644313658</v>
      </c>
    </row>
    <row r="163" spans="1:14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G163">
        <f t="shared" si="18"/>
        <v>3.3822033822033824E-2</v>
      </c>
      <c r="I163">
        <f t="shared" si="14"/>
        <v>1.0499999999999999E-2</v>
      </c>
      <c r="J163">
        <f t="shared" si="15"/>
        <v>-0.36657332749237526</v>
      </c>
      <c r="K163">
        <f t="shared" si="16"/>
        <v>-0.30000000000000071</v>
      </c>
      <c r="L163">
        <f t="shared" si="17"/>
        <v>-0.65607332749237601</v>
      </c>
      <c r="N163">
        <f t="shared" si="19"/>
        <v>3.3822033822033824E-2</v>
      </c>
    </row>
    <row r="164" spans="1:14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G164">
        <f t="shared" si="18"/>
        <v>0.14568314568314578</v>
      </c>
      <c r="I164">
        <f t="shared" si="14"/>
        <v>1.0499999999999999E-2</v>
      </c>
      <c r="J164">
        <f t="shared" si="15"/>
        <v>-0.36657332749237526</v>
      </c>
      <c r="K164">
        <f t="shared" si="16"/>
        <v>-0.30000000000000071</v>
      </c>
      <c r="L164">
        <f t="shared" si="17"/>
        <v>-0.65607332749237601</v>
      </c>
      <c r="N164">
        <f t="shared" si="19"/>
        <v>0.14568314568314578</v>
      </c>
    </row>
    <row r="165" spans="1:14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G165">
        <f t="shared" si="18"/>
        <v>8.9760089760089798E-2</v>
      </c>
      <c r="I165">
        <f t="shared" si="14"/>
        <v>1.0499999999999999E-2</v>
      </c>
      <c r="J165">
        <f t="shared" si="15"/>
        <v>-0.36657332749237526</v>
      </c>
      <c r="K165">
        <f t="shared" si="16"/>
        <v>-0.30000000000000071</v>
      </c>
      <c r="L165">
        <f t="shared" si="17"/>
        <v>-0.65607332749237601</v>
      </c>
      <c r="N165">
        <f t="shared" si="19"/>
        <v>8.9760089760089798E-2</v>
      </c>
    </row>
    <row r="166" spans="1:14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G166">
        <f t="shared" si="18"/>
        <v>0.13192213192213206</v>
      </c>
      <c r="I166">
        <f t="shared" si="14"/>
        <v>1.0499999999999999E-2</v>
      </c>
      <c r="J166">
        <f t="shared" si="15"/>
        <v>-0.36657332749237526</v>
      </c>
      <c r="K166">
        <f t="shared" si="16"/>
        <v>-0.30000000000000071</v>
      </c>
      <c r="L166">
        <f t="shared" si="17"/>
        <v>-0.65607332749237601</v>
      </c>
      <c r="N166">
        <f t="shared" si="19"/>
        <v>0.13192213192213206</v>
      </c>
    </row>
    <row r="167" spans="1:14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G167">
        <f t="shared" si="18"/>
        <v>0.1171411171411172</v>
      </c>
      <c r="I167">
        <f t="shared" si="14"/>
        <v>1.0499999999999999E-2</v>
      </c>
      <c r="J167">
        <f t="shared" si="15"/>
        <v>-0.36657332749237526</v>
      </c>
      <c r="K167">
        <f t="shared" si="16"/>
        <v>-0.30000000000000071</v>
      </c>
      <c r="L167">
        <f t="shared" si="17"/>
        <v>-0.65607332749237601</v>
      </c>
      <c r="N167">
        <f t="shared" si="19"/>
        <v>0.1171411171411172</v>
      </c>
    </row>
    <row r="168" spans="1:14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G168">
        <f t="shared" si="18"/>
        <v>9.7017097017097001E-2</v>
      </c>
      <c r="I168">
        <f t="shared" si="14"/>
        <v>1.0499999999999999E-2</v>
      </c>
      <c r="J168">
        <f t="shared" si="15"/>
        <v>-0.36657332749237526</v>
      </c>
      <c r="K168">
        <f t="shared" si="16"/>
        <v>-0.30000000000000071</v>
      </c>
      <c r="L168">
        <f t="shared" si="17"/>
        <v>-0.65607332749237601</v>
      </c>
      <c r="N168">
        <f t="shared" si="19"/>
        <v>9.7017097017097001E-2</v>
      </c>
    </row>
    <row r="169" spans="1:14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G169">
        <f t="shared" si="18"/>
        <v>0.1142911142911144</v>
      </c>
      <c r="I169">
        <f t="shared" si="14"/>
        <v>1.0499999999999999E-2</v>
      </c>
      <c r="J169">
        <f t="shared" si="15"/>
        <v>-0.36657332749237526</v>
      </c>
      <c r="K169">
        <f t="shared" si="16"/>
        <v>-0.30000000000000071</v>
      </c>
      <c r="L169">
        <f t="shared" si="17"/>
        <v>-0.65607332749237601</v>
      </c>
      <c r="N169">
        <f t="shared" si="19"/>
        <v>0.1142911142911144</v>
      </c>
    </row>
    <row r="170" spans="1:14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G170">
        <f t="shared" si="18"/>
        <v>0.11204411204411208</v>
      </c>
      <c r="I170">
        <f t="shared" si="14"/>
        <v>1.0499999999999999E-2</v>
      </c>
      <c r="J170">
        <f t="shared" si="15"/>
        <v>-0.36657332749237526</v>
      </c>
      <c r="K170">
        <f t="shared" si="16"/>
        <v>-0.30000000000000071</v>
      </c>
      <c r="L170">
        <f t="shared" si="17"/>
        <v>-0.65607332749237601</v>
      </c>
      <c r="N170">
        <f t="shared" si="19"/>
        <v>0.11204411204411208</v>
      </c>
    </row>
    <row r="171" spans="1:14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G171">
        <f t="shared" si="18"/>
        <v>0.12794112794112808</v>
      </c>
      <c r="I171">
        <f t="shared" si="14"/>
        <v>1.0499999999999999E-2</v>
      </c>
      <c r="J171">
        <f t="shared" si="15"/>
        <v>-0.36657332749237526</v>
      </c>
      <c r="K171">
        <f t="shared" si="16"/>
        <v>-0.30000000000000071</v>
      </c>
      <c r="L171">
        <f t="shared" si="17"/>
        <v>-0.65607332749237601</v>
      </c>
      <c r="N171">
        <f t="shared" si="19"/>
        <v>0.12794112794112808</v>
      </c>
    </row>
    <row r="172" spans="1:14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G172">
        <f t="shared" si="18"/>
        <v>3.9654039654039706E-2</v>
      </c>
      <c r="I172">
        <f t="shared" si="14"/>
        <v>1.0499999999999999E-2</v>
      </c>
      <c r="J172">
        <f t="shared" si="15"/>
        <v>-0.36657332749237526</v>
      </c>
      <c r="K172">
        <f t="shared" si="16"/>
        <v>-0.30000000000000071</v>
      </c>
      <c r="L172">
        <f t="shared" si="17"/>
        <v>-0.65607332749237601</v>
      </c>
      <c r="N172">
        <f t="shared" si="19"/>
        <v>3.9654039654039706E-2</v>
      </c>
    </row>
    <row r="173" spans="1:14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G173">
        <f t="shared" si="18"/>
        <v>9.6456096456096582E-2</v>
      </c>
      <c r="I173">
        <f t="shared" si="14"/>
        <v>1.0499999999999999E-2</v>
      </c>
      <c r="J173">
        <f t="shared" si="15"/>
        <v>-0.36657332749237526</v>
      </c>
      <c r="K173">
        <f t="shared" si="16"/>
        <v>-0.30000000000000071</v>
      </c>
      <c r="L173">
        <f t="shared" si="17"/>
        <v>-0.65607332749237601</v>
      </c>
      <c r="N173">
        <f t="shared" si="19"/>
        <v>9.6456096456096582E-2</v>
      </c>
    </row>
    <row r="174" spans="1:14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G174">
        <f t="shared" si="18"/>
        <v>8.4594084594084698E-2</v>
      </c>
      <c r="I174">
        <f t="shared" si="14"/>
        <v>1.0499999999999999E-2</v>
      </c>
      <c r="J174">
        <f t="shared" si="15"/>
        <v>-0.36657332749237526</v>
      </c>
      <c r="K174">
        <f t="shared" si="16"/>
        <v>-0.30000000000000071</v>
      </c>
      <c r="L174">
        <f t="shared" si="17"/>
        <v>-0.65607332749237601</v>
      </c>
      <c r="N174">
        <f t="shared" si="19"/>
        <v>8.4594084594084698E-2</v>
      </c>
    </row>
    <row r="175" spans="1:14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G175">
        <f t="shared" si="18"/>
        <v>0.23499323499323502</v>
      </c>
      <c r="I175">
        <f t="shared" si="14"/>
        <v>6.9999999999999958E-3</v>
      </c>
      <c r="J175">
        <f t="shared" si="15"/>
        <v>-0.11453858292379948</v>
      </c>
      <c r="K175">
        <f t="shared" si="16"/>
        <v>5.1000000000000014</v>
      </c>
      <c r="L175">
        <f t="shared" si="17"/>
        <v>4.9924614170762016</v>
      </c>
      <c r="N175">
        <f t="shared" si="19"/>
        <v>0.23499323499323502</v>
      </c>
    </row>
    <row r="176" spans="1:14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G176">
        <f t="shared" si="18"/>
        <v>0.10325710325710337</v>
      </c>
      <c r="I176">
        <f t="shared" si="14"/>
        <v>6.9999999999999958E-3</v>
      </c>
      <c r="J176">
        <f t="shared" si="15"/>
        <v>-0.11453858292379948</v>
      </c>
      <c r="K176">
        <f t="shared" si="16"/>
        <v>5.1000000000000014</v>
      </c>
      <c r="L176">
        <f t="shared" si="17"/>
        <v>4.9924614170762016</v>
      </c>
      <c r="N176">
        <f t="shared" si="19"/>
        <v>0.10325710325710337</v>
      </c>
    </row>
    <row r="177" spans="1:15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G177">
        <f t="shared" si="18"/>
        <v>0.21282921282921294</v>
      </c>
      <c r="I177">
        <f t="shared" si="14"/>
        <v>6.9999999999999958E-3</v>
      </c>
      <c r="J177">
        <f t="shared" si="15"/>
        <v>-0.11453858292379948</v>
      </c>
      <c r="K177">
        <f t="shared" si="16"/>
        <v>5.1000000000000014</v>
      </c>
      <c r="L177">
        <f t="shared" si="17"/>
        <v>4.9924614170762016</v>
      </c>
      <c r="N177">
        <f t="shared" si="19"/>
        <v>0.21282921282921294</v>
      </c>
    </row>
    <row r="178" spans="1:15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G178">
        <f t="shared" si="18"/>
        <v>0.12303012303012316</v>
      </c>
      <c r="I178">
        <f t="shared" si="14"/>
        <v>6.9999999999999958E-3</v>
      </c>
      <c r="J178">
        <f t="shared" si="15"/>
        <v>-0.11453858292379948</v>
      </c>
      <c r="K178">
        <f t="shared" si="16"/>
        <v>5.1000000000000014</v>
      </c>
      <c r="L178">
        <f t="shared" si="17"/>
        <v>4.9924614170762016</v>
      </c>
      <c r="N178">
        <f t="shared" si="19"/>
        <v>0.12303012303012316</v>
      </c>
    </row>
    <row r="179" spans="1:15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G179">
        <f t="shared" si="18"/>
        <v>0.17189717189717199</v>
      </c>
      <c r="I179">
        <f t="shared" si="14"/>
        <v>6.9999999999999958E-3</v>
      </c>
      <c r="J179">
        <f t="shared" si="15"/>
        <v>-0.11453858292379948</v>
      </c>
      <c r="K179">
        <f t="shared" si="16"/>
        <v>5.1000000000000014</v>
      </c>
      <c r="L179">
        <f t="shared" si="17"/>
        <v>4.9924614170762016</v>
      </c>
      <c r="N179">
        <f t="shared" si="19"/>
        <v>0.17189717189717199</v>
      </c>
    </row>
    <row r="180" spans="1:15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G180">
        <f t="shared" si="18"/>
        <v>0.1584421584421585</v>
      </c>
      <c r="I180">
        <f t="shared" si="14"/>
        <v>6.9999999999999958E-3</v>
      </c>
      <c r="J180">
        <f t="shared" si="15"/>
        <v>-0.11453858292379948</v>
      </c>
      <c r="K180">
        <f t="shared" si="16"/>
        <v>5.1000000000000014</v>
      </c>
      <c r="L180">
        <f t="shared" si="17"/>
        <v>4.9924614170762016</v>
      </c>
      <c r="N180">
        <f t="shared" si="19"/>
        <v>0.1584421584421585</v>
      </c>
    </row>
    <row r="181" spans="1:15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G181">
        <f t="shared" si="18"/>
        <v>7.83060783060784E-2</v>
      </c>
      <c r="I181">
        <f t="shared" si="14"/>
        <v>6.9999999999999958E-3</v>
      </c>
      <c r="J181">
        <f t="shared" si="15"/>
        <v>-0.11453858292379948</v>
      </c>
      <c r="K181">
        <f t="shared" si="16"/>
        <v>5.1000000000000014</v>
      </c>
      <c r="L181">
        <f t="shared" si="17"/>
        <v>4.9924614170762016</v>
      </c>
      <c r="N181">
        <f t="shared" si="19"/>
        <v>7.83060783060784E-2</v>
      </c>
    </row>
    <row r="182" spans="1:15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G182">
        <f t="shared" si="18"/>
        <v>0.11038811038811053</v>
      </c>
      <c r="I182">
        <f t="shared" si="14"/>
        <v>6.9999999999999958E-3</v>
      </c>
      <c r="J182">
        <f t="shared" si="15"/>
        <v>-0.11453858292379948</v>
      </c>
      <c r="K182">
        <f t="shared" si="16"/>
        <v>5.1000000000000014</v>
      </c>
      <c r="L182">
        <f t="shared" si="17"/>
        <v>4.9924614170762016</v>
      </c>
      <c r="N182">
        <f t="shared" si="19"/>
        <v>0.11038811038811053</v>
      </c>
    </row>
    <row r="183" spans="1:15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G183">
        <f t="shared" si="18"/>
        <v>9.659109659109659E-2</v>
      </c>
      <c r="I183">
        <f t="shared" si="14"/>
        <v>6.9999999999999958E-3</v>
      </c>
      <c r="J183">
        <f t="shared" si="15"/>
        <v>-0.11453858292379948</v>
      </c>
      <c r="K183">
        <f t="shared" si="16"/>
        <v>5.1000000000000014</v>
      </c>
      <c r="L183">
        <f t="shared" si="17"/>
        <v>4.9924614170762016</v>
      </c>
      <c r="N183">
        <f t="shared" si="19"/>
        <v>9.659109659109659E-2</v>
      </c>
    </row>
    <row r="184" spans="1:15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G184">
        <f t="shared" si="18"/>
        <v>0.17363417363417374</v>
      </c>
      <c r="I184">
        <f t="shared" si="14"/>
        <v>6.9999999999999958E-3</v>
      </c>
      <c r="J184">
        <f t="shared" si="15"/>
        <v>-0.11453858292379948</v>
      </c>
      <c r="K184">
        <f t="shared" si="16"/>
        <v>5.1000000000000014</v>
      </c>
      <c r="L184">
        <f t="shared" si="17"/>
        <v>4.9924614170762016</v>
      </c>
      <c r="N184">
        <f t="shared" si="19"/>
        <v>0.17363417363417374</v>
      </c>
    </row>
    <row r="185" spans="1:15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G185">
        <f t="shared" si="18"/>
        <v>0.32979932979932991</v>
      </c>
      <c r="I185">
        <f t="shared" si="14"/>
        <v>6.9999999999999958E-3</v>
      </c>
      <c r="J185">
        <f t="shared" si="15"/>
        <v>-1.2177648034845774</v>
      </c>
      <c r="K185">
        <f t="shared" si="16"/>
        <v>10.199999999999999</v>
      </c>
      <c r="L185">
        <f t="shared" si="17"/>
        <v>8.9892351965154216</v>
      </c>
      <c r="N185">
        <f t="shared" si="19"/>
        <v>0.32979932979932991</v>
      </c>
    </row>
    <row r="186" spans="1:15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G186">
        <f t="shared" si="18"/>
        <v>0.31899931899931905</v>
      </c>
      <c r="I186">
        <f t="shared" si="14"/>
        <v>6.9999999999999958E-3</v>
      </c>
      <c r="J186">
        <f t="shared" si="15"/>
        <v>-1.2177648034845774</v>
      </c>
      <c r="K186">
        <f t="shared" si="16"/>
        <v>10.199999999999999</v>
      </c>
      <c r="L186">
        <f t="shared" si="17"/>
        <v>8.9892351965154216</v>
      </c>
      <c r="N186">
        <f t="shared" si="19"/>
        <v>0.31899931899931905</v>
      </c>
    </row>
    <row r="187" spans="1:15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G187">
        <f t="shared" si="18"/>
        <v>0.3282993282993284</v>
      </c>
      <c r="I187">
        <f t="shared" si="14"/>
        <v>6.9999999999999958E-3</v>
      </c>
      <c r="J187">
        <f t="shared" si="15"/>
        <v>-1.2177648034845774</v>
      </c>
      <c r="K187">
        <f t="shared" si="16"/>
        <v>10.199999999999999</v>
      </c>
      <c r="L187">
        <f t="shared" si="17"/>
        <v>8.9892351965154216</v>
      </c>
      <c r="N187">
        <f t="shared" si="19"/>
        <v>0.3282993282993284</v>
      </c>
    </row>
    <row r="188" spans="1:15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G188">
        <f t="shared" si="18"/>
        <v>0.21579921579921593</v>
      </c>
      <c r="I188">
        <f t="shared" si="14"/>
        <v>6.9999999999999958E-3</v>
      </c>
      <c r="J188">
        <f t="shared" si="15"/>
        <v>-1.2177648034845774</v>
      </c>
      <c r="K188">
        <f t="shared" si="16"/>
        <v>10.199999999999999</v>
      </c>
      <c r="L188">
        <f t="shared" si="17"/>
        <v>8.9892351965154216</v>
      </c>
      <c r="N188">
        <f t="shared" si="19"/>
        <v>0.21579921579921593</v>
      </c>
    </row>
    <row r="189" spans="1:15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G189">
        <f t="shared" si="18"/>
        <v>0.12459912459912463</v>
      </c>
      <c r="I189">
        <f t="shared" si="14"/>
        <v>6.9999999999999958E-3</v>
      </c>
      <c r="J189">
        <f t="shared" si="15"/>
        <v>-1.2177648034845774</v>
      </c>
      <c r="K189">
        <f t="shared" si="16"/>
        <v>10.199999999999999</v>
      </c>
      <c r="L189">
        <f t="shared" si="17"/>
        <v>8.9892351965154216</v>
      </c>
      <c r="N189">
        <f t="shared" si="19"/>
        <v>0.12459912459912463</v>
      </c>
    </row>
    <row r="190" spans="1:15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G190">
        <f t="shared" si="18"/>
        <v>0.29289929289929301</v>
      </c>
      <c r="I190">
        <f t="shared" si="14"/>
        <v>6.9999999999999958E-3</v>
      </c>
      <c r="J190">
        <f t="shared" si="15"/>
        <v>-1.2177648034845774</v>
      </c>
      <c r="K190">
        <f t="shared" si="16"/>
        <v>10.199999999999999</v>
      </c>
      <c r="L190">
        <f t="shared" si="17"/>
        <v>8.9892351965154216</v>
      </c>
      <c r="N190">
        <f t="shared" si="19"/>
        <v>0.29289929289929301</v>
      </c>
    </row>
    <row r="191" spans="1:15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G191">
        <f t="shared" si="18"/>
        <v>0.11949911949911957</v>
      </c>
      <c r="I191">
        <f t="shared" si="14"/>
        <v>6.9999999999999958E-3</v>
      </c>
      <c r="J191">
        <f t="shared" si="15"/>
        <v>-1.2177648034845774</v>
      </c>
      <c r="K191">
        <f t="shared" si="16"/>
        <v>10.199999999999999</v>
      </c>
      <c r="L191">
        <f t="shared" si="17"/>
        <v>8.9892351965154216</v>
      </c>
      <c r="N191">
        <f t="shared" si="19"/>
        <v>0.11949911949911957</v>
      </c>
    </row>
    <row r="192" spans="1:15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G192">
        <f t="shared" si="18"/>
        <v>0.25837825837825845</v>
      </c>
      <c r="I192">
        <f t="shared" si="14"/>
        <v>6.9999999999999958E-3</v>
      </c>
      <c r="J192">
        <f t="shared" si="15"/>
        <v>9.0631848720000114</v>
      </c>
      <c r="K192">
        <f t="shared" si="16"/>
        <v>0.5</v>
      </c>
      <c r="L192">
        <f t="shared" si="17"/>
        <v>9.5701848720000111</v>
      </c>
      <c r="O192">
        <f t="shared" ref="O192:O223" si="20">G192</f>
        <v>0.25837825837825845</v>
      </c>
    </row>
    <row r="193" spans="1:15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G193">
        <f t="shared" si="18"/>
        <v>0.36250536250536258</v>
      </c>
      <c r="I193">
        <f t="shared" si="14"/>
        <v>6.9999999999999958E-3</v>
      </c>
      <c r="J193">
        <f t="shared" si="15"/>
        <v>9.0631848720000114</v>
      </c>
      <c r="K193">
        <f t="shared" si="16"/>
        <v>0.5</v>
      </c>
      <c r="L193">
        <f t="shared" si="17"/>
        <v>9.5701848720000111</v>
      </c>
      <c r="O193">
        <f t="shared" si="20"/>
        <v>0.36250536250536258</v>
      </c>
    </row>
    <row r="194" spans="1:15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G194">
        <f t="shared" si="18"/>
        <v>0.22014622014622015</v>
      </c>
      <c r="I194">
        <f t="shared" ref="I194:I257" si="21">(E194-0.17)*$S$2</f>
        <v>6.9999999999999958E-3</v>
      </c>
      <c r="J194">
        <f t="shared" ref="J194:J257" si="22">(8-D194)*$S$4</f>
        <v>9.0631848720000114</v>
      </c>
      <c r="K194">
        <f t="shared" ref="K194:K257" si="23">(C194-20)*$S$3</f>
        <v>0.5</v>
      </c>
      <c r="L194">
        <f t="shared" ref="L194:L257" si="24">SUM(I194:K194)+($V$2*(J194*K194))</f>
        <v>9.5701848720000111</v>
      </c>
      <c r="O194">
        <f t="shared" si="20"/>
        <v>0.22014622014622015</v>
      </c>
    </row>
    <row r="195" spans="1:15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G195">
        <f t="shared" ref="G195:G258" si="25">($F$343-F195)/$F$343</f>
        <v>0.1317931317931319</v>
      </c>
      <c r="I195">
        <f t="shared" si="21"/>
        <v>6.9999999999999958E-3</v>
      </c>
      <c r="J195">
        <f t="shared" si="22"/>
        <v>9.0631848720000114</v>
      </c>
      <c r="K195">
        <f t="shared" si="23"/>
        <v>0.5</v>
      </c>
      <c r="L195">
        <f t="shared" si="24"/>
        <v>9.5701848720000111</v>
      </c>
      <c r="O195">
        <f t="shared" si="20"/>
        <v>0.1317931317931319</v>
      </c>
    </row>
    <row r="196" spans="1:15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G196">
        <f t="shared" si="25"/>
        <v>0.16340416340416344</v>
      </c>
      <c r="I196">
        <f t="shared" si="21"/>
        <v>6.9999999999999958E-3</v>
      </c>
      <c r="J196">
        <f t="shared" si="22"/>
        <v>9.0631848720000114</v>
      </c>
      <c r="K196">
        <f t="shared" si="23"/>
        <v>0.5</v>
      </c>
      <c r="L196">
        <f t="shared" si="24"/>
        <v>9.5701848720000111</v>
      </c>
      <c r="O196">
        <f t="shared" si="20"/>
        <v>0.16340416340416344</v>
      </c>
    </row>
    <row r="197" spans="1:15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G197">
        <f t="shared" si="25"/>
        <v>0.10337710337710337</v>
      </c>
      <c r="I197">
        <f t="shared" si="21"/>
        <v>6.9999999999999958E-3</v>
      </c>
      <c r="J197">
        <f t="shared" si="22"/>
        <v>9.0631848720000114</v>
      </c>
      <c r="K197">
        <f t="shared" si="23"/>
        <v>0.5</v>
      </c>
      <c r="L197">
        <f t="shared" si="24"/>
        <v>9.5701848720000111</v>
      </c>
      <c r="O197">
        <f t="shared" si="20"/>
        <v>0.10337710337710337</v>
      </c>
    </row>
    <row r="198" spans="1:15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G198">
        <f t="shared" si="25"/>
        <v>0.22258222258222263</v>
      </c>
      <c r="I198">
        <f t="shared" si="21"/>
        <v>6.9999999999999958E-3</v>
      </c>
      <c r="J198">
        <f t="shared" si="22"/>
        <v>9.0631848720000114</v>
      </c>
      <c r="K198">
        <f t="shared" si="23"/>
        <v>0.5</v>
      </c>
      <c r="L198">
        <f t="shared" si="24"/>
        <v>9.5701848720000111</v>
      </c>
      <c r="O198">
        <f t="shared" si="20"/>
        <v>0.22258222258222263</v>
      </c>
    </row>
    <row r="199" spans="1:15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G199">
        <f t="shared" si="25"/>
        <v>0.31978531978531982</v>
      </c>
      <c r="I199">
        <f t="shared" si="21"/>
        <v>6.9999999999999958E-3</v>
      </c>
      <c r="J199">
        <f t="shared" si="22"/>
        <v>9.0631848720000114</v>
      </c>
      <c r="K199">
        <f t="shared" si="23"/>
        <v>0.5</v>
      </c>
      <c r="L199">
        <f t="shared" si="24"/>
        <v>9.5701848720000111</v>
      </c>
      <c r="O199">
        <f t="shared" si="20"/>
        <v>0.31978531978531982</v>
      </c>
    </row>
    <row r="200" spans="1:15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G200">
        <f t="shared" si="25"/>
        <v>0.20973620973620982</v>
      </c>
      <c r="I200">
        <f t="shared" si="21"/>
        <v>6.9999999999999958E-3</v>
      </c>
      <c r="J200">
        <f t="shared" si="22"/>
        <v>9.0631848720000114</v>
      </c>
      <c r="K200">
        <f t="shared" si="23"/>
        <v>0.5</v>
      </c>
      <c r="L200">
        <f t="shared" si="24"/>
        <v>9.5701848720000111</v>
      </c>
      <c r="O200">
        <f t="shared" si="20"/>
        <v>0.20973620973620982</v>
      </c>
    </row>
    <row r="201" spans="1:15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G201">
        <f t="shared" si="25"/>
        <v>0.30717630717630728</v>
      </c>
      <c r="I201">
        <f t="shared" si="21"/>
        <v>6.9999999999999958E-3</v>
      </c>
      <c r="J201">
        <f t="shared" si="22"/>
        <v>9.0631848720000114</v>
      </c>
      <c r="K201">
        <f t="shared" si="23"/>
        <v>0.5</v>
      </c>
      <c r="L201">
        <f t="shared" si="24"/>
        <v>9.5701848720000111</v>
      </c>
      <c r="O201">
        <f t="shared" si="20"/>
        <v>0.30717630717630728</v>
      </c>
    </row>
    <row r="202" spans="1:15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G202">
        <f t="shared" si="25"/>
        <v>0.27905127905127919</v>
      </c>
      <c r="I202">
        <f t="shared" si="21"/>
        <v>6.9999999999999958E-3</v>
      </c>
      <c r="J202">
        <f t="shared" si="22"/>
        <v>9.0631848720000114</v>
      </c>
      <c r="K202">
        <f t="shared" si="23"/>
        <v>0.5</v>
      </c>
      <c r="L202">
        <f t="shared" si="24"/>
        <v>9.5701848720000111</v>
      </c>
      <c r="O202">
        <f t="shared" si="20"/>
        <v>0.27905127905127919</v>
      </c>
    </row>
    <row r="203" spans="1:15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G203">
        <f t="shared" si="25"/>
        <v>0.30697530697530706</v>
      </c>
      <c r="I203">
        <f t="shared" si="21"/>
        <v>3.4999999999999931E-3</v>
      </c>
      <c r="J203">
        <f t="shared" si="22"/>
        <v>9.0631848720000114</v>
      </c>
      <c r="K203">
        <f t="shared" si="23"/>
        <v>0.69999999999999929</v>
      </c>
      <c r="L203">
        <f t="shared" si="24"/>
        <v>9.7666848720000115</v>
      </c>
      <c r="O203">
        <f t="shared" si="20"/>
        <v>0.30697530697530706</v>
      </c>
    </row>
    <row r="204" spans="1:15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G204">
        <f t="shared" si="25"/>
        <v>0.13455913455913457</v>
      </c>
      <c r="I204">
        <f t="shared" si="21"/>
        <v>3.4999999999999931E-3</v>
      </c>
      <c r="J204">
        <f t="shared" si="22"/>
        <v>9.0631848720000114</v>
      </c>
      <c r="K204">
        <f t="shared" si="23"/>
        <v>0.69999999999999929</v>
      </c>
      <c r="L204">
        <f t="shared" si="24"/>
        <v>9.7666848720000115</v>
      </c>
      <c r="O204">
        <f t="shared" si="20"/>
        <v>0.13455913455913457</v>
      </c>
    </row>
    <row r="205" spans="1:15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G205">
        <f t="shared" si="25"/>
        <v>7.4910074910074981E-2</v>
      </c>
      <c r="I205">
        <f t="shared" si="21"/>
        <v>3.4999999999999931E-3</v>
      </c>
      <c r="J205">
        <f t="shared" si="22"/>
        <v>9.0631848720000114</v>
      </c>
      <c r="K205">
        <f t="shared" si="23"/>
        <v>0.69999999999999929</v>
      </c>
      <c r="L205">
        <f t="shared" si="24"/>
        <v>9.7666848720000115</v>
      </c>
      <c r="O205">
        <f t="shared" si="20"/>
        <v>7.4910074910074981E-2</v>
      </c>
    </row>
    <row r="206" spans="1:15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G206">
        <f t="shared" si="25"/>
        <v>0.16990816990816995</v>
      </c>
      <c r="I206">
        <f t="shared" si="21"/>
        <v>3.4999999999999931E-3</v>
      </c>
      <c r="J206">
        <f t="shared" si="22"/>
        <v>9.0631848720000114</v>
      </c>
      <c r="K206">
        <f t="shared" si="23"/>
        <v>0.69999999999999929</v>
      </c>
      <c r="L206">
        <f t="shared" si="24"/>
        <v>9.7666848720000115</v>
      </c>
      <c r="O206">
        <f t="shared" si="20"/>
        <v>0.16990816990816995</v>
      </c>
    </row>
    <row r="207" spans="1:15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G207">
        <f t="shared" si="25"/>
        <v>0.26257226257226257</v>
      </c>
      <c r="I207">
        <f t="shared" si="21"/>
        <v>2.3904999999999998</v>
      </c>
      <c r="J207">
        <f t="shared" si="22"/>
        <v>0.88175334799999305</v>
      </c>
      <c r="K207">
        <f t="shared" si="23"/>
        <v>0.60000000000000142</v>
      </c>
      <c r="L207">
        <f t="shared" si="24"/>
        <v>3.8722533479999943</v>
      </c>
      <c r="O207">
        <f t="shared" si="20"/>
        <v>0.26257226257226257</v>
      </c>
    </row>
    <row r="208" spans="1:15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G208">
        <f t="shared" si="25"/>
        <v>0.17667617667617683</v>
      </c>
      <c r="I208">
        <f t="shared" si="21"/>
        <v>2.3904999999999998</v>
      </c>
      <c r="J208">
        <f t="shared" si="22"/>
        <v>0.88175334799999305</v>
      </c>
      <c r="K208">
        <f t="shared" si="23"/>
        <v>0.60000000000000142</v>
      </c>
      <c r="L208">
        <f t="shared" si="24"/>
        <v>3.8722533479999943</v>
      </c>
      <c r="O208">
        <f t="shared" si="20"/>
        <v>0.17667617667617683</v>
      </c>
    </row>
    <row r="209" spans="1:15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G209">
        <f t="shared" si="25"/>
        <v>0.33030033030033035</v>
      </c>
      <c r="I209">
        <f t="shared" si="21"/>
        <v>2.3904999999999998</v>
      </c>
      <c r="J209">
        <f t="shared" si="22"/>
        <v>0.88175334799999305</v>
      </c>
      <c r="K209">
        <f t="shared" si="23"/>
        <v>0.60000000000000142</v>
      </c>
      <c r="L209">
        <f t="shared" si="24"/>
        <v>3.8722533479999943</v>
      </c>
      <c r="O209">
        <f t="shared" si="20"/>
        <v>0.33030033030033035</v>
      </c>
    </row>
    <row r="210" spans="1:15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G210">
        <f t="shared" si="25"/>
        <v>0.12861312861312871</v>
      </c>
      <c r="I210">
        <f t="shared" si="21"/>
        <v>2.3904999999999998</v>
      </c>
      <c r="J210">
        <f t="shared" si="22"/>
        <v>0.88175334799999305</v>
      </c>
      <c r="K210">
        <f t="shared" si="23"/>
        <v>0.60000000000000142</v>
      </c>
      <c r="L210">
        <f t="shared" si="24"/>
        <v>3.8722533479999943</v>
      </c>
      <c r="O210">
        <f t="shared" si="20"/>
        <v>0.12861312861312871</v>
      </c>
    </row>
    <row r="211" spans="1:15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G211">
        <f t="shared" si="25"/>
        <v>0.11312111312111327</v>
      </c>
      <c r="I211">
        <f t="shared" si="21"/>
        <v>2.3904999999999998</v>
      </c>
      <c r="J211">
        <f t="shared" si="22"/>
        <v>0.88175334799999305</v>
      </c>
      <c r="K211">
        <f t="shared" si="23"/>
        <v>0.60000000000000142</v>
      </c>
      <c r="L211">
        <f t="shared" si="24"/>
        <v>3.8722533479999943</v>
      </c>
      <c r="O211">
        <f t="shared" si="20"/>
        <v>0.11312111312111327</v>
      </c>
    </row>
    <row r="212" spans="1:15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G212">
        <f t="shared" si="25"/>
        <v>0.10810510810510818</v>
      </c>
      <c r="I212">
        <f t="shared" si="21"/>
        <v>2.3904999999999998</v>
      </c>
      <c r="J212">
        <f t="shared" si="22"/>
        <v>0.88175334799999305</v>
      </c>
      <c r="K212">
        <f t="shared" si="23"/>
        <v>0.60000000000000142</v>
      </c>
      <c r="L212">
        <f t="shared" si="24"/>
        <v>3.8722533479999943</v>
      </c>
      <c r="O212">
        <f t="shared" si="20"/>
        <v>0.10810510810510818</v>
      </c>
    </row>
    <row r="213" spans="1:15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G213">
        <f t="shared" si="25"/>
        <v>0.17821217821217836</v>
      </c>
      <c r="I213">
        <f t="shared" si="21"/>
        <v>2.3904999999999998</v>
      </c>
      <c r="J213">
        <f t="shared" si="22"/>
        <v>0.88175334799999305</v>
      </c>
      <c r="K213">
        <f t="shared" si="23"/>
        <v>0.60000000000000142</v>
      </c>
      <c r="L213">
        <f t="shared" si="24"/>
        <v>3.8722533479999943</v>
      </c>
      <c r="O213">
        <f t="shared" si="20"/>
        <v>0.17821217821217836</v>
      </c>
    </row>
    <row r="214" spans="1:15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G214">
        <f t="shared" si="25"/>
        <v>0.23441423441423451</v>
      </c>
      <c r="I214">
        <f t="shared" si="21"/>
        <v>2.3904999999999998</v>
      </c>
      <c r="J214">
        <f t="shared" si="22"/>
        <v>0.88175334799999305</v>
      </c>
      <c r="K214">
        <f t="shared" si="23"/>
        <v>0.60000000000000142</v>
      </c>
      <c r="L214">
        <f t="shared" si="24"/>
        <v>3.8722533479999943</v>
      </c>
      <c r="O214">
        <f t="shared" si="20"/>
        <v>0.23441423441423451</v>
      </c>
    </row>
    <row r="215" spans="1:15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G215">
        <f t="shared" si="25"/>
        <v>0.22345222345222354</v>
      </c>
      <c r="I215">
        <f t="shared" si="21"/>
        <v>2.3904999999999998</v>
      </c>
      <c r="J215">
        <f t="shared" si="22"/>
        <v>0.88175334799999305</v>
      </c>
      <c r="K215">
        <f t="shared" si="23"/>
        <v>0.60000000000000142</v>
      </c>
      <c r="L215">
        <f t="shared" si="24"/>
        <v>3.8722533479999943</v>
      </c>
      <c r="O215">
        <f t="shared" si="20"/>
        <v>0.22345222345222354</v>
      </c>
    </row>
    <row r="216" spans="1:15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G216">
        <f t="shared" si="25"/>
        <v>0.32388632388632399</v>
      </c>
      <c r="I216">
        <f t="shared" si="21"/>
        <v>2.3904999999999998</v>
      </c>
      <c r="J216">
        <f t="shared" si="22"/>
        <v>0.88175334799999305</v>
      </c>
      <c r="K216">
        <f t="shared" si="23"/>
        <v>0.60000000000000142</v>
      </c>
      <c r="L216">
        <f t="shared" si="24"/>
        <v>3.8722533479999943</v>
      </c>
      <c r="O216">
        <f t="shared" si="20"/>
        <v>0.32388632388632399</v>
      </c>
    </row>
    <row r="217" spans="1:15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G217">
        <f t="shared" si="25"/>
        <v>0.14104214104214105</v>
      </c>
      <c r="I217">
        <f t="shared" si="21"/>
        <v>2.7404999999999999</v>
      </c>
      <c r="J217">
        <f t="shared" si="22"/>
        <v>0.88175334799999305</v>
      </c>
      <c r="K217">
        <f t="shared" si="23"/>
        <v>0.5</v>
      </c>
      <c r="L217">
        <f t="shared" si="24"/>
        <v>4.122253347999993</v>
      </c>
      <c r="O217">
        <f t="shared" si="20"/>
        <v>0.14104214104214105</v>
      </c>
    </row>
    <row r="218" spans="1:15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G218">
        <f t="shared" si="25"/>
        <v>0.11504111504111514</v>
      </c>
      <c r="I218">
        <f t="shared" si="21"/>
        <v>2.7404999999999999</v>
      </c>
      <c r="J218">
        <f t="shared" si="22"/>
        <v>0.88175334799999305</v>
      </c>
      <c r="K218">
        <f t="shared" si="23"/>
        <v>0.5</v>
      </c>
      <c r="L218">
        <f t="shared" si="24"/>
        <v>4.122253347999993</v>
      </c>
      <c r="O218">
        <f t="shared" si="20"/>
        <v>0.11504111504111514</v>
      </c>
    </row>
    <row r="219" spans="1:15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G219">
        <f t="shared" si="25"/>
        <v>0.20247320247320258</v>
      </c>
      <c r="I219">
        <f t="shared" si="21"/>
        <v>2.7404999999999999</v>
      </c>
      <c r="J219">
        <f t="shared" si="22"/>
        <v>0.88175334799999305</v>
      </c>
      <c r="K219">
        <f t="shared" si="23"/>
        <v>0.5</v>
      </c>
      <c r="L219">
        <f t="shared" si="24"/>
        <v>4.122253347999993</v>
      </c>
      <c r="O219">
        <f t="shared" si="20"/>
        <v>0.20247320247320258</v>
      </c>
    </row>
    <row r="220" spans="1:15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G220">
        <f t="shared" si="25"/>
        <v>0.18697818697818702</v>
      </c>
      <c r="I220">
        <f t="shared" si="21"/>
        <v>2.7404999999999999</v>
      </c>
      <c r="J220">
        <f t="shared" si="22"/>
        <v>0.88175334799999305</v>
      </c>
      <c r="K220">
        <f t="shared" si="23"/>
        <v>0.5</v>
      </c>
      <c r="L220">
        <f t="shared" si="24"/>
        <v>4.122253347999993</v>
      </c>
      <c r="O220">
        <f t="shared" si="20"/>
        <v>0.18697818697818702</v>
      </c>
    </row>
    <row r="221" spans="1:15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G221">
        <f t="shared" si="25"/>
        <v>0.13763113763113766</v>
      </c>
      <c r="I221">
        <f t="shared" si="21"/>
        <v>2.7404999999999999</v>
      </c>
      <c r="J221">
        <f t="shared" si="22"/>
        <v>0.88175334799999305</v>
      </c>
      <c r="K221">
        <f t="shared" si="23"/>
        <v>0.5</v>
      </c>
      <c r="L221">
        <f t="shared" si="24"/>
        <v>4.122253347999993</v>
      </c>
      <c r="O221">
        <f t="shared" si="20"/>
        <v>0.13763113763113766</v>
      </c>
    </row>
    <row r="222" spans="1:15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G222">
        <f t="shared" si="25"/>
        <v>7.3737073737073749E-2</v>
      </c>
      <c r="I222">
        <f t="shared" si="21"/>
        <v>2.7404999999999999</v>
      </c>
      <c r="J222">
        <f t="shared" si="22"/>
        <v>0.88175334799999305</v>
      </c>
      <c r="K222">
        <f t="shared" si="23"/>
        <v>0.5</v>
      </c>
      <c r="L222">
        <f t="shared" si="24"/>
        <v>4.122253347999993</v>
      </c>
      <c r="O222">
        <f t="shared" si="20"/>
        <v>7.3737073737073749E-2</v>
      </c>
    </row>
    <row r="223" spans="1:15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G223">
        <f t="shared" si="25"/>
        <v>3.7203037203037234E-2</v>
      </c>
      <c r="I223">
        <f t="shared" si="21"/>
        <v>2.7404999999999999</v>
      </c>
      <c r="J223">
        <f t="shared" si="22"/>
        <v>0.88175334799999305</v>
      </c>
      <c r="K223">
        <f t="shared" si="23"/>
        <v>0.5</v>
      </c>
      <c r="L223">
        <f t="shared" si="24"/>
        <v>4.122253347999993</v>
      </c>
      <c r="O223">
        <f t="shared" si="20"/>
        <v>3.7203037203037234E-2</v>
      </c>
    </row>
    <row r="224" spans="1:15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G224">
        <f t="shared" si="25"/>
        <v>0.20415020415020416</v>
      </c>
      <c r="I224">
        <f t="shared" si="21"/>
        <v>2.7404999999999999</v>
      </c>
      <c r="J224">
        <f t="shared" si="22"/>
        <v>0.88175334799999305</v>
      </c>
      <c r="K224">
        <f t="shared" si="23"/>
        <v>0.5</v>
      </c>
      <c r="L224">
        <f t="shared" si="24"/>
        <v>4.122253347999993</v>
      </c>
      <c r="O224">
        <f t="shared" ref="O224:O255" si="26">G224</f>
        <v>0.20415020415020416</v>
      </c>
    </row>
    <row r="225" spans="1:15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G225">
        <f t="shared" si="25"/>
        <v>0.19727719727719731</v>
      </c>
      <c r="I225">
        <f t="shared" si="21"/>
        <v>0</v>
      </c>
      <c r="J225">
        <f t="shared" si="22"/>
        <v>6.930171780000002</v>
      </c>
      <c r="K225">
        <f t="shared" si="23"/>
        <v>5.5</v>
      </c>
      <c r="L225">
        <f t="shared" si="24"/>
        <v>12.430171780000002</v>
      </c>
      <c r="O225">
        <f t="shared" si="26"/>
        <v>0.19727719727719731</v>
      </c>
    </row>
    <row r="226" spans="1:15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G226">
        <f t="shared" si="25"/>
        <v>2.0073020073020163E-2</v>
      </c>
      <c r="I226">
        <f t="shared" si="21"/>
        <v>0</v>
      </c>
      <c r="J226">
        <f t="shared" si="22"/>
        <v>6.930171780000002</v>
      </c>
      <c r="K226">
        <f t="shared" si="23"/>
        <v>5.5</v>
      </c>
      <c r="L226">
        <f t="shared" si="24"/>
        <v>12.430171780000002</v>
      </c>
      <c r="O226">
        <f t="shared" si="26"/>
        <v>2.0073020073020163E-2</v>
      </c>
    </row>
    <row r="227" spans="1:15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G227">
        <f t="shared" si="25"/>
        <v>0.13100113100113109</v>
      </c>
      <c r="I227">
        <f t="shared" si="21"/>
        <v>0</v>
      </c>
      <c r="J227">
        <f t="shared" si="22"/>
        <v>6.930171780000002</v>
      </c>
      <c r="K227">
        <f t="shared" si="23"/>
        <v>5.5</v>
      </c>
      <c r="L227">
        <f t="shared" si="24"/>
        <v>12.430171780000002</v>
      </c>
      <c r="O227">
        <f t="shared" si="26"/>
        <v>0.13100113100113109</v>
      </c>
    </row>
    <row r="228" spans="1:15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G228">
        <f t="shared" si="25"/>
        <v>0.20960420960420975</v>
      </c>
      <c r="I228">
        <f t="shared" si="21"/>
        <v>0</v>
      </c>
      <c r="J228">
        <f t="shared" si="22"/>
        <v>6.930171780000002</v>
      </c>
      <c r="K228">
        <f t="shared" si="23"/>
        <v>5.5</v>
      </c>
      <c r="L228">
        <f t="shared" si="24"/>
        <v>12.430171780000002</v>
      </c>
      <c r="O228">
        <f t="shared" si="26"/>
        <v>0.20960420960420975</v>
      </c>
    </row>
    <row r="229" spans="1:15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G229">
        <f t="shared" si="25"/>
        <v>9.6078096078096101E-2</v>
      </c>
      <c r="I229">
        <f t="shared" si="21"/>
        <v>0</v>
      </c>
      <c r="J229">
        <f t="shared" si="22"/>
        <v>6.930171780000002</v>
      </c>
      <c r="K229">
        <f t="shared" si="23"/>
        <v>5.5</v>
      </c>
      <c r="L229">
        <f t="shared" si="24"/>
        <v>12.430171780000002</v>
      </c>
      <c r="O229">
        <f t="shared" si="26"/>
        <v>9.6078096078096101E-2</v>
      </c>
    </row>
    <row r="230" spans="1:15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G230">
        <f t="shared" si="25"/>
        <v>0.14110214110214123</v>
      </c>
      <c r="I230">
        <f t="shared" si="21"/>
        <v>0</v>
      </c>
      <c r="J230">
        <f t="shared" si="22"/>
        <v>6.930171780000002</v>
      </c>
      <c r="K230">
        <f t="shared" si="23"/>
        <v>5.5</v>
      </c>
      <c r="L230">
        <f t="shared" si="24"/>
        <v>12.430171780000002</v>
      </c>
      <c r="O230">
        <f t="shared" si="26"/>
        <v>0.14110214110214123</v>
      </c>
    </row>
    <row r="231" spans="1:15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G231">
        <f t="shared" si="25"/>
        <v>1.4343014343014359E-2</v>
      </c>
      <c r="I231">
        <f t="shared" si="21"/>
        <v>0</v>
      </c>
      <c r="J231">
        <f t="shared" si="22"/>
        <v>6.930171780000002</v>
      </c>
      <c r="K231">
        <f t="shared" si="23"/>
        <v>5.5</v>
      </c>
      <c r="L231">
        <f t="shared" si="24"/>
        <v>12.430171780000002</v>
      </c>
      <c r="O231">
        <f t="shared" si="26"/>
        <v>1.4343014343014359E-2</v>
      </c>
    </row>
    <row r="232" spans="1:15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G232">
        <f t="shared" si="25"/>
        <v>0.13047913047913062</v>
      </c>
      <c r="I232">
        <f t="shared" si="21"/>
        <v>0</v>
      </c>
      <c r="J232">
        <f t="shared" si="22"/>
        <v>6.930171780000002</v>
      </c>
      <c r="K232">
        <f t="shared" si="23"/>
        <v>5.5</v>
      </c>
      <c r="L232">
        <f t="shared" si="24"/>
        <v>12.430171780000002</v>
      </c>
      <c r="O232">
        <f t="shared" si="26"/>
        <v>0.13047913047913062</v>
      </c>
    </row>
    <row r="233" spans="1:15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G233">
        <f t="shared" si="25"/>
        <v>6.0534060534060692E-2</v>
      </c>
      <c r="I233">
        <f t="shared" si="21"/>
        <v>0</v>
      </c>
      <c r="J233">
        <f t="shared" si="22"/>
        <v>6.930171780000002</v>
      </c>
      <c r="K233">
        <f t="shared" si="23"/>
        <v>5.5</v>
      </c>
      <c r="L233">
        <f t="shared" si="24"/>
        <v>12.430171780000002</v>
      </c>
      <c r="O233">
        <f t="shared" si="26"/>
        <v>6.0534060534060692E-2</v>
      </c>
    </row>
    <row r="234" spans="1:15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G234">
        <f t="shared" si="25"/>
        <v>4.8807048807048822E-2</v>
      </c>
      <c r="I234">
        <f t="shared" si="21"/>
        <v>0</v>
      </c>
      <c r="J234">
        <f t="shared" si="22"/>
        <v>6.930171780000002</v>
      </c>
      <c r="K234">
        <f t="shared" si="23"/>
        <v>5.5</v>
      </c>
      <c r="L234">
        <f t="shared" si="24"/>
        <v>12.430171780000002</v>
      </c>
      <c r="O234">
        <f t="shared" si="26"/>
        <v>4.8807048807048822E-2</v>
      </c>
    </row>
    <row r="235" spans="1:15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G235">
        <f t="shared" si="25"/>
        <v>0.1012471012471013</v>
      </c>
      <c r="I235">
        <f t="shared" si="21"/>
        <v>0</v>
      </c>
      <c r="J235">
        <f t="shared" si="22"/>
        <v>6.930171780000002</v>
      </c>
      <c r="K235">
        <f t="shared" si="23"/>
        <v>5.5</v>
      </c>
      <c r="L235">
        <f t="shared" si="24"/>
        <v>12.430171780000002</v>
      </c>
      <c r="O235">
        <f t="shared" si="26"/>
        <v>0.1012471012471013</v>
      </c>
    </row>
    <row r="236" spans="1:15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G236">
        <f t="shared" si="25"/>
        <v>0.10315210315210319</v>
      </c>
      <c r="I236">
        <f t="shared" si="21"/>
        <v>0</v>
      </c>
      <c r="J236">
        <f t="shared" si="22"/>
        <v>6.930171780000002</v>
      </c>
      <c r="K236">
        <f t="shared" si="23"/>
        <v>5.5</v>
      </c>
      <c r="L236">
        <f t="shared" si="24"/>
        <v>12.430171780000002</v>
      </c>
      <c r="O236">
        <f t="shared" si="26"/>
        <v>0.10315210315210319</v>
      </c>
    </row>
    <row r="237" spans="1:15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G237">
        <f t="shared" si="25"/>
        <v>0.17132117132117139</v>
      </c>
      <c r="I237">
        <f t="shared" si="21"/>
        <v>3.4999999999999931E-3</v>
      </c>
      <c r="J237">
        <f t="shared" si="22"/>
        <v>6.7434517080000056</v>
      </c>
      <c r="K237">
        <f t="shared" si="23"/>
        <v>5.3999999999999986</v>
      </c>
      <c r="L237">
        <f t="shared" si="24"/>
        <v>12.146951708000003</v>
      </c>
      <c r="O237">
        <f t="shared" si="26"/>
        <v>0.17132117132117139</v>
      </c>
    </row>
    <row r="238" spans="1:15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G238">
        <f t="shared" si="25"/>
        <v>0.15905415905415912</v>
      </c>
      <c r="I238">
        <f t="shared" si="21"/>
        <v>3.4999999999999931E-3</v>
      </c>
      <c r="J238">
        <f t="shared" si="22"/>
        <v>6.7434517080000056</v>
      </c>
      <c r="K238">
        <f t="shared" si="23"/>
        <v>5.3999999999999986</v>
      </c>
      <c r="L238">
        <f t="shared" si="24"/>
        <v>12.146951708000003</v>
      </c>
      <c r="O238">
        <f t="shared" si="26"/>
        <v>0.15905415905415912</v>
      </c>
    </row>
    <row r="239" spans="1:15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G239">
        <f t="shared" si="25"/>
        <v>5.6358056358056359E-2</v>
      </c>
      <c r="I239">
        <f t="shared" si="21"/>
        <v>3.4999999999999931E-3</v>
      </c>
      <c r="J239">
        <f t="shared" si="22"/>
        <v>6.7434517080000056</v>
      </c>
      <c r="K239">
        <f t="shared" si="23"/>
        <v>5.3999999999999986</v>
      </c>
      <c r="L239">
        <f t="shared" si="24"/>
        <v>12.146951708000003</v>
      </c>
      <c r="O239">
        <f t="shared" si="26"/>
        <v>5.6358056358056359E-2</v>
      </c>
    </row>
    <row r="240" spans="1:15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G240">
        <f t="shared" si="25"/>
        <v>0.19703119703119709</v>
      </c>
      <c r="I240">
        <f t="shared" si="21"/>
        <v>3.4999999999999931E-3</v>
      </c>
      <c r="J240">
        <f t="shared" si="22"/>
        <v>6.7434517080000056</v>
      </c>
      <c r="K240">
        <f t="shared" si="23"/>
        <v>5.3999999999999986</v>
      </c>
      <c r="L240">
        <f t="shared" si="24"/>
        <v>12.146951708000003</v>
      </c>
      <c r="O240">
        <f t="shared" si="26"/>
        <v>0.19703119703119709</v>
      </c>
    </row>
    <row r="241" spans="1:15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G241">
        <f t="shared" si="25"/>
        <v>0.15677415677415688</v>
      </c>
      <c r="I241">
        <f t="shared" si="21"/>
        <v>3.4999999999999931E-3</v>
      </c>
      <c r="J241">
        <f t="shared" si="22"/>
        <v>6.7434517080000056</v>
      </c>
      <c r="K241">
        <f t="shared" si="23"/>
        <v>5.3999999999999986</v>
      </c>
      <c r="L241">
        <f t="shared" si="24"/>
        <v>12.146951708000003</v>
      </c>
      <c r="O241">
        <f t="shared" si="26"/>
        <v>0.15677415677415688</v>
      </c>
    </row>
    <row r="242" spans="1:15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G242">
        <f t="shared" si="25"/>
        <v>0.11691611691611702</v>
      </c>
      <c r="I242">
        <f t="shared" si="21"/>
        <v>3.4999999999999931E-3</v>
      </c>
      <c r="J242">
        <f t="shared" si="22"/>
        <v>6.7434517080000056</v>
      </c>
      <c r="K242">
        <f t="shared" si="23"/>
        <v>5.3999999999999986</v>
      </c>
      <c r="L242">
        <f t="shared" si="24"/>
        <v>12.146951708000003</v>
      </c>
      <c r="O242">
        <f t="shared" si="26"/>
        <v>0.11691611691611702</v>
      </c>
    </row>
    <row r="243" spans="1:15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G243">
        <f t="shared" si="25"/>
        <v>0.14549114549114553</v>
      </c>
      <c r="I243">
        <f t="shared" si="21"/>
        <v>3.4999999999999931E-3</v>
      </c>
      <c r="J243">
        <f t="shared" si="22"/>
        <v>6.7434517080000056</v>
      </c>
      <c r="K243">
        <f t="shared" si="23"/>
        <v>5.3999999999999986</v>
      </c>
      <c r="L243">
        <f t="shared" si="24"/>
        <v>12.146951708000003</v>
      </c>
      <c r="O243">
        <f t="shared" si="26"/>
        <v>0.14549114549114553</v>
      </c>
    </row>
    <row r="244" spans="1:15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G244">
        <f t="shared" si="25"/>
        <v>0.16092016092016104</v>
      </c>
      <c r="I244">
        <f t="shared" si="21"/>
        <v>3.4999999999999931E-3</v>
      </c>
      <c r="J244">
        <f t="shared" si="22"/>
        <v>6.7434517080000056</v>
      </c>
      <c r="K244">
        <f t="shared" si="23"/>
        <v>5.3999999999999986</v>
      </c>
      <c r="L244">
        <f t="shared" si="24"/>
        <v>12.146951708000003</v>
      </c>
      <c r="O244">
        <f t="shared" si="26"/>
        <v>0.16092016092016104</v>
      </c>
    </row>
    <row r="245" spans="1:15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G245">
        <f t="shared" si="25"/>
        <v>0.12416112416112415</v>
      </c>
      <c r="I245">
        <f t="shared" si="21"/>
        <v>3.4999999999999931E-3</v>
      </c>
      <c r="J245">
        <f t="shared" si="22"/>
        <v>6.7434517080000056</v>
      </c>
      <c r="K245">
        <f t="shared" si="23"/>
        <v>5.3999999999999986</v>
      </c>
      <c r="L245">
        <f t="shared" si="24"/>
        <v>12.146951708000003</v>
      </c>
      <c r="O245">
        <f t="shared" si="26"/>
        <v>0.12416112416112415</v>
      </c>
    </row>
    <row r="246" spans="1:15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G246">
        <f t="shared" si="25"/>
        <v>0.11270111270111272</v>
      </c>
      <c r="I246">
        <f t="shared" si="21"/>
        <v>3.4999999999999931E-3</v>
      </c>
      <c r="J246">
        <f t="shared" si="22"/>
        <v>6.7434517080000056</v>
      </c>
      <c r="K246">
        <f t="shared" si="23"/>
        <v>5.3999999999999986</v>
      </c>
      <c r="L246">
        <f t="shared" si="24"/>
        <v>12.146951708000003</v>
      </c>
      <c r="O246">
        <f t="shared" si="26"/>
        <v>0.11270111270111272</v>
      </c>
    </row>
    <row r="247" spans="1:15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G247">
        <f t="shared" si="25"/>
        <v>0.14176814176814184</v>
      </c>
      <c r="I247">
        <f t="shared" si="21"/>
        <v>3.4999999999999931E-3</v>
      </c>
      <c r="J247">
        <f t="shared" si="22"/>
        <v>6.7434517080000056</v>
      </c>
      <c r="K247">
        <f t="shared" si="23"/>
        <v>5.3999999999999986</v>
      </c>
      <c r="L247">
        <f t="shared" si="24"/>
        <v>12.146951708000003</v>
      </c>
      <c r="O247">
        <f t="shared" si="26"/>
        <v>0.14176814176814184</v>
      </c>
    </row>
    <row r="248" spans="1:15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G248">
        <f t="shared" si="25"/>
        <v>0.24393324393324403</v>
      </c>
      <c r="I248">
        <f t="shared" si="21"/>
        <v>3.4999999999999931E-3</v>
      </c>
      <c r="J248">
        <f t="shared" si="22"/>
        <v>6.7434517080000056</v>
      </c>
      <c r="K248">
        <f t="shared" si="23"/>
        <v>5.3999999999999986</v>
      </c>
      <c r="L248">
        <f t="shared" si="24"/>
        <v>12.146951708000003</v>
      </c>
      <c r="O248">
        <f t="shared" si="26"/>
        <v>0.24393324393324403</v>
      </c>
    </row>
    <row r="249" spans="1:15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G249">
        <f t="shared" si="25"/>
        <v>7.855207855207863E-2</v>
      </c>
      <c r="I249">
        <f t="shared" si="21"/>
        <v>3.4999999999999931E-3</v>
      </c>
      <c r="J249">
        <f t="shared" si="22"/>
        <v>6.7434517080000056</v>
      </c>
      <c r="K249">
        <f t="shared" si="23"/>
        <v>5.3999999999999986</v>
      </c>
      <c r="L249">
        <f t="shared" si="24"/>
        <v>12.146951708000003</v>
      </c>
      <c r="O249">
        <f t="shared" si="26"/>
        <v>7.855207855207863E-2</v>
      </c>
    </row>
    <row r="250" spans="1:15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G250">
        <f t="shared" si="25"/>
        <v>0.13231213231213243</v>
      </c>
      <c r="I250">
        <f t="shared" si="21"/>
        <v>3.4999999999999931E-3</v>
      </c>
      <c r="J250">
        <f t="shared" si="22"/>
        <v>6.7434517080000056</v>
      </c>
      <c r="K250">
        <f t="shared" si="23"/>
        <v>5.3999999999999986</v>
      </c>
      <c r="L250">
        <f t="shared" si="24"/>
        <v>12.146951708000003</v>
      </c>
      <c r="O250">
        <f t="shared" si="26"/>
        <v>0.13231213231213243</v>
      </c>
    </row>
    <row r="251" spans="1:15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G251">
        <f t="shared" si="25"/>
        <v>8.1444081444081509E-2</v>
      </c>
      <c r="I251">
        <f t="shared" si="21"/>
        <v>3.4999999999999931E-3</v>
      </c>
      <c r="J251">
        <f t="shared" si="22"/>
        <v>6.7434517080000056</v>
      </c>
      <c r="K251">
        <f t="shared" si="23"/>
        <v>5.3999999999999986</v>
      </c>
      <c r="L251">
        <f t="shared" si="24"/>
        <v>12.146951708000003</v>
      </c>
      <c r="O251">
        <f t="shared" si="26"/>
        <v>8.1444081444081509E-2</v>
      </c>
    </row>
    <row r="252" spans="1:15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G252">
        <f t="shared" si="25"/>
        <v>0.19050319050319059</v>
      </c>
      <c r="I252">
        <f t="shared" si="21"/>
        <v>2.3904999999999998</v>
      </c>
      <c r="J252">
        <f t="shared" si="22"/>
        <v>0.74961812800000871</v>
      </c>
      <c r="K252">
        <f t="shared" si="23"/>
        <v>5.3999999999999986</v>
      </c>
      <c r="L252">
        <f t="shared" si="24"/>
        <v>8.5401181280000067</v>
      </c>
      <c r="O252">
        <f t="shared" si="26"/>
        <v>0.19050319050319059</v>
      </c>
    </row>
    <row r="253" spans="1:15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G253">
        <f t="shared" si="25"/>
        <v>0.15411915411915425</v>
      </c>
      <c r="I253">
        <f t="shared" si="21"/>
        <v>2.3904999999999998</v>
      </c>
      <c r="J253">
        <f t="shared" si="22"/>
        <v>0.74961812800000871</v>
      </c>
      <c r="K253">
        <f t="shared" si="23"/>
        <v>5.3999999999999986</v>
      </c>
      <c r="L253">
        <f t="shared" si="24"/>
        <v>8.5401181280000067</v>
      </c>
      <c r="O253">
        <f t="shared" si="26"/>
        <v>0.15411915411915425</v>
      </c>
    </row>
    <row r="254" spans="1:15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G254">
        <f t="shared" si="25"/>
        <v>0.27693627693627693</v>
      </c>
      <c r="I254">
        <f t="shared" si="21"/>
        <v>2.3904999999999998</v>
      </c>
      <c r="J254">
        <f t="shared" si="22"/>
        <v>0.74961812800000871</v>
      </c>
      <c r="K254">
        <f t="shared" si="23"/>
        <v>5.3999999999999986</v>
      </c>
      <c r="L254">
        <f t="shared" si="24"/>
        <v>8.5401181280000067</v>
      </c>
      <c r="O254">
        <f t="shared" si="26"/>
        <v>0.27693627693627693</v>
      </c>
    </row>
    <row r="255" spans="1:15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G255">
        <f t="shared" si="25"/>
        <v>0.14572514572514586</v>
      </c>
      <c r="I255">
        <f t="shared" si="21"/>
        <v>2.3904999999999998</v>
      </c>
      <c r="J255">
        <f t="shared" si="22"/>
        <v>0.74961812800000871</v>
      </c>
      <c r="K255">
        <f t="shared" si="23"/>
        <v>5.3999999999999986</v>
      </c>
      <c r="L255">
        <f t="shared" si="24"/>
        <v>8.5401181280000067</v>
      </c>
      <c r="O255">
        <f t="shared" si="26"/>
        <v>0.14572514572514586</v>
      </c>
    </row>
    <row r="256" spans="1:15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G256">
        <f t="shared" si="25"/>
        <v>0.10215010215010217</v>
      </c>
      <c r="I256">
        <f t="shared" si="21"/>
        <v>2.3904999999999998</v>
      </c>
      <c r="J256">
        <f t="shared" si="22"/>
        <v>0.74961812800000871</v>
      </c>
      <c r="K256">
        <f t="shared" si="23"/>
        <v>5.3999999999999986</v>
      </c>
      <c r="L256">
        <f t="shared" si="24"/>
        <v>8.5401181280000067</v>
      </c>
      <c r="O256">
        <f t="shared" ref="O256:O287" si="27">G256</f>
        <v>0.10215010215010217</v>
      </c>
    </row>
    <row r="257" spans="1:15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G257">
        <f t="shared" si="25"/>
        <v>0.15085515085515092</v>
      </c>
      <c r="I257">
        <f t="shared" si="21"/>
        <v>2.3904999999999998</v>
      </c>
      <c r="J257">
        <f t="shared" si="22"/>
        <v>0.74961812800000871</v>
      </c>
      <c r="K257">
        <f t="shared" si="23"/>
        <v>5.3999999999999986</v>
      </c>
      <c r="L257">
        <f t="shared" si="24"/>
        <v>8.5401181280000067</v>
      </c>
      <c r="O257">
        <f t="shared" si="27"/>
        <v>0.15085515085515092</v>
      </c>
    </row>
    <row r="258" spans="1:15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G258">
        <f t="shared" si="25"/>
        <v>0.1175791175791177</v>
      </c>
      <c r="I258">
        <f t="shared" ref="I258:I321" si="28">(E258-0.17)*$S$2</f>
        <v>2.3904999999999998</v>
      </c>
      <c r="J258">
        <f t="shared" ref="J258:J321" si="29">(8-D258)*$S$4</f>
        <v>0.74961812800000871</v>
      </c>
      <c r="K258">
        <f t="shared" ref="K258:K321" si="30">(C258-20)*$S$3</f>
        <v>5.3999999999999986</v>
      </c>
      <c r="L258">
        <f t="shared" ref="L258:L321" si="31">SUM(I258:K258)+($V$2*(J258*K258))</f>
        <v>8.5401181280000067</v>
      </c>
      <c r="O258">
        <f t="shared" si="27"/>
        <v>0.1175791175791177</v>
      </c>
    </row>
    <row r="259" spans="1:15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G259">
        <f t="shared" ref="G259:G322" si="32">($F$343-F259)/$F$343</f>
        <v>0.18104718104718118</v>
      </c>
      <c r="I259">
        <f t="shared" si="28"/>
        <v>2.3904999999999998</v>
      </c>
      <c r="J259">
        <f t="shared" si="29"/>
        <v>0.74961812800000871</v>
      </c>
      <c r="K259">
        <f t="shared" si="30"/>
        <v>5.3999999999999986</v>
      </c>
      <c r="L259">
        <f t="shared" si="31"/>
        <v>8.5401181280000067</v>
      </c>
      <c r="O259">
        <f t="shared" si="27"/>
        <v>0.18104718104718118</v>
      </c>
    </row>
    <row r="260" spans="1:15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G260">
        <f t="shared" si="32"/>
        <v>7.0062070062070186E-2</v>
      </c>
      <c r="I260">
        <f t="shared" si="28"/>
        <v>2.3904999999999998</v>
      </c>
      <c r="J260">
        <f t="shared" si="29"/>
        <v>0.74961812800000871</v>
      </c>
      <c r="K260">
        <f t="shared" si="30"/>
        <v>5.3999999999999986</v>
      </c>
      <c r="L260">
        <f t="shared" si="31"/>
        <v>8.5401181280000067</v>
      </c>
      <c r="O260">
        <f t="shared" si="27"/>
        <v>7.0062070062070186E-2</v>
      </c>
    </row>
    <row r="261" spans="1:15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G261">
        <f t="shared" si="32"/>
        <v>7.4181074181074266E-2</v>
      </c>
      <c r="I261">
        <f t="shared" si="28"/>
        <v>2.3904999999999998</v>
      </c>
      <c r="J261">
        <f t="shared" si="29"/>
        <v>0.74961812800000871</v>
      </c>
      <c r="K261">
        <f t="shared" si="30"/>
        <v>5.3999999999999986</v>
      </c>
      <c r="L261">
        <f t="shared" si="31"/>
        <v>8.5401181280000067</v>
      </c>
      <c r="O261">
        <f t="shared" si="27"/>
        <v>7.4181074181074266E-2</v>
      </c>
    </row>
    <row r="262" spans="1:15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G262">
        <f t="shared" si="32"/>
        <v>0.14717714717714725</v>
      </c>
      <c r="I262">
        <f t="shared" si="28"/>
        <v>2.3904999999999998</v>
      </c>
      <c r="J262">
        <f t="shared" si="29"/>
        <v>0.74961812800000871</v>
      </c>
      <c r="K262">
        <f t="shared" si="30"/>
        <v>5.3999999999999986</v>
      </c>
      <c r="L262">
        <f t="shared" si="31"/>
        <v>8.5401181280000067</v>
      </c>
      <c r="O262">
        <f t="shared" si="27"/>
        <v>0.14717714717714725</v>
      </c>
    </row>
    <row r="263" spans="1:15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G263">
        <f t="shared" si="32"/>
        <v>7.3629073629073644E-2</v>
      </c>
      <c r="I263">
        <f t="shared" si="28"/>
        <v>2.3904999999999998</v>
      </c>
      <c r="J263">
        <f t="shared" si="29"/>
        <v>0.69536432000000659</v>
      </c>
      <c r="K263">
        <f t="shared" si="30"/>
        <v>5.3000000000000007</v>
      </c>
      <c r="L263">
        <f t="shared" si="31"/>
        <v>8.3858643200000067</v>
      </c>
      <c r="O263">
        <f t="shared" si="27"/>
        <v>7.3629073629073644E-2</v>
      </c>
    </row>
    <row r="264" spans="1:15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G264">
        <f t="shared" si="32"/>
        <v>0.13739713739713749</v>
      </c>
      <c r="I264">
        <f t="shared" si="28"/>
        <v>2.3904999999999998</v>
      </c>
      <c r="J264">
        <f t="shared" si="29"/>
        <v>0.69536432000000659</v>
      </c>
      <c r="K264">
        <f t="shared" si="30"/>
        <v>5.3000000000000007</v>
      </c>
      <c r="L264">
        <f t="shared" si="31"/>
        <v>8.3858643200000067</v>
      </c>
      <c r="O264">
        <f t="shared" si="27"/>
        <v>0.13739713739713749</v>
      </c>
    </row>
    <row r="265" spans="1:15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G265">
        <f t="shared" si="32"/>
        <v>8.94750894750896E-2</v>
      </c>
      <c r="I265">
        <f t="shared" si="28"/>
        <v>2.3904999999999998</v>
      </c>
      <c r="J265">
        <f t="shared" si="29"/>
        <v>0.69536432000000659</v>
      </c>
      <c r="K265">
        <f t="shared" si="30"/>
        <v>5.3000000000000007</v>
      </c>
      <c r="L265">
        <f t="shared" si="31"/>
        <v>8.3858643200000067</v>
      </c>
      <c r="O265">
        <f t="shared" si="27"/>
        <v>8.94750894750896E-2</v>
      </c>
    </row>
    <row r="266" spans="1:15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G266">
        <f t="shared" si="32"/>
        <v>0.12066312066312067</v>
      </c>
      <c r="I266">
        <f t="shared" si="28"/>
        <v>2.3904999999999998</v>
      </c>
      <c r="J266">
        <f t="shared" si="29"/>
        <v>0.69536432000000659</v>
      </c>
      <c r="K266">
        <f t="shared" si="30"/>
        <v>5.3000000000000007</v>
      </c>
      <c r="L266">
        <f t="shared" si="31"/>
        <v>8.3858643200000067</v>
      </c>
      <c r="O266">
        <f t="shared" si="27"/>
        <v>0.12066312066312067</v>
      </c>
    </row>
    <row r="267" spans="1:15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G267">
        <f t="shared" si="32"/>
        <v>0.2465672465672466</v>
      </c>
      <c r="I267">
        <f t="shared" si="28"/>
        <v>2.3904999999999998</v>
      </c>
      <c r="J267">
        <f t="shared" si="29"/>
        <v>0.69536432000000659</v>
      </c>
      <c r="K267">
        <f t="shared" si="30"/>
        <v>5.3000000000000007</v>
      </c>
      <c r="L267">
        <f t="shared" si="31"/>
        <v>8.3858643200000067</v>
      </c>
      <c r="O267">
        <f t="shared" si="27"/>
        <v>0.2465672465672466</v>
      </c>
    </row>
    <row r="268" spans="1:15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G268">
        <f t="shared" si="32"/>
        <v>0.15322815322815328</v>
      </c>
      <c r="I268">
        <f t="shared" si="28"/>
        <v>2.3904999999999998</v>
      </c>
      <c r="J268">
        <f t="shared" si="29"/>
        <v>0.69536432000000659</v>
      </c>
      <c r="K268">
        <f t="shared" si="30"/>
        <v>5.3000000000000007</v>
      </c>
      <c r="L268">
        <f t="shared" si="31"/>
        <v>8.3858643200000067</v>
      </c>
      <c r="O268">
        <f t="shared" si="27"/>
        <v>0.15322815322815328</v>
      </c>
    </row>
    <row r="269" spans="1:15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G269">
        <f t="shared" si="32"/>
        <v>0.26970926970926973</v>
      </c>
      <c r="I269">
        <f t="shared" si="28"/>
        <v>2.3904999999999998</v>
      </c>
      <c r="J269">
        <f t="shared" si="29"/>
        <v>0.69536432000000659</v>
      </c>
      <c r="K269">
        <f t="shared" si="30"/>
        <v>5.3000000000000007</v>
      </c>
      <c r="L269">
        <f t="shared" si="31"/>
        <v>8.3858643200000067</v>
      </c>
      <c r="O269">
        <f t="shared" si="27"/>
        <v>0.26970926970926973</v>
      </c>
    </row>
    <row r="270" spans="1:15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G270">
        <f t="shared" si="32"/>
        <v>0.15381915381915387</v>
      </c>
      <c r="I270">
        <f t="shared" si="28"/>
        <v>2.3904999999999998</v>
      </c>
      <c r="J270">
        <f t="shared" si="29"/>
        <v>0.69536432000000659</v>
      </c>
      <c r="K270">
        <f t="shared" si="30"/>
        <v>5.3000000000000007</v>
      </c>
      <c r="L270">
        <f t="shared" si="31"/>
        <v>8.3858643200000067</v>
      </c>
      <c r="O270">
        <f t="shared" si="27"/>
        <v>0.15381915381915387</v>
      </c>
    </row>
    <row r="271" spans="1:15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G271">
        <f t="shared" si="32"/>
        <v>0.25558525558525569</v>
      </c>
      <c r="I271">
        <f t="shared" si="28"/>
        <v>3.4999999999999931E-3</v>
      </c>
      <c r="J271">
        <f t="shared" si="29"/>
        <v>1.039270036000012</v>
      </c>
      <c r="K271">
        <f t="shared" si="30"/>
        <v>0.89999999999999858</v>
      </c>
      <c r="L271">
        <f t="shared" si="31"/>
        <v>1.9427700360000106</v>
      </c>
      <c r="O271">
        <f t="shared" si="27"/>
        <v>0.25558525558525569</v>
      </c>
    </row>
    <row r="272" spans="1:15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G272">
        <f t="shared" si="32"/>
        <v>0.23082323082323089</v>
      </c>
      <c r="I272">
        <f t="shared" si="28"/>
        <v>3.4999999999999931E-3</v>
      </c>
      <c r="J272">
        <f t="shared" si="29"/>
        <v>1.039270036000012</v>
      </c>
      <c r="K272">
        <f t="shared" si="30"/>
        <v>0.89999999999999858</v>
      </c>
      <c r="L272">
        <f t="shared" si="31"/>
        <v>1.9427700360000106</v>
      </c>
      <c r="O272">
        <f t="shared" si="27"/>
        <v>0.23082323082323089</v>
      </c>
    </row>
    <row r="273" spans="1:15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G273">
        <f t="shared" si="32"/>
        <v>0.20715320715320726</v>
      </c>
      <c r="I273">
        <f t="shared" si="28"/>
        <v>3.4999999999999931E-3</v>
      </c>
      <c r="J273">
        <f t="shared" si="29"/>
        <v>1.039270036000012</v>
      </c>
      <c r="K273">
        <f t="shared" si="30"/>
        <v>0.89999999999999858</v>
      </c>
      <c r="L273">
        <f t="shared" si="31"/>
        <v>1.9427700360000106</v>
      </c>
      <c r="O273">
        <f t="shared" si="27"/>
        <v>0.20715320715320726</v>
      </c>
    </row>
    <row r="274" spans="1:15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G274">
        <f t="shared" si="32"/>
        <v>0.22769122769122782</v>
      </c>
      <c r="I274">
        <f t="shared" si="28"/>
        <v>3.4999999999999931E-3</v>
      </c>
      <c r="J274">
        <f t="shared" si="29"/>
        <v>1.039270036000012</v>
      </c>
      <c r="K274">
        <f t="shared" si="30"/>
        <v>0.89999999999999858</v>
      </c>
      <c r="L274">
        <f t="shared" si="31"/>
        <v>1.9427700360000106</v>
      </c>
      <c r="O274">
        <f t="shared" si="27"/>
        <v>0.22769122769122782</v>
      </c>
    </row>
    <row r="275" spans="1:15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G275">
        <f t="shared" si="32"/>
        <v>0.22735822735822733</v>
      </c>
      <c r="I275">
        <f t="shared" si="28"/>
        <v>3.4999999999999931E-3</v>
      </c>
      <c r="J275">
        <f t="shared" si="29"/>
        <v>1.039270036000012</v>
      </c>
      <c r="K275">
        <f t="shared" si="30"/>
        <v>0.89999999999999858</v>
      </c>
      <c r="L275">
        <f t="shared" si="31"/>
        <v>1.9427700360000106</v>
      </c>
      <c r="O275">
        <f t="shared" si="27"/>
        <v>0.22735822735822733</v>
      </c>
    </row>
    <row r="276" spans="1:15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G276">
        <f t="shared" si="32"/>
        <v>0.22098022098022105</v>
      </c>
      <c r="I276">
        <f t="shared" si="28"/>
        <v>3.4999999999999931E-3</v>
      </c>
      <c r="J276">
        <f t="shared" si="29"/>
        <v>1.039270036000012</v>
      </c>
      <c r="K276">
        <f t="shared" si="30"/>
        <v>0.89999999999999858</v>
      </c>
      <c r="L276">
        <f t="shared" si="31"/>
        <v>1.9427700360000106</v>
      </c>
      <c r="O276">
        <f t="shared" si="27"/>
        <v>0.22098022098022105</v>
      </c>
    </row>
    <row r="277" spans="1:15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G277">
        <f t="shared" si="32"/>
        <v>0.23842223842223853</v>
      </c>
      <c r="I277">
        <f t="shared" si="28"/>
        <v>3.4999999999999931E-3</v>
      </c>
      <c r="J277">
        <f t="shared" si="29"/>
        <v>1.039270036000012</v>
      </c>
      <c r="K277">
        <f t="shared" si="30"/>
        <v>0.89999999999999858</v>
      </c>
      <c r="L277">
        <f t="shared" si="31"/>
        <v>1.9427700360000106</v>
      </c>
      <c r="O277">
        <f t="shared" si="27"/>
        <v>0.23842223842223853</v>
      </c>
    </row>
    <row r="278" spans="1:15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G278">
        <f t="shared" si="32"/>
        <v>0.22718122718122727</v>
      </c>
      <c r="I278">
        <f t="shared" si="28"/>
        <v>3.4999999999999931E-3</v>
      </c>
      <c r="J278">
        <f t="shared" si="29"/>
        <v>1.039270036000012</v>
      </c>
      <c r="K278">
        <f t="shared" si="30"/>
        <v>0.89999999999999858</v>
      </c>
      <c r="L278">
        <f t="shared" si="31"/>
        <v>1.9427700360000106</v>
      </c>
      <c r="O278">
        <f t="shared" si="27"/>
        <v>0.22718122718122727</v>
      </c>
    </row>
    <row r="279" spans="1:15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G279">
        <f t="shared" si="32"/>
        <v>0.2756972756972757</v>
      </c>
      <c r="I279">
        <f t="shared" si="28"/>
        <v>3.4999999999999931E-3</v>
      </c>
      <c r="J279">
        <f t="shared" si="29"/>
        <v>1.039270036000012</v>
      </c>
      <c r="K279">
        <f t="shared" si="30"/>
        <v>0.89999999999999858</v>
      </c>
      <c r="L279">
        <f t="shared" si="31"/>
        <v>1.9427700360000106</v>
      </c>
      <c r="O279">
        <f t="shared" si="27"/>
        <v>0.2756972756972757</v>
      </c>
    </row>
    <row r="280" spans="1:15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G280">
        <f t="shared" si="32"/>
        <v>0.11672411672411676</v>
      </c>
      <c r="I280">
        <f t="shared" si="28"/>
        <v>3.4999999999999931E-3</v>
      </c>
      <c r="J280">
        <f t="shared" si="29"/>
        <v>0.79619313199999198</v>
      </c>
      <c r="K280">
        <f t="shared" si="30"/>
        <v>0.69999999999999929</v>
      </c>
      <c r="L280">
        <f t="shared" si="31"/>
        <v>1.4996931319999911</v>
      </c>
      <c r="O280">
        <f t="shared" si="27"/>
        <v>0.11672411672411676</v>
      </c>
    </row>
    <row r="281" spans="1:15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G281">
        <f t="shared" si="32"/>
        <v>0.11248811248811259</v>
      </c>
      <c r="I281">
        <f t="shared" si="28"/>
        <v>3.4999999999999931E-3</v>
      </c>
      <c r="J281">
        <f t="shared" si="29"/>
        <v>0.79619313199999198</v>
      </c>
      <c r="K281">
        <f t="shared" si="30"/>
        <v>0.69999999999999929</v>
      </c>
      <c r="L281">
        <f t="shared" si="31"/>
        <v>1.4996931319999911</v>
      </c>
      <c r="O281">
        <f t="shared" si="27"/>
        <v>0.11248811248811259</v>
      </c>
    </row>
    <row r="282" spans="1:15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G282">
        <f t="shared" si="32"/>
        <v>0.10500610500610502</v>
      </c>
      <c r="I282">
        <f t="shared" si="28"/>
        <v>3.4999999999999931E-3</v>
      </c>
      <c r="J282">
        <f t="shared" si="29"/>
        <v>0.79619313199999198</v>
      </c>
      <c r="K282">
        <f t="shared" si="30"/>
        <v>0.69999999999999929</v>
      </c>
      <c r="L282">
        <f t="shared" si="31"/>
        <v>1.4996931319999911</v>
      </c>
      <c r="O282">
        <f t="shared" si="27"/>
        <v>0.10500610500610502</v>
      </c>
    </row>
    <row r="283" spans="1:15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G283">
        <f t="shared" si="32"/>
        <v>6.7614067614067644E-2</v>
      </c>
      <c r="I283">
        <f t="shared" si="28"/>
        <v>3.4999999999999931E-3</v>
      </c>
      <c r="J283">
        <f t="shared" si="29"/>
        <v>0.79619313199999198</v>
      </c>
      <c r="K283">
        <f t="shared" si="30"/>
        <v>0.69999999999999929</v>
      </c>
      <c r="L283">
        <f t="shared" si="31"/>
        <v>1.4996931319999911</v>
      </c>
      <c r="O283">
        <f t="shared" si="27"/>
        <v>6.7614067614067644E-2</v>
      </c>
    </row>
    <row r="284" spans="1:15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G284">
        <f t="shared" si="32"/>
        <v>9.0486090486090576E-2</v>
      </c>
      <c r="I284">
        <f t="shared" si="28"/>
        <v>3.4999999999999931E-3</v>
      </c>
      <c r="J284">
        <f t="shared" si="29"/>
        <v>0.79619313199999198</v>
      </c>
      <c r="K284">
        <f t="shared" si="30"/>
        <v>0.69999999999999929</v>
      </c>
      <c r="L284">
        <f t="shared" si="31"/>
        <v>1.4996931319999911</v>
      </c>
      <c r="O284">
        <f t="shared" si="27"/>
        <v>9.0486090486090576E-2</v>
      </c>
    </row>
    <row r="285" spans="1:15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G285">
        <f t="shared" si="32"/>
        <v>9.0402090402090435E-2</v>
      </c>
      <c r="I285">
        <f t="shared" si="28"/>
        <v>3.4999999999999931E-3</v>
      </c>
      <c r="J285">
        <f t="shared" si="29"/>
        <v>0.79619313199999198</v>
      </c>
      <c r="K285">
        <f t="shared" si="30"/>
        <v>0.69999999999999929</v>
      </c>
      <c r="L285">
        <f t="shared" si="31"/>
        <v>1.4996931319999911</v>
      </c>
      <c r="O285">
        <f t="shared" si="27"/>
        <v>9.0402090402090435E-2</v>
      </c>
    </row>
    <row r="286" spans="1:15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G286">
        <f t="shared" si="32"/>
        <v>0.14240414240414245</v>
      </c>
      <c r="I286">
        <f t="shared" si="28"/>
        <v>3.4999999999999931E-3</v>
      </c>
      <c r="J286">
        <f t="shared" si="29"/>
        <v>0.79619313199999198</v>
      </c>
      <c r="K286">
        <f t="shared" si="30"/>
        <v>0.69999999999999929</v>
      </c>
      <c r="L286">
        <f t="shared" si="31"/>
        <v>1.4996931319999911</v>
      </c>
      <c r="O286">
        <f t="shared" si="27"/>
        <v>0.14240414240414245</v>
      </c>
    </row>
    <row r="287" spans="1:15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G287">
        <f t="shared" si="32"/>
        <v>0.10371610371610372</v>
      </c>
      <c r="I287">
        <f t="shared" si="28"/>
        <v>3.4999999999999931E-3</v>
      </c>
      <c r="J287">
        <f t="shared" si="29"/>
        <v>0.79619313199999198</v>
      </c>
      <c r="K287">
        <f t="shared" si="30"/>
        <v>0.69999999999999929</v>
      </c>
      <c r="L287">
        <f t="shared" si="31"/>
        <v>1.4996931319999911</v>
      </c>
      <c r="O287">
        <f t="shared" si="27"/>
        <v>0.10371610371610372</v>
      </c>
    </row>
    <row r="288" spans="1:15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G288">
        <f t="shared" si="32"/>
        <v>8.8428088428088414E-2</v>
      </c>
      <c r="I288">
        <f t="shared" si="28"/>
        <v>3.4999999999999931E-3</v>
      </c>
      <c r="J288">
        <f t="shared" si="29"/>
        <v>0.79619313199999198</v>
      </c>
      <c r="K288">
        <f t="shared" si="30"/>
        <v>0.69999999999999929</v>
      </c>
      <c r="L288">
        <f t="shared" si="31"/>
        <v>1.4996931319999911</v>
      </c>
      <c r="O288">
        <f t="shared" ref="O288:O319" si="33">G288</f>
        <v>8.8428088428088414E-2</v>
      </c>
    </row>
    <row r="289" spans="1:15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G289">
        <f t="shared" si="32"/>
        <v>9.7842097842097936E-2</v>
      </c>
      <c r="I289">
        <f t="shared" si="28"/>
        <v>3.4999999999999931E-3</v>
      </c>
      <c r="J289">
        <f t="shared" si="29"/>
        <v>0.79619313199999198</v>
      </c>
      <c r="K289">
        <f t="shared" si="30"/>
        <v>0.69999999999999929</v>
      </c>
      <c r="L289">
        <f t="shared" si="31"/>
        <v>1.4996931319999911</v>
      </c>
      <c r="O289">
        <f t="shared" si="33"/>
        <v>9.7842097842097936E-2</v>
      </c>
    </row>
    <row r="290" spans="1:15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G290">
        <f t="shared" si="32"/>
        <v>0.20388920388920395</v>
      </c>
      <c r="I290">
        <f t="shared" si="28"/>
        <v>2.3904999999999998</v>
      </c>
      <c r="J290">
        <f t="shared" si="29"/>
        <v>8.9616326520000058</v>
      </c>
      <c r="K290">
        <f t="shared" si="30"/>
        <v>0.80000000000000071</v>
      </c>
      <c r="L290">
        <f t="shared" si="31"/>
        <v>12.152132652000006</v>
      </c>
      <c r="O290">
        <f t="shared" si="33"/>
        <v>0.20388920388920395</v>
      </c>
    </row>
    <row r="291" spans="1:15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G291">
        <f t="shared" si="32"/>
        <v>0.11933711933711949</v>
      </c>
      <c r="I291">
        <f t="shared" si="28"/>
        <v>2.3904999999999998</v>
      </c>
      <c r="J291">
        <f t="shared" si="29"/>
        <v>8.9616326520000058</v>
      </c>
      <c r="K291">
        <f t="shared" si="30"/>
        <v>0.80000000000000071</v>
      </c>
      <c r="L291">
        <f t="shared" si="31"/>
        <v>12.152132652000006</v>
      </c>
      <c r="O291">
        <f t="shared" si="33"/>
        <v>0.11933711933711949</v>
      </c>
    </row>
    <row r="292" spans="1:15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G292">
        <f t="shared" si="32"/>
        <v>0.14784014784014793</v>
      </c>
      <c r="I292">
        <f t="shared" si="28"/>
        <v>2.3904999999999998</v>
      </c>
      <c r="J292">
        <f t="shared" si="29"/>
        <v>8.9616326520000058</v>
      </c>
      <c r="K292">
        <f t="shared" si="30"/>
        <v>0.80000000000000071</v>
      </c>
      <c r="L292">
        <f t="shared" si="31"/>
        <v>12.152132652000006</v>
      </c>
      <c r="O292">
        <f t="shared" si="33"/>
        <v>0.14784014784014793</v>
      </c>
    </row>
    <row r="293" spans="1:15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G293">
        <f t="shared" si="32"/>
        <v>9.933009933009937E-2</v>
      </c>
      <c r="I293">
        <f t="shared" si="28"/>
        <v>2.3904999999999998</v>
      </c>
      <c r="J293">
        <f t="shared" si="29"/>
        <v>8.9616326520000058</v>
      </c>
      <c r="K293">
        <f t="shared" si="30"/>
        <v>0.80000000000000071</v>
      </c>
      <c r="L293">
        <f t="shared" si="31"/>
        <v>12.152132652000006</v>
      </c>
      <c r="O293">
        <f t="shared" si="33"/>
        <v>9.933009933009937E-2</v>
      </c>
    </row>
    <row r="294" spans="1:15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G294">
        <f t="shared" si="32"/>
        <v>6.1533061533061602E-2</v>
      </c>
      <c r="I294">
        <f t="shared" si="28"/>
        <v>2.3904999999999998</v>
      </c>
      <c r="J294">
        <f t="shared" si="29"/>
        <v>8.9616326520000058</v>
      </c>
      <c r="K294">
        <f t="shared" si="30"/>
        <v>0.80000000000000071</v>
      </c>
      <c r="L294">
        <f t="shared" si="31"/>
        <v>12.152132652000006</v>
      </c>
      <c r="O294">
        <f t="shared" si="33"/>
        <v>6.1533061533061602E-2</v>
      </c>
    </row>
    <row r="295" spans="1:15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G295">
        <f t="shared" si="32"/>
        <v>5.2374052374052453E-2</v>
      </c>
      <c r="I295">
        <f t="shared" si="28"/>
        <v>2.3904999999999998</v>
      </c>
      <c r="J295">
        <f t="shared" si="29"/>
        <v>8.9616326520000058</v>
      </c>
      <c r="K295">
        <f t="shared" si="30"/>
        <v>0.80000000000000071</v>
      </c>
      <c r="L295">
        <f t="shared" si="31"/>
        <v>12.152132652000006</v>
      </c>
      <c r="O295">
        <f t="shared" si="33"/>
        <v>5.2374052374052453E-2</v>
      </c>
    </row>
    <row r="296" spans="1:15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G296">
        <f t="shared" si="32"/>
        <v>0.11134211134211143</v>
      </c>
      <c r="I296">
        <f t="shared" si="28"/>
        <v>2.7404999999999999</v>
      </c>
      <c r="J296">
        <f t="shared" si="29"/>
        <v>8.9616326520000058</v>
      </c>
      <c r="K296">
        <f t="shared" si="30"/>
        <v>0.5</v>
      </c>
      <c r="L296">
        <f t="shared" si="31"/>
        <v>12.202132652000007</v>
      </c>
      <c r="O296">
        <f t="shared" si="33"/>
        <v>0.11134211134211143</v>
      </c>
    </row>
    <row r="297" spans="1:15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G297">
        <f t="shared" si="32"/>
        <v>0.10250410250410251</v>
      </c>
      <c r="I297">
        <f t="shared" si="28"/>
        <v>2.7404999999999999</v>
      </c>
      <c r="J297">
        <f t="shared" si="29"/>
        <v>8.9616326520000058</v>
      </c>
      <c r="K297">
        <f t="shared" si="30"/>
        <v>0.5</v>
      </c>
      <c r="L297">
        <f t="shared" si="31"/>
        <v>12.202132652000007</v>
      </c>
      <c r="O297">
        <f t="shared" si="33"/>
        <v>0.10250410250410251</v>
      </c>
    </row>
    <row r="298" spans="1:15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G298">
        <f t="shared" si="32"/>
        <v>0.18879918879918894</v>
      </c>
      <c r="I298">
        <f t="shared" si="28"/>
        <v>2.7404999999999999</v>
      </c>
      <c r="J298">
        <f t="shared" si="29"/>
        <v>8.9616326520000058</v>
      </c>
      <c r="K298">
        <f t="shared" si="30"/>
        <v>0.5</v>
      </c>
      <c r="L298">
        <f t="shared" si="31"/>
        <v>12.202132652000007</v>
      </c>
      <c r="O298">
        <f t="shared" si="33"/>
        <v>0.18879918879918894</v>
      </c>
    </row>
    <row r="299" spans="1:15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G299">
        <f t="shared" si="32"/>
        <v>0.22381822381822394</v>
      </c>
      <c r="I299">
        <f t="shared" si="28"/>
        <v>2.7404999999999999</v>
      </c>
      <c r="J299">
        <f t="shared" si="29"/>
        <v>8.9616326520000058</v>
      </c>
      <c r="K299">
        <f t="shared" si="30"/>
        <v>0.5</v>
      </c>
      <c r="L299">
        <f t="shared" si="31"/>
        <v>12.202132652000007</v>
      </c>
      <c r="O299">
        <f t="shared" si="33"/>
        <v>0.22381822381822394</v>
      </c>
    </row>
    <row r="300" spans="1:15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G300">
        <f t="shared" si="32"/>
        <v>0.18609018609018615</v>
      </c>
      <c r="I300">
        <f t="shared" si="28"/>
        <v>2.7404999999999999</v>
      </c>
      <c r="J300">
        <f t="shared" si="29"/>
        <v>8.9616326520000058</v>
      </c>
      <c r="K300">
        <f t="shared" si="30"/>
        <v>0.5</v>
      </c>
      <c r="L300">
        <f t="shared" si="31"/>
        <v>12.202132652000007</v>
      </c>
      <c r="O300">
        <f t="shared" si="33"/>
        <v>0.18609018609018615</v>
      </c>
    </row>
    <row r="301" spans="1:15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G301">
        <f t="shared" si="32"/>
        <v>0.21418221418221417</v>
      </c>
      <c r="I301">
        <f t="shared" si="28"/>
        <v>2.7404999999999999</v>
      </c>
      <c r="J301">
        <f t="shared" si="29"/>
        <v>8.9616326520000058</v>
      </c>
      <c r="K301">
        <f t="shared" si="30"/>
        <v>0.5</v>
      </c>
      <c r="L301">
        <f t="shared" si="31"/>
        <v>12.202132652000007</v>
      </c>
      <c r="O301">
        <f t="shared" si="33"/>
        <v>0.21418221418221417</v>
      </c>
    </row>
    <row r="302" spans="1:15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G302">
        <f t="shared" si="32"/>
        <v>7.2501072501072586E-2</v>
      </c>
      <c r="I302">
        <f t="shared" si="28"/>
        <v>2.7404999999999999</v>
      </c>
      <c r="J302">
        <f t="shared" si="29"/>
        <v>8.9616326520000058</v>
      </c>
      <c r="K302">
        <f t="shared" si="30"/>
        <v>0.5</v>
      </c>
      <c r="L302">
        <f t="shared" si="31"/>
        <v>12.202132652000007</v>
      </c>
      <c r="O302">
        <f t="shared" si="33"/>
        <v>7.2501072501072586E-2</v>
      </c>
    </row>
    <row r="303" spans="1:15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G303">
        <f t="shared" si="32"/>
        <v>2.9700029700043614E-4</v>
      </c>
      <c r="I303">
        <f t="shared" si="28"/>
        <v>3.4999999999999931E-3</v>
      </c>
      <c r="J303">
        <f t="shared" si="29"/>
        <v>0.87257195199999416</v>
      </c>
      <c r="K303">
        <f t="shared" si="30"/>
        <v>5.5</v>
      </c>
      <c r="L303">
        <f t="shared" si="31"/>
        <v>6.376071951999994</v>
      </c>
      <c r="O303">
        <f t="shared" si="33"/>
        <v>2.9700029700043614E-4</v>
      </c>
    </row>
    <row r="304" spans="1:15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G304">
        <f t="shared" si="32"/>
        <v>4.6170046170047486E-3</v>
      </c>
      <c r="I304">
        <f t="shared" si="28"/>
        <v>3.4999999999999931E-3</v>
      </c>
      <c r="J304">
        <f t="shared" si="29"/>
        <v>0.87257195199999416</v>
      </c>
      <c r="K304">
        <f t="shared" si="30"/>
        <v>5.5</v>
      </c>
      <c r="L304">
        <f t="shared" si="31"/>
        <v>6.376071951999994</v>
      </c>
      <c r="O304">
        <f t="shared" si="33"/>
        <v>4.6170046170047486E-3</v>
      </c>
    </row>
    <row r="305" spans="1:15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G305">
        <f t="shared" si="32"/>
        <v>0.15562515562515561</v>
      </c>
      <c r="I305">
        <f t="shared" si="28"/>
        <v>3.4999999999999931E-3</v>
      </c>
      <c r="J305">
        <f t="shared" si="29"/>
        <v>0.87257195199999416</v>
      </c>
      <c r="K305">
        <f t="shared" si="30"/>
        <v>5.5</v>
      </c>
      <c r="L305">
        <f t="shared" si="31"/>
        <v>6.376071951999994</v>
      </c>
      <c r="O305">
        <f t="shared" si="33"/>
        <v>0.15562515562515561</v>
      </c>
    </row>
    <row r="306" spans="1:15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G306">
        <f t="shared" si="32"/>
        <v>0.19969219969219973</v>
      </c>
      <c r="I306">
        <f t="shared" si="28"/>
        <v>3.4999999999999931E-3</v>
      </c>
      <c r="J306">
        <f t="shared" si="29"/>
        <v>0.87257195199999416</v>
      </c>
      <c r="K306">
        <f t="shared" si="30"/>
        <v>5.5</v>
      </c>
      <c r="L306">
        <f t="shared" si="31"/>
        <v>6.376071951999994</v>
      </c>
      <c r="O306">
        <f t="shared" si="33"/>
        <v>0.19969219969219973</v>
      </c>
    </row>
    <row r="307" spans="1:15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G307">
        <f t="shared" si="32"/>
        <v>0.12656412656412669</v>
      </c>
      <c r="I307">
        <f t="shared" si="28"/>
        <v>3.4999999999999931E-3</v>
      </c>
      <c r="J307">
        <f t="shared" si="29"/>
        <v>0.87257195199999416</v>
      </c>
      <c r="K307">
        <f t="shared" si="30"/>
        <v>5.5</v>
      </c>
      <c r="L307">
        <f t="shared" si="31"/>
        <v>6.376071951999994</v>
      </c>
      <c r="O307">
        <f t="shared" si="33"/>
        <v>0.12656412656412669</v>
      </c>
    </row>
    <row r="308" spans="1:15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G308">
        <f t="shared" si="32"/>
        <v>8.4090084090084172E-2</v>
      </c>
      <c r="I308">
        <f t="shared" si="28"/>
        <v>3.4999999999999931E-3</v>
      </c>
      <c r="J308">
        <f t="shared" si="29"/>
        <v>0.87257195199999416</v>
      </c>
      <c r="K308">
        <f t="shared" si="30"/>
        <v>5.5</v>
      </c>
      <c r="L308">
        <f t="shared" si="31"/>
        <v>6.376071951999994</v>
      </c>
      <c r="O308">
        <f t="shared" si="33"/>
        <v>8.4090084090084172E-2</v>
      </c>
    </row>
    <row r="309" spans="1:15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G309">
        <f t="shared" si="32"/>
        <v>9.4743094743094794E-2</v>
      </c>
      <c r="I309">
        <f t="shared" si="28"/>
        <v>3.4999999999999931E-3</v>
      </c>
      <c r="J309">
        <f t="shared" si="29"/>
        <v>0.87257195199999416</v>
      </c>
      <c r="K309">
        <f t="shared" si="30"/>
        <v>5.5</v>
      </c>
      <c r="L309">
        <f t="shared" si="31"/>
        <v>6.376071951999994</v>
      </c>
      <c r="O309">
        <f t="shared" si="33"/>
        <v>9.4743094743094794E-2</v>
      </c>
    </row>
    <row r="310" spans="1:15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G310">
        <f t="shared" si="32"/>
        <v>9.5298095298095353E-2</v>
      </c>
      <c r="I310">
        <f t="shared" si="28"/>
        <v>3.4999999999999931E-3</v>
      </c>
      <c r="J310">
        <f t="shared" si="29"/>
        <v>0.87257195199999416</v>
      </c>
      <c r="K310">
        <f t="shared" si="30"/>
        <v>5.5</v>
      </c>
      <c r="L310">
        <f t="shared" si="31"/>
        <v>6.376071951999994</v>
      </c>
      <c r="O310">
        <f t="shared" si="33"/>
        <v>9.5298095298095353E-2</v>
      </c>
    </row>
    <row r="311" spans="1:15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G311">
        <f t="shared" si="32"/>
        <v>0</v>
      </c>
      <c r="I311">
        <f t="shared" si="28"/>
        <v>3.4999999999999931E-3</v>
      </c>
      <c r="J311">
        <f t="shared" si="29"/>
        <v>0.87257195199999416</v>
      </c>
      <c r="K311">
        <f t="shared" si="30"/>
        <v>5.5</v>
      </c>
      <c r="L311">
        <f t="shared" si="31"/>
        <v>6.376071951999994</v>
      </c>
      <c r="O311">
        <f t="shared" si="33"/>
        <v>0</v>
      </c>
    </row>
    <row r="312" spans="1:15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G312">
        <f t="shared" si="32"/>
        <v>0.12028212028212043</v>
      </c>
      <c r="I312">
        <f t="shared" si="28"/>
        <v>3.4999999999999931E-3</v>
      </c>
      <c r="J312">
        <f t="shared" si="29"/>
        <v>0.87257195199999416</v>
      </c>
      <c r="K312">
        <f t="shared" si="30"/>
        <v>5.5</v>
      </c>
      <c r="L312">
        <f t="shared" si="31"/>
        <v>6.376071951999994</v>
      </c>
      <c r="O312">
        <f t="shared" si="33"/>
        <v>0.12028212028212043</v>
      </c>
    </row>
    <row r="313" spans="1:15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G313">
        <f t="shared" si="32"/>
        <v>0.21714321714321722</v>
      </c>
      <c r="I313">
        <f t="shared" si="28"/>
        <v>3.4999999999999931E-3</v>
      </c>
      <c r="J313">
        <f t="shared" si="29"/>
        <v>1.0139420760000029</v>
      </c>
      <c r="K313">
        <f t="shared" si="30"/>
        <v>5.6000000000000014</v>
      </c>
      <c r="L313">
        <f t="shared" si="31"/>
        <v>6.6174420760000041</v>
      </c>
      <c r="O313">
        <f t="shared" si="33"/>
        <v>0.21714321714321722</v>
      </c>
    </row>
    <row r="314" spans="1:15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G314">
        <f t="shared" si="32"/>
        <v>0.15693315693315701</v>
      </c>
      <c r="I314">
        <f t="shared" si="28"/>
        <v>3.4999999999999931E-3</v>
      </c>
      <c r="J314">
        <f t="shared" si="29"/>
        <v>1.0139420760000029</v>
      </c>
      <c r="K314">
        <f t="shared" si="30"/>
        <v>5.6000000000000014</v>
      </c>
      <c r="L314">
        <f t="shared" si="31"/>
        <v>6.6174420760000041</v>
      </c>
      <c r="O314">
        <f t="shared" si="33"/>
        <v>0.15693315693315701</v>
      </c>
    </row>
    <row r="315" spans="1:15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G315">
        <f t="shared" si="32"/>
        <v>0.22968922968922981</v>
      </c>
      <c r="I315">
        <f t="shared" si="28"/>
        <v>3.4999999999999931E-3</v>
      </c>
      <c r="J315">
        <f t="shared" si="29"/>
        <v>1.0139420760000029</v>
      </c>
      <c r="K315">
        <f t="shared" si="30"/>
        <v>5.6000000000000014</v>
      </c>
      <c r="L315">
        <f t="shared" si="31"/>
        <v>6.6174420760000041</v>
      </c>
      <c r="O315">
        <f t="shared" si="33"/>
        <v>0.22968922968922981</v>
      </c>
    </row>
    <row r="316" spans="1:15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G316">
        <f t="shared" si="32"/>
        <v>0.17288717288717292</v>
      </c>
      <c r="I316">
        <f t="shared" si="28"/>
        <v>3.4999999999999931E-3</v>
      </c>
      <c r="J316">
        <f t="shared" si="29"/>
        <v>1.0139420760000029</v>
      </c>
      <c r="K316">
        <f t="shared" si="30"/>
        <v>5.6000000000000014</v>
      </c>
      <c r="L316">
        <f t="shared" si="31"/>
        <v>6.6174420760000041</v>
      </c>
      <c r="O316">
        <f t="shared" si="33"/>
        <v>0.17288717288717292</v>
      </c>
    </row>
    <row r="317" spans="1:15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G317">
        <f t="shared" si="32"/>
        <v>0.21685821685821685</v>
      </c>
      <c r="I317">
        <f t="shared" si="28"/>
        <v>3.4999999999999931E-3</v>
      </c>
      <c r="J317">
        <f t="shared" si="29"/>
        <v>1.0139420760000029</v>
      </c>
      <c r="K317">
        <f t="shared" si="30"/>
        <v>5.6000000000000014</v>
      </c>
      <c r="L317">
        <f t="shared" si="31"/>
        <v>6.6174420760000041</v>
      </c>
      <c r="O317">
        <f t="shared" si="33"/>
        <v>0.21685821685821685</v>
      </c>
    </row>
    <row r="318" spans="1:15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G318">
        <f t="shared" si="32"/>
        <v>0.18166818166818177</v>
      </c>
      <c r="I318">
        <f t="shared" si="28"/>
        <v>3.4999999999999931E-3</v>
      </c>
      <c r="J318">
        <f t="shared" si="29"/>
        <v>1.0139420760000029</v>
      </c>
      <c r="K318">
        <f t="shared" si="30"/>
        <v>5.6000000000000014</v>
      </c>
      <c r="L318">
        <f t="shared" si="31"/>
        <v>6.6174420760000041</v>
      </c>
      <c r="O318">
        <f t="shared" si="33"/>
        <v>0.18166818166818177</v>
      </c>
    </row>
    <row r="319" spans="1:15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G319">
        <f t="shared" si="32"/>
        <v>0.18460218460218472</v>
      </c>
      <c r="I319">
        <f t="shared" si="28"/>
        <v>3.4999999999999931E-3</v>
      </c>
      <c r="J319">
        <f t="shared" si="29"/>
        <v>1.0139420760000029</v>
      </c>
      <c r="K319">
        <f t="shared" si="30"/>
        <v>5.6000000000000014</v>
      </c>
      <c r="L319">
        <f t="shared" si="31"/>
        <v>6.6174420760000041</v>
      </c>
      <c r="O319">
        <f t="shared" si="33"/>
        <v>0.18460218460218472</v>
      </c>
    </row>
    <row r="320" spans="1:15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G320">
        <f t="shared" si="32"/>
        <v>0.16716016716016724</v>
      </c>
      <c r="I320">
        <f t="shared" si="28"/>
        <v>3.4999999999999931E-3</v>
      </c>
      <c r="J320">
        <f t="shared" si="29"/>
        <v>1.0139420760000029</v>
      </c>
      <c r="K320">
        <f t="shared" si="30"/>
        <v>5.6000000000000014</v>
      </c>
      <c r="L320">
        <f t="shared" si="31"/>
        <v>6.6174420760000041</v>
      </c>
      <c r="O320">
        <f t="shared" ref="O320:O340" si="34">G320</f>
        <v>0.16716016716016724</v>
      </c>
    </row>
    <row r="321" spans="1:15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G321">
        <f t="shared" si="32"/>
        <v>0.18667518667518673</v>
      </c>
      <c r="I321">
        <f t="shared" si="28"/>
        <v>3.4999999999999931E-3</v>
      </c>
      <c r="J321">
        <f t="shared" si="29"/>
        <v>1.0139420760000029</v>
      </c>
      <c r="K321">
        <f t="shared" si="30"/>
        <v>5.6000000000000014</v>
      </c>
      <c r="L321">
        <f t="shared" si="31"/>
        <v>6.6174420760000041</v>
      </c>
      <c r="O321">
        <f t="shared" si="34"/>
        <v>0.18667518667518673</v>
      </c>
    </row>
    <row r="322" spans="1:15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G322">
        <f t="shared" si="32"/>
        <v>0.15051915051915052</v>
      </c>
      <c r="I322">
        <f t="shared" ref="I322:I340" si="35">(E322-0.17)*$S$2</f>
        <v>3.4999999999999931E-3</v>
      </c>
      <c r="J322">
        <f t="shared" ref="J322:J340" si="36">(8-D322)*$S$4</f>
        <v>1.0139420760000029</v>
      </c>
      <c r="K322">
        <f t="shared" ref="K322:K340" si="37">(C322-20)*$S$3</f>
        <v>5.6000000000000014</v>
      </c>
      <c r="L322">
        <f t="shared" ref="L322:L340" si="38">SUM(I322:K322)+($V$2*(J322*K322))</f>
        <v>6.6174420760000041</v>
      </c>
      <c r="O322">
        <f t="shared" si="34"/>
        <v>0.15051915051915052</v>
      </c>
    </row>
    <row r="323" spans="1:15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G323">
        <f t="shared" ref="G323:G340" si="39">($F$343-F323)/$F$343</f>
        <v>0.1667881667881668</v>
      </c>
      <c r="I323">
        <f t="shared" si="35"/>
        <v>2.3904999999999998</v>
      </c>
      <c r="J323">
        <f t="shared" si="36"/>
        <v>6.6920391160000001</v>
      </c>
      <c r="K323">
        <f t="shared" si="37"/>
        <v>5.5</v>
      </c>
      <c r="L323">
        <f t="shared" si="38"/>
        <v>14.582539116</v>
      </c>
      <c r="O323">
        <f t="shared" si="34"/>
        <v>0.1667881667881668</v>
      </c>
    </row>
    <row r="324" spans="1:15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G324">
        <f t="shared" si="39"/>
        <v>0.18057918057918068</v>
      </c>
      <c r="I324">
        <f t="shared" si="35"/>
        <v>2.3904999999999998</v>
      </c>
      <c r="J324">
        <f t="shared" si="36"/>
        <v>6.6920391160000001</v>
      </c>
      <c r="K324">
        <f t="shared" si="37"/>
        <v>5.5</v>
      </c>
      <c r="L324">
        <f t="shared" si="38"/>
        <v>14.582539116</v>
      </c>
      <c r="O324">
        <f t="shared" si="34"/>
        <v>0.18057918057918068</v>
      </c>
    </row>
    <row r="325" spans="1:15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G325">
        <f t="shared" si="39"/>
        <v>0.16576516576516589</v>
      </c>
      <c r="I325">
        <f t="shared" si="35"/>
        <v>2.3904999999999998</v>
      </c>
      <c r="J325">
        <f t="shared" si="36"/>
        <v>6.6920391160000001</v>
      </c>
      <c r="K325">
        <f t="shared" si="37"/>
        <v>5.5</v>
      </c>
      <c r="L325">
        <f t="shared" si="38"/>
        <v>14.582539116</v>
      </c>
      <c r="O325">
        <f t="shared" si="34"/>
        <v>0.16576516576516589</v>
      </c>
    </row>
    <row r="326" spans="1:15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G326">
        <f t="shared" si="39"/>
        <v>0.17192117192117196</v>
      </c>
      <c r="I326">
        <f t="shared" si="35"/>
        <v>2.3904999999999998</v>
      </c>
      <c r="J326">
        <f t="shared" si="36"/>
        <v>6.6920391160000001</v>
      </c>
      <c r="K326">
        <f t="shared" si="37"/>
        <v>5.5</v>
      </c>
      <c r="L326">
        <f t="shared" si="38"/>
        <v>14.582539116</v>
      </c>
      <c r="O326">
        <f t="shared" si="34"/>
        <v>0.17192117192117196</v>
      </c>
    </row>
    <row r="327" spans="1:15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G327">
        <f t="shared" si="39"/>
        <v>0.14863514863514868</v>
      </c>
      <c r="I327">
        <f t="shared" si="35"/>
        <v>2.3904999999999998</v>
      </c>
      <c r="J327">
        <f t="shared" si="36"/>
        <v>6.6920391160000001</v>
      </c>
      <c r="K327">
        <f t="shared" si="37"/>
        <v>5.5</v>
      </c>
      <c r="L327">
        <f t="shared" si="38"/>
        <v>14.582539116</v>
      </c>
      <c r="O327">
        <f t="shared" si="34"/>
        <v>0.14863514863514868</v>
      </c>
    </row>
    <row r="328" spans="1:15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G328">
        <f t="shared" si="39"/>
        <v>0.14769014769014774</v>
      </c>
      <c r="I328">
        <f t="shared" si="35"/>
        <v>2.3904999999999998</v>
      </c>
      <c r="J328">
        <f t="shared" si="36"/>
        <v>6.6920391160000001</v>
      </c>
      <c r="K328">
        <f t="shared" si="37"/>
        <v>5.5</v>
      </c>
      <c r="L328">
        <f t="shared" si="38"/>
        <v>14.582539116</v>
      </c>
      <c r="O328">
        <f t="shared" si="34"/>
        <v>0.14769014769014774</v>
      </c>
    </row>
    <row r="329" spans="1:15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G329">
        <f t="shared" si="39"/>
        <v>0.1364881364881366</v>
      </c>
      <c r="I329">
        <f t="shared" si="35"/>
        <v>2.3904999999999998</v>
      </c>
      <c r="J329">
        <f t="shared" si="36"/>
        <v>6.6920391160000001</v>
      </c>
      <c r="K329">
        <f t="shared" si="37"/>
        <v>5.5</v>
      </c>
      <c r="L329">
        <f t="shared" si="38"/>
        <v>14.582539116</v>
      </c>
      <c r="O329">
        <f t="shared" si="34"/>
        <v>0.1364881364881366</v>
      </c>
    </row>
    <row r="330" spans="1:15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G330">
        <f t="shared" si="39"/>
        <v>0.19389619389619389</v>
      </c>
      <c r="I330">
        <f t="shared" si="35"/>
        <v>2.3904999999999998</v>
      </c>
      <c r="J330">
        <f t="shared" si="36"/>
        <v>6.6920391160000001</v>
      </c>
      <c r="K330">
        <f t="shared" si="37"/>
        <v>5.5</v>
      </c>
      <c r="L330">
        <f t="shared" si="38"/>
        <v>14.582539116</v>
      </c>
      <c r="O330">
        <f t="shared" si="34"/>
        <v>0.19389619389619389</v>
      </c>
    </row>
    <row r="331" spans="1:15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G331">
        <f t="shared" si="39"/>
        <v>0.17616017616017624</v>
      </c>
      <c r="I331">
        <f t="shared" si="35"/>
        <v>2.3904999999999998</v>
      </c>
      <c r="J331">
        <f t="shared" si="36"/>
        <v>6.6920391160000001</v>
      </c>
      <c r="K331">
        <f t="shared" si="37"/>
        <v>5.5</v>
      </c>
      <c r="L331">
        <f t="shared" si="38"/>
        <v>14.582539116</v>
      </c>
      <c r="O331">
        <f t="shared" si="34"/>
        <v>0.17616017616017624</v>
      </c>
    </row>
    <row r="332" spans="1:15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G332">
        <f t="shared" si="39"/>
        <v>0.17464217464217463</v>
      </c>
      <c r="I332">
        <f t="shared" si="35"/>
        <v>2.3904999999999998</v>
      </c>
      <c r="J332">
        <f t="shared" si="36"/>
        <v>6.6920391160000001</v>
      </c>
      <c r="K332">
        <f t="shared" si="37"/>
        <v>5.5</v>
      </c>
      <c r="L332">
        <f t="shared" si="38"/>
        <v>14.582539116</v>
      </c>
      <c r="O332">
        <f t="shared" si="34"/>
        <v>0.17464217464217463</v>
      </c>
    </row>
    <row r="333" spans="1:15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G333">
        <f t="shared" si="39"/>
        <v>0.18889218889218887</v>
      </c>
      <c r="I333">
        <f t="shared" si="35"/>
        <v>2.7404999999999999</v>
      </c>
      <c r="J333">
        <f t="shared" si="36"/>
        <v>6.9879633599999877</v>
      </c>
      <c r="K333">
        <f t="shared" si="37"/>
        <v>5.6000000000000014</v>
      </c>
      <c r="L333">
        <f t="shared" si="38"/>
        <v>15.32846335999999</v>
      </c>
      <c r="O333">
        <f t="shared" si="34"/>
        <v>0.18889218889218887</v>
      </c>
    </row>
    <row r="334" spans="1:15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G334">
        <f t="shared" si="39"/>
        <v>0.1958071958071958</v>
      </c>
      <c r="I334">
        <f t="shared" si="35"/>
        <v>2.7404999999999999</v>
      </c>
      <c r="J334">
        <f t="shared" si="36"/>
        <v>6.9879633599999877</v>
      </c>
      <c r="K334">
        <f t="shared" si="37"/>
        <v>5.6000000000000014</v>
      </c>
      <c r="L334">
        <f t="shared" si="38"/>
        <v>15.32846335999999</v>
      </c>
      <c r="O334">
        <f t="shared" si="34"/>
        <v>0.1958071958071958</v>
      </c>
    </row>
    <row r="335" spans="1:15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G335">
        <f t="shared" si="39"/>
        <v>4.8474048474048514E-2</v>
      </c>
      <c r="I335">
        <f t="shared" si="35"/>
        <v>2.7404999999999999</v>
      </c>
      <c r="J335">
        <f t="shared" si="36"/>
        <v>6.9879633599999877</v>
      </c>
      <c r="K335">
        <f t="shared" si="37"/>
        <v>5.6000000000000014</v>
      </c>
      <c r="L335">
        <f t="shared" si="38"/>
        <v>15.32846335999999</v>
      </c>
      <c r="O335">
        <f t="shared" si="34"/>
        <v>4.8474048474048514E-2</v>
      </c>
    </row>
    <row r="336" spans="1:15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G336">
        <f t="shared" si="39"/>
        <v>0.18214518214518222</v>
      </c>
      <c r="I336">
        <f t="shared" si="35"/>
        <v>2.7404999999999999</v>
      </c>
      <c r="J336">
        <f t="shared" si="36"/>
        <v>6.9879633599999877</v>
      </c>
      <c r="K336">
        <f t="shared" si="37"/>
        <v>5.6000000000000014</v>
      </c>
      <c r="L336">
        <f t="shared" si="38"/>
        <v>15.32846335999999</v>
      </c>
      <c r="O336">
        <f t="shared" si="34"/>
        <v>0.18214518214518222</v>
      </c>
    </row>
    <row r="337" spans="1:15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G337">
        <f t="shared" si="39"/>
        <v>0.19021519021519029</v>
      </c>
      <c r="I337">
        <f t="shared" si="35"/>
        <v>2.7404999999999999</v>
      </c>
      <c r="J337">
        <f t="shared" si="36"/>
        <v>6.9879633599999877</v>
      </c>
      <c r="K337">
        <f t="shared" si="37"/>
        <v>5.6000000000000014</v>
      </c>
      <c r="L337">
        <f t="shared" si="38"/>
        <v>15.32846335999999</v>
      </c>
      <c r="O337">
        <f t="shared" si="34"/>
        <v>0.19021519021519029</v>
      </c>
    </row>
    <row r="338" spans="1:15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G338">
        <f t="shared" si="39"/>
        <v>0.26022326022326031</v>
      </c>
      <c r="I338">
        <f t="shared" si="35"/>
        <v>2.7404999999999999</v>
      </c>
      <c r="J338">
        <f t="shared" si="36"/>
        <v>6.9879633599999877</v>
      </c>
      <c r="K338">
        <f t="shared" si="37"/>
        <v>5.6000000000000014</v>
      </c>
      <c r="L338">
        <f t="shared" si="38"/>
        <v>15.32846335999999</v>
      </c>
      <c r="O338">
        <f t="shared" si="34"/>
        <v>0.26022326022326031</v>
      </c>
    </row>
    <row r="339" spans="1:15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G339">
        <f t="shared" si="39"/>
        <v>0.14310614310614325</v>
      </c>
      <c r="I339">
        <f t="shared" si="35"/>
        <v>2.7404999999999999</v>
      </c>
      <c r="J339">
        <f t="shared" si="36"/>
        <v>6.9879633599999877</v>
      </c>
      <c r="K339">
        <f t="shared" si="37"/>
        <v>5.6000000000000014</v>
      </c>
      <c r="L339">
        <f t="shared" si="38"/>
        <v>15.32846335999999</v>
      </c>
      <c r="O339">
        <f t="shared" si="34"/>
        <v>0.14310614310614325</v>
      </c>
    </row>
    <row r="340" spans="1:15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G340">
        <f t="shared" si="39"/>
        <v>0.22889722889722899</v>
      </c>
      <c r="I340">
        <f t="shared" si="35"/>
        <v>2.7404999999999999</v>
      </c>
      <c r="J340">
        <f t="shared" si="36"/>
        <v>6.9879633599999877</v>
      </c>
      <c r="K340">
        <f t="shared" si="37"/>
        <v>5.6000000000000014</v>
      </c>
      <c r="L340">
        <f t="shared" si="38"/>
        <v>15.32846335999999</v>
      </c>
      <c r="O340">
        <f t="shared" si="34"/>
        <v>0.22889722889722899</v>
      </c>
    </row>
    <row r="343" spans="1:15" x14ac:dyDescent="0.2">
      <c r="A343" t="s">
        <v>13</v>
      </c>
      <c r="F343">
        <f>MAX(F2:F340)</f>
        <v>83.333250000000007</v>
      </c>
      <c r="G343">
        <f>MAX(G2:G340)</f>
        <v>0.48698748698748695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2BBC-0A26-4ED2-B2E4-4C2E79B0C23D}">
  <dimension ref="A1:G343"/>
  <sheetViews>
    <sheetView zoomScaleNormal="100" workbookViewId="0">
      <selection activeCell="G8" sqref="G8"/>
    </sheetView>
  </sheetViews>
  <sheetFormatPr baseColWidth="10" defaultColWidth="8.83203125" defaultRowHeight="15" x14ac:dyDescent="0.2"/>
  <sheetData>
    <row r="1" spans="1:7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12</v>
      </c>
    </row>
    <row r="2" spans="1:7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G2">
        <f>($F$343-F2)/$F$343</f>
        <v>0.12800712800712813</v>
      </c>
    </row>
    <row r="3" spans="1:7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G3">
        <f t="shared" ref="G3:G66" si="0">($F$343-F3)/$F$343</f>
        <v>7.9749079749079826E-2</v>
      </c>
    </row>
    <row r="4" spans="1:7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G4">
        <f t="shared" si="0"/>
        <v>0.16524016524016535</v>
      </c>
    </row>
    <row r="5" spans="1:7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G5">
        <f t="shared" si="0"/>
        <v>0.19913719913719918</v>
      </c>
    </row>
    <row r="6" spans="1:7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G6">
        <f t="shared" si="0"/>
        <v>2.1819021819021889E-2</v>
      </c>
    </row>
    <row r="7" spans="1:7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G7">
        <f t="shared" si="0"/>
        <v>0.17031617031617044</v>
      </c>
    </row>
    <row r="8" spans="1:7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G8">
        <f t="shared" si="0"/>
        <v>0.11291711291711294</v>
      </c>
    </row>
    <row r="9" spans="1:7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G9">
        <f t="shared" si="0"/>
        <v>3.7926037926038082E-2</v>
      </c>
    </row>
    <row r="10" spans="1:7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G10">
        <f t="shared" si="0"/>
        <v>0.15680415680415688</v>
      </c>
    </row>
    <row r="11" spans="1:7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G11">
        <f t="shared" si="0"/>
        <v>4.959004959005019E-3</v>
      </c>
    </row>
    <row r="12" spans="1:7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G12">
        <f t="shared" si="0"/>
        <v>0.16649416649416662</v>
      </c>
    </row>
    <row r="13" spans="1:7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G13">
        <f t="shared" si="0"/>
        <v>0.11266211266211275</v>
      </c>
    </row>
    <row r="14" spans="1:7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G14">
        <f t="shared" si="0"/>
        <v>5.2920052920053043E-2</v>
      </c>
    </row>
    <row r="15" spans="1:7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G15">
        <f t="shared" si="0"/>
        <v>2.2119022119022259E-2</v>
      </c>
    </row>
    <row r="16" spans="1:7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G16">
        <f t="shared" si="0"/>
        <v>7.5867075867075986E-2</v>
      </c>
    </row>
    <row r="17" spans="1:7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G17">
        <f t="shared" si="0"/>
        <v>0.11539511539511547</v>
      </c>
    </row>
    <row r="18" spans="1:7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G18">
        <f t="shared" si="0"/>
        <v>0.18041718041718044</v>
      </c>
    </row>
    <row r="19" spans="1:7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G19">
        <f t="shared" si="0"/>
        <v>2.3640023640023794E-2</v>
      </c>
    </row>
    <row r="20" spans="1:7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G20">
        <f t="shared" si="0"/>
        <v>0.18426918426918426</v>
      </c>
    </row>
    <row r="21" spans="1:7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G21">
        <f t="shared" si="0"/>
        <v>0.20885720885720893</v>
      </c>
    </row>
    <row r="22" spans="1:7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G22">
        <f t="shared" si="0"/>
        <v>0.1371691371691372</v>
      </c>
    </row>
    <row r="23" spans="1:7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G23">
        <f t="shared" si="0"/>
        <v>0.18929418929418931</v>
      </c>
    </row>
    <row r="24" spans="1:7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G24">
        <f t="shared" si="0"/>
        <v>0.13476613476613483</v>
      </c>
    </row>
    <row r="25" spans="1:7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G25">
        <f t="shared" si="0"/>
        <v>0.18343218343218343</v>
      </c>
    </row>
    <row r="26" spans="1:7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G26">
        <f t="shared" si="0"/>
        <v>0.17034317034317034</v>
      </c>
    </row>
    <row r="27" spans="1:7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G27">
        <f t="shared" si="0"/>
        <v>9.0012090012090068E-2</v>
      </c>
    </row>
    <row r="28" spans="1:7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G28">
        <f t="shared" si="0"/>
        <v>0.18559218559218568</v>
      </c>
    </row>
    <row r="29" spans="1:7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G29">
        <f t="shared" si="0"/>
        <v>0.12043512043512054</v>
      </c>
    </row>
    <row r="30" spans="1:7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G30">
        <f t="shared" si="0"/>
        <v>0.16009216009216018</v>
      </c>
    </row>
    <row r="31" spans="1:7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G31">
        <f t="shared" si="0"/>
        <v>6.7992067992068125E-2</v>
      </c>
    </row>
    <row r="32" spans="1:7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G32">
        <f t="shared" si="0"/>
        <v>0.11629211629211632</v>
      </c>
    </row>
    <row r="33" spans="1:7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G33">
        <f t="shared" si="0"/>
        <v>6.3222063222063252E-2</v>
      </c>
    </row>
    <row r="34" spans="1:7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G34">
        <f t="shared" si="0"/>
        <v>6.464406464406465E-2</v>
      </c>
    </row>
    <row r="35" spans="1:7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G35">
        <f t="shared" si="0"/>
        <v>0.12816612816612827</v>
      </c>
    </row>
    <row r="36" spans="1:7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G36">
        <f t="shared" si="0"/>
        <v>0.11077811077811091</v>
      </c>
    </row>
    <row r="37" spans="1:7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G37">
        <f t="shared" si="0"/>
        <v>6.9117069117069246E-2</v>
      </c>
    </row>
    <row r="38" spans="1:7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G38">
        <f t="shared" si="0"/>
        <v>8.5020085020085109E-2</v>
      </c>
    </row>
    <row r="39" spans="1:7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G39">
        <f t="shared" si="0"/>
        <v>0.11979311979311991</v>
      </c>
    </row>
    <row r="40" spans="1:7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G40">
        <f t="shared" si="0"/>
        <v>9.4314094314094446E-2</v>
      </c>
    </row>
    <row r="41" spans="1:7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G41">
        <f t="shared" si="0"/>
        <v>0.15705315705315703</v>
      </c>
    </row>
    <row r="42" spans="1:7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G42">
        <f t="shared" si="0"/>
        <v>7.9083079083079211E-2</v>
      </c>
    </row>
    <row r="43" spans="1:7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G43">
        <f t="shared" si="0"/>
        <v>9.0978090978091036E-2</v>
      </c>
    </row>
    <row r="44" spans="1:7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G44">
        <f t="shared" si="0"/>
        <v>0.13791013791013798</v>
      </c>
    </row>
    <row r="45" spans="1:7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G45">
        <f t="shared" si="0"/>
        <v>8.4546084546084588E-2</v>
      </c>
    </row>
    <row r="46" spans="1:7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G46">
        <f t="shared" si="0"/>
        <v>7.3362073362073385E-2</v>
      </c>
    </row>
    <row r="47" spans="1:7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G47">
        <f t="shared" si="0"/>
        <v>0.17003417003417018</v>
      </c>
    </row>
    <row r="48" spans="1:7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G48">
        <f t="shared" si="0"/>
        <v>9.7260097260097295E-2</v>
      </c>
    </row>
    <row r="49" spans="1:7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G49">
        <f t="shared" si="0"/>
        <v>0.14444114444114459</v>
      </c>
    </row>
    <row r="50" spans="1:7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G50">
        <f t="shared" si="0"/>
        <v>0.14603114603114609</v>
      </c>
    </row>
    <row r="51" spans="1:7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G51">
        <f t="shared" si="0"/>
        <v>0.12197412197412201</v>
      </c>
    </row>
    <row r="52" spans="1:7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G52">
        <f t="shared" si="0"/>
        <v>7.5276075276075397E-2</v>
      </c>
    </row>
    <row r="53" spans="1:7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G53">
        <f t="shared" si="0"/>
        <v>0.19237819237819245</v>
      </c>
    </row>
    <row r="54" spans="1:7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G54">
        <f t="shared" si="0"/>
        <v>0.22926922926922927</v>
      </c>
    </row>
    <row r="55" spans="1:7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G55">
        <f t="shared" si="0"/>
        <v>0.25654825654825658</v>
      </c>
    </row>
    <row r="56" spans="1:7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G56">
        <f t="shared" si="0"/>
        <v>0.21369021369021374</v>
      </c>
    </row>
    <row r="57" spans="1:7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G57">
        <f t="shared" si="0"/>
        <v>0.10111810111810116</v>
      </c>
    </row>
    <row r="58" spans="1:7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G58">
        <f t="shared" si="0"/>
        <v>3.3228033228033291E-2</v>
      </c>
    </row>
    <row r="59" spans="1:7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G59">
        <f t="shared" si="0"/>
        <v>0.1889131889131889</v>
      </c>
    </row>
    <row r="60" spans="1:7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G60">
        <f t="shared" si="0"/>
        <v>0.1218361218361219</v>
      </c>
    </row>
    <row r="61" spans="1:7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G61">
        <f t="shared" si="0"/>
        <v>9.9591099591099588E-2</v>
      </c>
    </row>
    <row r="62" spans="1:7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G62">
        <f t="shared" si="0"/>
        <v>0.17869517869517884</v>
      </c>
    </row>
    <row r="63" spans="1:7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G63">
        <f t="shared" si="0"/>
        <v>0.22195822195822207</v>
      </c>
    </row>
    <row r="64" spans="1:7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G64">
        <f t="shared" si="0"/>
        <v>0.20695520695520697</v>
      </c>
    </row>
    <row r="65" spans="1:7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G65">
        <f t="shared" si="0"/>
        <v>0.12630312630312629</v>
      </c>
    </row>
    <row r="66" spans="1:7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G66">
        <f t="shared" si="0"/>
        <v>0.1312471312471313</v>
      </c>
    </row>
    <row r="67" spans="1:7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G67">
        <f t="shared" ref="G67:G130" si="1">($F$343-F67)/$F$343</f>
        <v>0.16843216843216843</v>
      </c>
    </row>
    <row r="68" spans="1:7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G68">
        <f t="shared" si="1"/>
        <v>0.19862119862119876</v>
      </c>
    </row>
    <row r="69" spans="1:7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G69">
        <f t="shared" si="1"/>
        <v>0.20203820203820202</v>
      </c>
    </row>
    <row r="70" spans="1:7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G70">
        <f t="shared" si="1"/>
        <v>0.21662721662721662</v>
      </c>
    </row>
    <row r="71" spans="1:7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G71">
        <f t="shared" si="1"/>
        <v>0.22974622974622988</v>
      </c>
    </row>
    <row r="72" spans="1:7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G72">
        <f t="shared" si="1"/>
        <v>0.21427221427221435</v>
      </c>
    </row>
    <row r="73" spans="1:7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G73">
        <f t="shared" si="1"/>
        <v>0.20742920742920751</v>
      </c>
    </row>
    <row r="74" spans="1:7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G74">
        <f t="shared" si="1"/>
        <v>0.24478524478524485</v>
      </c>
    </row>
    <row r="75" spans="1:7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G75">
        <f t="shared" si="1"/>
        <v>0.25155925155925157</v>
      </c>
    </row>
    <row r="76" spans="1:7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G76">
        <f t="shared" si="1"/>
        <v>0.16445416445416455</v>
      </c>
    </row>
    <row r="77" spans="1:7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G77">
        <f t="shared" si="1"/>
        <v>0.18346518346518353</v>
      </c>
    </row>
    <row r="78" spans="1:7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G78">
        <f t="shared" si="1"/>
        <v>0.17519717519717518</v>
      </c>
    </row>
    <row r="79" spans="1:7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G79">
        <f t="shared" si="1"/>
        <v>0.18216318216318217</v>
      </c>
    </row>
    <row r="80" spans="1:7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G80">
        <f t="shared" si="1"/>
        <v>0.17678417678417693</v>
      </c>
    </row>
    <row r="81" spans="1:7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G81">
        <f t="shared" si="1"/>
        <v>0.248886248886249</v>
      </c>
    </row>
    <row r="82" spans="1:7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G82">
        <f t="shared" si="1"/>
        <v>0.23805023805023809</v>
      </c>
    </row>
    <row r="83" spans="1:7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G83">
        <f t="shared" si="1"/>
        <v>7.0302070302070377E-2</v>
      </c>
    </row>
    <row r="84" spans="1:7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G84">
        <f t="shared" si="1"/>
        <v>7.7016077016077086E-2</v>
      </c>
    </row>
    <row r="85" spans="1:7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G85">
        <f t="shared" si="1"/>
        <v>0.15660015660015672</v>
      </c>
    </row>
    <row r="86" spans="1:7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G86">
        <f t="shared" si="1"/>
        <v>8.8863088863088968E-2</v>
      </c>
    </row>
    <row r="87" spans="1:7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G87">
        <f t="shared" si="1"/>
        <v>0.15013815013815027</v>
      </c>
    </row>
    <row r="88" spans="1:7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G88">
        <f t="shared" si="1"/>
        <v>0.19714519714519724</v>
      </c>
    </row>
    <row r="89" spans="1:7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G89">
        <f t="shared" si="1"/>
        <v>3.9420039420039549E-2</v>
      </c>
    </row>
    <row r="90" spans="1:7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G90">
        <f t="shared" si="1"/>
        <v>7.8120078120078179E-2</v>
      </c>
    </row>
    <row r="91" spans="1:7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G91">
        <f t="shared" si="1"/>
        <v>0.22653322653322658</v>
      </c>
    </row>
    <row r="92" spans="1:7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G92">
        <f t="shared" si="1"/>
        <v>0.17335217335217348</v>
      </c>
    </row>
    <row r="93" spans="1:7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G93">
        <f t="shared" si="1"/>
        <v>7.6245076245076301E-2</v>
      </c>
    </row>
    <row r="94" spans="1:7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G94">
        <f t="shared" si="1"/>
        <v>0.11988011988011998</v>
      </c>
    </row>
    <row r="95" spans="1:7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G95">
        <f t="shared" si="1"/>
        <v>9.9945099945100105E-2</v>
      </c>
    </row>
    <row r="96" spans="1:7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G96">
        <f t="shared" si="1"/>
        <v>2.6313026313026355E-2</v>
      </c>
    </row>
    <row r="97" spans="1:7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G97">
        <f t="shared" si="1"/>
        <v>0.11459711459711462</v>
      </c>
    </row>
    <row r="98" spans="1:7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G98">
        <f t="shared" si="1"/>
        <v>0.14822114822114832</v>
      </c>
    </row>
    <row r="99" spans="1:7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G99">
        <f t="shared" si="1"/>
        <v>0.11827211827211837</v>
      </c>
    </row>
    <row r="100" spans="1:7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G100">
        <f t="shared" si="1"/>
        <v>8.0295080295080423E-2</v>
      </c>
    </row>
    <row r="101" spans="1:7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G101">
        <f t="shared" si="1"/>
        <v>0.13963513963513968</v>
      </c>
    </row>
    <row r="102" spans="1:7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G102">
        <f t="shared" si="1"/>
        <v>9.0018090018090094E-2</v>
      </c>
    </row>
    <row r="103" spans="1:7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G103">
        <f t="shared" si="1"/>
        <v>6.7830067830067869E-2</v>
      </c>
    </row>
    <row r="104" spans="1:7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G104">
        <f t="shared" si="1"/>
        <v>0.12582012582012597</v>
      </c>
    </row>
    <row r="105" spans="1:7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G105">
        <f t="shared" si="1"/>
        <v>8.5638085638085781E-2</v>
      </c>
    </row>
    <row r="106" spans="1:7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G106">
        <f t="shared" si="1"/>
        <v>0.12505512505512506</v>
      </c>
    </row>
    <row r="107" spans="1:7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G107">
        <f t="shared" si="1"/>
        <v>0.11157611157611159</v>
      </c>
    </row>
    <row r="108" spans="1:7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G108">
        <f t="shared" si="1"/>
        <v>5.7864057864057891E-2</v>
      </c>
    </row>
    <row r="109" spans="1:7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G109">
        <f t="shared" si="1"/>
        <v>5.2425052425052486E-2</v>
      </c>
    </row>
    <row r="110" spans="1:7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G110">
        <f t="shared" si="1"/>
        <v>8.8752088752088759E-2</v>
      </c>
    </row>
    <row r="111" spans="1:7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G111">
        <f t="shared" si="1"/>
        <v>8.5953085953085984E-2</v>
      </c>
    </row>
    <row r="112" spans="1:7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G112">
        <f t="shared" si="1"/>
        <v>0.17851217851217854</v>
      </c>
    </row>
    <row r="113" spans="1:7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G113">
        <f t="shared" si="1"/>
        <v>9.2046092046092085E-2</v>
      </c>
    </row>
    <row r="114" spans="1:7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G114">
        <f t="shared" si="1"/>
        <v>0.22262722262722262</v>
      </c>
    </row>
    <row r="115" spans="1:7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G115">
        <f t="shared" si="1"/>
        <v>0.28587628587628594</v>
      </c>
    </row>
    <row r="116" spans="1:7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G116">
        <f t="shared" si="1"/>
        <v>0.36977136977136976</v>
      </c>
    </row>
    <row r="117" spans="1:7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G117">
        <f t="shared" si="1"/>
        <v>0.35826035826035829</v>
      </c>
    </row>
    <row r="118" spans="1:7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G118">
        <f t="shared" si="1"/>
        <v>0.30790230790230794</v>
      </c>
    </row>
    <row r="119" spans="1:7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G119">
        <f t="shared" si="1"/>
        <v>8.5824085824085836E-2</v>
      </c>
    </row>
    <row r="120" spans="1:7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G120">
        <f t="shared" si="1"/>
        <v>0.12098412098412106</v>
      </c>
    </row>
    <row r="121" spans="1:7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G121">
        <f t="shared" si="1"/>
        <v>0.205854205854206</v>
      </c>
    </row>
    <row r="122" spans="1:7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G122">
        <f t="shared" si="1"/>
        <v>0.17593517593517605</v>
      </c>
    </row>
    <row r="123" spans="1:7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G123">
        <f t="shared" si="1"/>
        <v>0.23281223281223293</v>
      </c>
    </row>
    <row r="124" spans="1:7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G124">
        <f t="shared" si="1"/>
        <v>0.1909771909771911</v>
      </c>
    </row>
    <row r="125" spans="1:7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G125">
        <f t="shared" si="1"/>
        <v>0.26901326901326916</v>
      </c>
    </row>
    <row r="126" spans="1:7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G126">
        <f t="shared" si="1"/>
        <v>0.14352014352014361</v>
      </c>
    </row>
    <row r="127" spans="1:7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G127">
        <f t="shared" si="1"/>
        <v>0.277023277023277</v>
      </c>
    </row>
    <row r="128" spans="1:7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G128">
        <f t="shared" si="1"/>
        <v>0.23099423099423111</v>
      </c>
    </row>
    <row r="129" spans="1:7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G129">
        <f t="shared" si="1"/>
        <v>0.21545121545121546</v>
      </c>
    </row>
    <row r="130" spans="1:7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G130">
        <f t="shared" si="1"/>
        <v>0.23685023685023696</v>
      </c>
    </row>
    <row r="131" spans="1:7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G131">
        <f t="shared" ref="G131:G194" si="2">($F$343-F131)/$F$343</f>
        <v>0.24973524973524974</v>
      </c>
    </row>
    <row r="132" spans="1:7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G132">
        <f t="shared" si="2"/>
        <v>0.18558618558618564</v>
      </c>
    </row>
    <row r="133" spans="1:7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G133">
        <f t="shared" si="2"/>
        <v>0.28875328875328882</v>
      </c>
    </row>
    <row r="134" spans="1:7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G134">
        <f t="shared" si="2"/>
        <v>0.25128925128925139</v>
      </c>
    </row>
    <row r="135" spans="1:7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G135">
        <f t="shared" si="2"/>
        <v>0.48698748698748695</v>
      </c>
    </row>
    <row r="136" spans="1:7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G136">
        <f t="shared" si="2"/>
        <v>0.42843642843642843</v>
      </c>
    </row>
    <row r="137" spans="1:7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G137">
        <f t="shared" si="2"/>
        <v>0.4558984558984559</v>
      </c>
    </row>
    <row r="138" spans="1:7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G138">
        <f t="shared" si="2"/>
        <v>0.41305241305241308</v>
      </c>
    </row>
    <row r="139" spans="1:7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G139">
        <f t="shared" si="2"/>
        <v>0.42921342921342925</v>
      </c>
    </row>
    <row r="140" spans="1:7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G140">
        <f t="shared" si="2"/>
        <v>0.46170346170346171</v>
      </c>
    </row>
    <row r="141" spans="1:7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G141">
        <f t="shared" si="2"/>
        <v>0.40313740313740315</v>
      </c>
    </row>
    <row r="142" spans="1:7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G142">
        <f t="shared" si="2"/>
        <v>0.40715440715440715</v>
      </c>
    </row>
    <row r="143" spans="1:7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G143">
        <f t="shared" si="2"/>
        <v>0.44755544755544752</v>
      </c>
    </row>
    <row r="144" spans="1:7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G144">
        <f t="shared" si="2"/>
        <v>0.47937647937647943</v>
      </c>
    </row>
    <row r="145" spans="1:7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G145">
        <f t="shared" si="2"/>
        <v>0.4563994563994565</v>
      </c>
    </row>
    <row r="146" spans="1:7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G146">
        <f t="shared" si="2"/>
        <v>0.45899145899145899</v>
      </c>
    </row>
    <row r="147" spans="1:7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G147">
        <f t="shared" si="2"/>
        <v>0.10250410250410251</v>
      </c>
    </row>
    <row r="148" spans="1:7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G148">
        <f t="shared" si="2"/>
        <v>6.3549063549063686E-2</v>
      </c>
    </row>
    <row r="149" spans="1:7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G149">
        <f t="shared" si="2"/>
        <v>4.2606042606042768E-2</v>
      </c>
    </row>
    <row r="150" spans="1:7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G150">
        <f t="shared" si="2"/>
        <v>0.12865212865212869</v>
      </c>
    </row>
    <row r="151" spans="1:7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G151">
        <f t="shared" si="2"/>
        <v>9.0783090783090853E-2</v>
      </c>
    </row>
    <row r="152" spans="1:7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G152">
        <f t="shared" si="2"/>
        <v>6.9741069741069778E-2</v>
      </c>
    </row>
    <row r="153" spans="1:7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G153">
        <f t="shared" si="2"/>
        <v>3.6132036132036249E-2</v>
      </c>
    </row>
    <row r="154" spans="1:7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G154">
        <f t="shared" si="2"/>
        <v>0.18434718434718436</v>
      </c>
    </row>
    <row r="155" spans="1:7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G155">
        <f t="shared" si="2"/>
        <v>3.4062034062034188E-2</v>
      </c>
    </row>
    <row r="156" spans="1:7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G156">
        <f t="shared" si="2"/>
        <v>0.10909510909510911</v>
      </c>
    </row>
    <row r="157" spans="1:7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G157">
        <f t="shared" si="2"/>
        <v>0.12196512196512205</v>
      </c>
    </row>
    <row r="158" spans="1:7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G158">
        <f t="shared" si="2"/>
        <v>9.5691095691095823E-2</v>
      </c>
    </row>
    <row r="159" spans="1:7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G159">
        <f t="shared" si="2"/>
        <v>0.1656691656691657</v>
      </c>
    </row>
    <row r="160" spans="1:7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G160">
        <f t="shared" si="2"/>
        <v>0.11066111066111066</v>
      </c>
    </row>
    <row r="161" spans="1:7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G161">
        <f t="shared" si="2"/>
        <v>8.7324087324087335E-2</v>
      </c>
    </row>
    <row r="162" spans="1:7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G162">
        <f t="shared" si="2"/>
        <v>0.13644313644313658</v>
      </c>
    </row>
    <row r="163" spans="1:7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G163">
        <f t="shared" si="2"/>
        <v>3.3822033822033824E-2</v>
      </c>
    </row>
    <row r="164" spans="1:7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G164">
        <f t="shared" si="2"/>
        <v>0.14568314568314578</v>
      </c>
    </row>
    <row r="165" spans="1:7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G165">
        <f t="shared" si="2"/>
        <v>8.9760089760089798E-2</v>
      </c>
    </row>
    <row r="166" spans="1:7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G166">
        <f t="shared" si="2"/>
        <v>0.13192213192213206</v>
      </c>
    </row>
    <row r="167" spans="1:7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G167">
        <f t="shared" si="2"/>
        <v>0.1171411171411172</v>
      </c>
    </row>
    <row r="168" spans="1:7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G168">
        <f t="shared" si="2"/>
        <v>9.7017097017097001E-2</v>
      </c>
    </row>
    <row r="169" spans="1:7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G169">
        <f t="shared" si="2"/>
        <v>0.1142911142911144</v>
      </c>
    </row>
    <row r="170" spans="1:7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G170">
        <f t="shared" si="2"/>
        <v>0.11204411204411208</v>
      </c>
    </row>
    <row r="171" spans="1:7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G171">
        <f t="shared" si="2"/>
        <v>0.12794112794112808</v>
      </c>
    </row>
    <row r="172" spans="1:7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G172">
        <f t="shared" si="2"/>
        <v>3.9654039654039706E-2</v>
      </c>
    </row>
    <row r="173" spans="1:7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G173">
        <f t="shared" si="2"/>
        <v>9.6456096456096582E-2</v>
      </c>
    </row>
    <row r="174" spans="1:7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G174">
        <f t="shared" si="2"/>
        <v>8.4594084594084698E-2</v>
      </c>
    </row>
    <row r="175" spans="1:7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G175">
        <f t="shared" si="2"/>
        <v>0.23499323499323502</v>
      </c>
    </row>
    <row r="176" spans="1:7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G176">
        <f t="shared" si="2"/>
        <v>0.10325710325710337</v>
      </c>
    </row>
    <row r="177" spans="1:7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G177">
        <f t="shared" si="2"/>
        <v>0.21282921282921294</v>
      </c>
    </row>
    <row r="178" spans="1:7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G178">
        <f t="shared" si="2"/>
        <v>0.12303012303012316</v>
      </c>
    </row>
    <row r="179" spans="1:7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G179">
        <f t="shared" si="2"/>
        <v>0.17189717189717199</v>
      </c>
    </row>
    <row r="180" spans="1:7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G180">
        <f t="shared" si="2"/>
        <v>0.1584421584421585</v>
      </c>
    </row>
    <row r="181" spans="1:7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G181">
        <f t="shared" si="2"/>
        <v>7.83060783060784E-2</v>
      </c>
    </row>
    <row r="182" spans="1:7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G182">
        <f t="shared" si="2"/>
        <v>0.11038811038811053</v>
      </c>
    </row>
    <row r="183" spans="1:7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G183">
        <f t="shared" si="2"/>
        <v>9.659109659109659E-2</v>
      </c>
    </row>
    <row r="184" spans="1:7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G184">
        <f t="shared" si="2"/>
        <v>0.17363417363417374</v>
      </c>
    </row>
    <row r="185" spans="1:7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G185">
        <f t="shared" si="2"/>
        <v>0.32979932979932991</v>
      </c>
    </row>
    <row r="186" spans="1:7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G186">
        <f t="shared" si="2"/>
        <v>0.31899931899931905</v>
      </c>
    </row>
    <row r="187" spans="1:7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G187">
        <f t="shared" si="2"/>
        <v>0.3282993282993284</v>
      </c>
    </row>
    <row r="188" spans="1:7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G188">
        <f t="shared" si="2"/>
        <v>0.21579921579921593</v>
      </c>
    </row>
    <row r="189" spans="1:7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G189">
        <f t="shared" si="2"/>
        <v>0.12459912459912463</v>
      </c>
    </row>
    <row r="190" spans="1:7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G190">
        <f t="shared" si="2"/>
        <v>0.29289929289929301</v>
      </c>
    </row>
    <row r="191" spans="1:7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G191">
        <f t="shared" si="2"/>
        <v>0.11949911949911957</v>
      </c>
    </row>
    <row r="192" spans="1:7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G192">
        <f t="shared" si="2"/>
        <v>0.25837825837825845</v>
      </c>
    </row>
    <row r="193" spans="1:7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G193">
        <f t="shared" si="2"/>
        <v>0.36250536250536258</v>
      </c>
    </row>
    <row r="194" spans="1:7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G194">
        <f t="shared" si="2"/>
        <v>0.22014622014622015</v>
      </c>
    </row>
    <row r="195" spans="1:7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G195">
        <f t="shared" ref="G195:G258" si="3">($F$343-F195)/$F$343</f>
        <v>0.1317931317931319</v>
      </c>
    </row>
    <row r="196" spans="1:7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G196">
        <f t="shared" si="3"/>
        <v>0.16340416340416344</v>
      </c>
    </row>
    <row r="197" spans="1:7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G197">
        <f t="shared" si="3"/>
        <v>0.10337710337710337</v>
      </c>
    </row>
    <row r="198" spans="1:7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G198">
        <f t="shared" si="3"/>
        <v>0.22258222258222263</v>
      </c>
    </row>
    <row r="199" spans="1:7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G199">
        <f t="shared" si="3"/>
        <v>0.31978531978531982</v>
      </c>
    </row>
    <row r="200" spans="1:7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G200">
        <f t="shared" si="3"/>
        <v>0.20973620973620982</v>
      </c>
    </row>
    <row r="201" spans="1:7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G201">
        <f t="shared" si="3"/>
        <v>0.30717630717630728</v>
      </c>
    </row>
    <row r="202" spans="1:7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G202">
        <f t="shared" si="3"/>
        <v>0.27905127905127919</v>
      </c>
    </row>
    <row r="203" spans="1:7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G203">
        <f t="shared" si="3"/>
        <v>0.30697530697530706</v>
      </c>
    </row>
    <row r="204" spans="1:7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G204">
        <f t="shared" si="3"/>
        <v>0.13455913455913457</v>
      </c>
    </row>
    <row r="205" spans="1:7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G205">
        <f t="shared" si="3"/>
        <v>7.4910074910074981E-2</v>
      </c>
    </row>
    <row r="206" spans="1:7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G206">
        <f t="shared" si="3"/>
        <v>0.16990816990816995</v>
      </c>
    </row>
    <row r="207" spans="1:7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G207">
        <f t="shared" si="3"/>
        <v>0.26257226257226257</v>
      </c>
    </row>
    <row r="208" spans="1:7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G208">
        <f t="shared" si="3"/>
        <v>0.17667617667617683</v>
      </c>
    </row>
    <row r="209" spans="1:7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G209">
        <f t="shared" si="3"/>
        <v>0.33030033030033035</v>
      </c>
    </row>
    <row r="210" spans="1:7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G210">
        <f t="shared" si="3"/>
        <v>0.12861312861312871</v>
      </c>
    </row>
    <row r="211" spans="1:7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G211">
        <f t="shared" si="3"/>
        <v>0.11312111312111327</v>
      </c>
    </row>
    <row r="212" spans="1:7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G212">
        <f t="shared" si="3"/>
        <v>0.10810510810510818</v>
      </c>
    </row>
    <row r="213" spans="1:7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G213">
        <f t="shared" si="3"/>
        <v>0.17821217821217836</v>
      </c>
    </row>
    <row r="214" spans="1:7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G214">
        <f t="shared" si="3"/>
        <v>0.23441423441423451</v>
      </c>
    </row>
    <row r="215" spans="1:7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G215">
        <f t="shared" si="3"/>
        <v>0.22345222345222354</v>
      </c>
    </row>
    <row r="216" spans="1:7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G216">
        <f t="shared" si="3"/>
        <v>0.32388632388632399</v>
      </c>
    </row>
    <row r="217" spans="1:7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G217">
        <f t="shared" si="3"/>
        <v>0.14104214104214105</v>
      </c>
    </row>
    <row r="218" spans="1:7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G218">
        <f t="shared" si="3"/>
        <v>0.11504111504111514</v>
      </c>
    </row>
    <row r="219" spans="1:7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G219">
        <f t="shared" si="3"/>
        <v>0.20247320247320258</v>
      </c>
    </row>
    <row r="220" spans="1:7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G220">
        <f t="shared" si="3"/>
        <v>0.18697818697818702</v>
      </c>
    </row>
    <row r="221" spans="1:7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G221">
        <f t="shared" si="3"/>
        <v>0.13763113763113766</v>
      </c>
    </row>
    <row r="222" spans="1:7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G222">
        <f t="shared" si="3"/>
        <v>7.3737073737073749E-2</v>
      </c>
    </row>
    <row r="223" spans="1:7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G223">
        <f t="shared" si="3"/>
        <v>3.7203037203037234E-2</v>
      </c>
    </row>
    <row r="224" spans="1:7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G224">
        <f t="shared" si="3"/>
        <v>0.20415020415020416</v>
      </c>
    </row>
    <row r="225" spans="1:7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G225">
        <f t="shared" si="3"/>
        <v>0.19727719727719731</v>
      </c>
    </row>
    <row r="226" spans="1:7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G226">
        <f t="shared" si="3"/>
        <v>2.0073020073020163E-2</v>
      </c>
    </row>
    <row r="227" spans="1:7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G227">
        <f t="shared" si="3"/>
        <v>0.13100113100113109</v>
      </c>
    </row>
    <row r="228" spans="1:7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G228">
        <f t="shared" si="3"/>
        <v>0.20960420960420975</v>
      </c>
    </row>
    <row r="229" spans="1:7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G229">
        <f t="shared" si="3"/>
        <v>9.6078096078096101E-2</v>
      </c>
    </row>
    <row r="230" spans="1:7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G230">
        <f t="shared" si="3"/>
        <v>0.14110214110214123</v>
      </c>
    </row>
    <row r="231" spans="1:7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G231">
        <f t="shared" si="3"/>
        <v>1.4343014343014359E-2</v>
      </c>
    </row>
    <row r="232" spans="1:7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G232">
        <f t="shared" si="3"/>
        <v>0.13047913047913062</v>
      </c>
    </row>
    <row r="233" spans="1:7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G233">
        <f t="shared" si="3"/>
        <v>6.0534060534060692E-2</v>
      </c>
    </row>
    <row r="234" spans="1:7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G234">
        <f t="shared" si="3"/>
        <v>4.8807048807048822E-2</v>
      </c>
    </row>
    <row r="235" spans="1:7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G235">
        <f t="shared" si="3"/>
        <v>0.1012471012471013</v>
      </c>
    </row>
    <row r="236" spans="1:7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G236">
        <f t="shared" si="3"/>
        <v>0.10315210315210319</v>
      </c>
    </row>
    <row r="237" spans="1:7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G237">
        <f t="shared" si="3"/>
        <v>0.17132117132117139</v>
      </c>
    </row>
    <row r="238" spans="1:7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G238">
        <f t="shared" si="3"/>
        <v>0.15905415905415912</v>
      </c>
    </row>
    <row r="239" spans="1:7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G239">
        <f t="shared" si="3"/>
        <v>5.6358056358056359E-2</v>
      </c>
    </row>
    <row r="240" spans="1:7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G240">
        <f t="shared" si="3"/>
        <v>0.19703119703119709</v>
      </c>
    </row>
    <row r="241" spans="1:7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G241">
        <f t="shared" si="3"/>
        <v>0.15677415677415688</v>
      </c>
    </row>
    <row r="242" spans="1:7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G242">
        <f t="shared" si="3"/>
        <v>0.11691611691611702</v>
      </c>
    </row>
    <row r="243" spans="1:7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G243">
        <f t="shared" si="3"/>
        <v>0.14549114549114553</v>
      </c>
    </row>
    <row r="244" spans="1:7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G244">
        <f t="shared" si="3"/>
        <v>0.16092016092016104</v>
      </c>
    </row>
    <row r="245" spans="1:7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G245">
        <f t="shared" si="3"/>
        <v>0.12416112416112415</v>
      </c>
    </row>
    <row r="246" spans="1:7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G246">
        <f t="shared" si="3"/>
        <v>0.11270111270111272</v>
      </c>
    </row>
    <row r="247" spans="1:7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G247">
        <f t="shared" si="3"/>
        <v>0.14176814176814184</v>
      </c>
    </row>
    <row r="248" spans="1:7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G248">
        <f t="shared" si="3"/>
        <v>0.24393324393324403</v>
      </c>
    </row>
    <row r="249" spans="1:7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G249">
        <f t="shared" si="3"/>
        <v>7.855207855207863E-2</v>
      </c>
    </row>
    <row r="250" spans="1:7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G250">
        <f t="shared" si="3"/>
        <v>0.13231213231213243</v>
      </c>
    </row>
    <row r="251" spans="1:7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G251">
        <f t="shared" si="3"/>
        <v>8.1444081444081509E-2</v>
      </c>
    </row>
    <row r="252" spans="1:7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G252">
        <f t="shared" si="3"/>
        <v>0.19050319050319059</v>
      </c>
    </row>
    <row r="253" spans="1:7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G253">
        <f t="shared" si="3"/>
        <v>0.15411915411915425</v>
      </c>
    </row>
    <row r="254" spans="1:7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G254">
        <f t="shared" si="3"/>
        <v>0.27693627693627693</v>
      </c>
    </row>
    <row r="255" spans="1:7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G255">
        <f t="shared" si="3"/>
        <v>0.14572514572514586</v>
      </c>
    </row>
    <row r="256" spans="1:7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G256">
        <f t="shared" si="3"/>
        <v>0.10215010215010217</v>
      </c>
    </row>
    <row r="257" spans="1:7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G257">
        <f t="shared" si="3"/>
        <v>0.15085515085515092</v>
      </c>
    </row>
    <row r="258" spans="1:7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G258">
        <f t="shared" si="3"/>
        <v>0.1175791175791177</v>
      </c>
    </row>
    <row r="259" spans="1:7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G259">
        <f t="shared" ref="G259:G322" si="4">($F$343-F259)/$F$343</f>
        <v>0.18104718104718118</v>
      </c>
    </row>
    <row r="260" spans="1:7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G260">
        <f t="shared" si="4"/>
        <v>7.0062070062070186E-2</v>
      </c>
    </row>
    <row r="261" spans="1:7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G261">
        <f t="shared" si="4"/>
        <v>7.4181074181074266E-2</v>
      </c>
    </row>
    <row r="262" spans="1:7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G262">
        <f t="shared" si="4"/>
        <v>0.14717714717714725</v>
      </c>
    </row>
    <row r="263" spans="1:7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G263">
        <f t="shared" si="4"/>
        <v>7.3629073629073644E-2</v>
      </c>
    </row>
    <row r="264" spans="1:7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G264">
        <f t="shared" si="4"/>
        <v>0.13739713739713749</v>
      </c>
    </row>
    <row r="265" spans="1:7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G265">
        <f t="shared" si="4"/>
        <v>8.94750894750896E-2</v>
      </c>
    </row>
    <row r="266" spans="1:7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G266">
        <f t="shared" si="4"/>
        <v>0.12066312066312067</v>
      </c>
    </row>
    <row r="267" spans="1:7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G267">
        <f t="shared" si="4"/>
        <v>0.2465672465672466</v>
      </c>
    </row>
    <row r="268" spans="1:7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G268">
        <f t="shared" si="4"/>
        <v>0.15322815322815328</v>
      </c>
    </row>
    <row r="269" spans="1:7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G269">
        <f t="shared" si="4"/>
        <v>0.26970926970926973</v>
      </c>
    </row>
    <row r="270" spans="1:7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G270">
        <f t="shared" si="4"/>
        <v>0.15381915381915387</v>
      </c>
    </row>
    <row r="271" spans="1:7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G271">
        <f t="shared" si="4"/>
        <v>0.25558525558525569</v>
      </c>
    </row>
    <row r="272" spans="1:7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G272">
        <f t="shared" si="4"/>
        <v>0.23082323082323089</v>
      </c>
    </row>
    <row r="273" spans="1:7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G273">
        <f t="shared" si="4"/>
        <v>0.20715320715320726</v>
      </c>
    </row>
    <row r="274" spans="1:7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G274">
        <f t="shared" si="4"/>
        <v>0.22769122769122782</v>
      </c>
    </row>
    <row r="275" spans="1:7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G275">
        <f t="shared" si="4"/>
        <v>0.22735822735822733</v>
      </c>
    </row>
    <row r="276" spans="1:7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G276">
        <f t="shared" si="4"/>
        <v>0.22098022098022105</v>
      </c>
    </row>
    <row r="277" spans="1:7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G277">
        <f t="shared" si="4"/>
        <v>0.23842223842223853</v>
      </c>
    </row>
    <row r="278" spans="1:7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G278">
        <f t="shared" si="4"/>
        <v>0.22718122718122727</v>
      </c>
    </row>
    <row r="279" spans="1:7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G279">
        <f t="shared" si="4"/>
        <v>0.2756972756972757</v>
      </c>
    </row>
    <row r="280" spans="1:7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G280">
        <f t="shared" si="4"/>
        <v>0.11672411672411676</v>
      </c>
    </row>
    <row r="281" spans="1:7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G281">
        <f t="shared" si="4"/>
        <v>0.11248811248811259</v>
      </c>
    </row>
    <row r="282" spans="1:7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G282">
        <f t="shared" si="4"/>
        <v>0.10500610500610502</v>
      </c>
    </row>
    <row r="283" spans="1:7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G283">
        <f t="shared" si="4"/>
        <v>6.7614067614067644E-2</v>
      </c>
    </row>
    <row r="284" spans="1:7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G284">
        <f t="shared" si="4"/>
        <v>9.0486090486090576E-2</v>
      </c>
    </row>
    <row r="285" spans="1:7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G285">
        <f t="shared" si="4"/>
        <v>9.0402090402090435E-2</v>
      </c>
    </row>
    <row r="286" spans="1:7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G286">
        <f t="shared" si="4"/>
        <v>0.14240414240414245</v>
      </c>
    </row>
    <row r="287" spans="1:7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G287">
        <f t="shared" si="4"/>
        <v>0.10371610371610372</v>
      </c>
    </row>
    <row r="288" spans="1:7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G288">
        <f t="shared" si="4"/>
        <v>8.8428088428088414E-2</v>
      </c>
    </row>
    <row r="289" spans="1:7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G289">
        <f t="shared" si="4"/>
        <v>9.7842097842097936E-2</v>
      </c>
    </row>
    <row r="290" spans="1:7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G290">
        <f t="shared" si="4"/>
        <v>0.20388920388920395</v>
      </c>
    </row>
    <row r="291" spans="1:7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G291">
        <f t="shared" si="4"/>
        <v>0.11933711933711949</v>
      </c>
    </row>
    <row r="292" spans="1:7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G292">
        <f t="shared" si="4"/>
        <v>0.14784014784014793</v>
      </c>
    </row>
    <row r="293" spans="1:7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G293">
        <f t="shared" si="4"/>
        <v>9.933009933009937E-2</v>
      </c>
    </row>
    <row r="294" spans="1:7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G294">
        <f t="shared" si="4"/>
        <v>6.1533061533061602E-2</v>
      </c>
    </row>
    <row r="295" spans="1:7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G295">
        <f t="shared" si="4"/>
        <v>5.2374052374052453E-2</v>
      </c>
    </row>
    <row r="296" spans="1:7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G296">
        <f t="shared" si="4"/>
        <v>0.11134211134211143</v>
      </c>
    </row>
    <row r="297" spans="1:7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G297">
        <f t="shared" si="4"/>
        <v>0.10250410250410251</v>
      </c>
    </row>
    <row r="298" spans="1:7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G298">
        <f t="shared" si="4"/>
        <v>0.18879918879918894</v>
      </c>
    </row>
    <row r="299" spans="1:7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G299">
        <f t="shared" si="4"/>
        <v>0.22381822381822394</v>
      </c>
    </row>
    <row r="300" spans="1:7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G300">
        <f t="shared" si="4"/>
        <v>0.18609018609018615</v>
      </c>
    </row>
    <row r="301" spans="1:7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G301">
        <f t="shared" si="4"/>
        <v>0.21418221418221417</v>
      </c>
    </row>
    <row r="302" spans="1:7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G302">
        <f t="shared" si="4"/>
        <v>7.2501072501072586E-2</v>
      </c>
    </row>
    <row r="303" spans="1:7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G303">
        <f t="shared" si="4"/>
        <v>2.9700029700043614E-4</v>
      </c>
    </row>
    <row r="304" spans="1:7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G304">
        <f t="shared" si="4"/>
        <v>4.6170046170047486E-3</v>
      </c>
    </row>
    <row r="305" spans="1:7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G305">
        <f t="shared" si="4"/>
        <v>0.15562515562515561</v>
      </c>
    </row>
    <row r="306" spans="1:7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G306">
        <f t="shared" si="4"/>
        <v>0.19969219969219973</v>
      </c>
    </row>
    <row r="307" spans="1:7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G307">
        <f t="shared" si="4"/>
        <v>0.12656412656412669</v>
      </c>
    </row>
    <row r="308" spans="1:7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G308">
        <f t="shared" si="4"/>
        <v>8.4090084090084172E-2</v>
      </c>
    </row>
    <row r="309" spans="1:7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G309">
        <f t="shared" si="4"/>
        <v>9.4743094743094794E-2</v>
      </c>
    </row>
    <row r="310" spans="1:7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G310">
        <f t="shared" si="4"/>
        <v>9.5298095298095353E-2</v>
      </c>
    </row>
    <row r="311" spans="1:7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G311">
        <f t="shared" si="4"/>
        <v>0</v>
      </c>
    </row>
    <row r="312" spans="1:7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G312">
        <f t="shared" si="4"/>
        <v>0.12028212028212043</v>
      </c>
    </row>
    <row r="313" spans="1:7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G313">
        <f t="shared" si="4"/>
        <v>0.21714321714321722</v>
      </c>
    </row>
    <row r="314" spans="1:7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G314">
        <f t="shared" si="4"/>
        <v>0.15693315693315701</v>
      </c>
    </row>
    <row r="315" spans="1:7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G315">
        <f t="shared" si="4"/>
        <v>0.22968922968922981</v>
      </c>
    </row>
    <row r="316" spans="1:7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G316">
        <f t="shared" si="4"/>
        <v>0.17288717288717292</v>
      </c>
    </row>
    <row r="317" spans="1:7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G317">
        <f t="shared" si="4"/>
        <v>0.21685821685821685</v>
      </c>
    </row>
    <row r="318" spans="1:7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G318">
        <f t="shared" si="4"/>
        <v>0.18166818166818177</v>
      </c>
    </row>
    <row r="319" spans="1:7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G319">
        <f t="shared" si="4"/>
        <v>0.18460218460218472</v>
      </c>
    </row>
    <row r="320" spans="1:7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G320">
        <f t="shared" si="4"/>
        <v>0.16716016716016724</v>
      </c>
    </row>
    <row r="321" spans="1:7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G321">
        <f t="shared" si="4"/>
        <v>0.18667518667518673</v>
      </c>
    </row>
    <row r="322" spans="1:7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G322">
        <f t="shared" si="4"/>
        <v>0.15051915051915052</v>
      </c>
    </row>
    <row r="323" spans="1:7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G323">
        <f t="shared" ref="G323:G340" si="5">($F$343-F323)/$F$343</f>
        <v>0.1667881667881668</v>
      </c>
    </row>
    <row r="324" spans="1:7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G324">
        <f t="shared" si="5"/>
        <v>0.18057918057918068</v>
      </c>
    </row>
    <row r="325" spans="1:7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G325">
        <f t="shared" si="5"/>
        <v>0.16576516576516589</v>
      </c>
    </row>
    <row r="326" spans="1:7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G326">
        <f t="shared" si="5"/>
        <v>0.17192117192117196</v>
      </c>
    </row>
    <row r="327" spans="1:7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G327">
        <f t="shared" si="5"/>
        <v>0.14863514863514868</v>
      </c>
    </row>
    <row r="328" spans="1:7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G328">
        <f t="shared" si="5"/>
        <v>0.14769014769014774</v>
      </c>
    </row>
    <row r="329" spans="1:7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G329">
        <f t="shared" si="5"/>
        <v>0.1364881364881366</v>
      </c>
    </row>
    <row r="330" spans="1:7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G330">
        <f t="shared" si="5"/>
        <v>0.19389619389619389</v>
      </c>
    </row>
    <row r="331" spans="1:7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G331">
        <f t="shared" si="5"/>
        <v>0.17616017616017624</v>
      </c>
    </row>
    <row r="332" spans="1:7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G332">
        <f t="shared" si="5"/>
        <v>0.17464217464217463</v>
      </c>
    </row>
    <row r="333" spans="1:7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G333">
        <f t="shared" si="5"/>
        <v>0.18889218889218887</v>
      </c>
    </row>
    <row r="334" spans="1:7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G334">
        <f t="shared" si="5"/>
        <v>0.1958071958071958</v>
      </c>
    </row>
    <row r="335" spans="1:7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G335">
        <f t="shared" si="5"/>
        <v>4.8474048474048514E-2</v>
      </c>
    </row>
    <row r="336" spans="1:7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G336">
        <f t="shared" si="5"/>
        <v>0.18214518214518222</v>
      </c>
    </row>
    <row r="337" spans="1:7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G337">
        <f t="shared" si="5"/>
        <v>0.19021519021519029</v>
      </c>
    </row>
    <row r="338" spans="1:7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G338">
        <f t="shared" si="5"/>
        <v>0.26022326022326031</v>
      </c>
    </row>
    <row r="339" spans="1:7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G339">
        <f t="shared" si="5"/>
        <v>0.14310614310614325</v>
      </c>
    </row>
    <row r="340" spans="1:7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G340">
        <f t="shared" si="5"/>
        <v>0.22889722889722899</v>
      </c>
    </row>
    <row r="343" spans="1:7" x14ac:dyDescent="0.2">
      <c r="A343" t="s">
        <v>13</v>
      </c>
      <c r="F343">
        <f>MAX(F2:F340)</f>
        <v>83.333250000000007</v>
      </c>
      <c r="G343">
        <f>MAX(G2:G340)</f>
        <v>0.48698748698748695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892F-26C8-4C59-B0B0-89B1BA2D79CA}">
  <dimension ref="A1:P343"/>
  <sheetViews>
    <sheetView topLeftCell="C1" zoomScaleNormal="100" workbookViewId="0">
      <selection activeCell="L7" sqref="L7"/>
    </sheetView>
  </sheetViews>
  <sheetFormatPr baseColWidth="10" defaultColWidth="8.83203125" defaultRowHeight="15" x14ac:dyDescent="0.2"/>
  <cols>
    <col min="4" max="4" width="12.1640625" bestFit="1" customWidth="1"/>
    <col min="5" max="5" width="11" bestFit="1" customWidth="1"/>
    <col min="11" max="11" width="8.83203125" customWidth="1"/>
  </cols>
  <sheetData>
    <row r="1" spans="1:16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H1" s="9" t="s">
        <v>16</v>
      </c>
      <c r="I1" s="9" t="s">
        <v>14</v>
      </c>
      <c r="J1" s="9" t="s">
        <v>15</v>
      </c>
      <c r="L1" s="9" t="s">
        <v>28</v>
      </c>
      <c r="M1" s="9" t="s">
        <v>30</v>
      </c>
      <c r="N1" s="9" t="s">
        <v>31</v>
      </c>
      <c r="O1" s="9" t="s">
        <v>32</v>
      </c>
      <c r="P1" s="9" t="s">
        <v>33</v>
      </c>
    </row>
    <row r="2" spans="1:16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H2">
        <f>0.0034*C2^2-0.152*C2+1.7411</f>
        <v>6.6206000000000209E-2</v>
      </c>
      <c r="I2">
        <f>2.6805*D2^2-42.226*D2+166.39</f>
        <v>0.12300384433646627</v>
      </c>
      <c r="J2">
        <f>0.0002*E2^2-0.001*E2+0.1158</f>
        <v>0.11561722000000001</v>
      </c>
      <c r="L2">
        <f>SUM(H2:J2)-H2*I2-H2*J2-I2*J2+H2*I2*J2</f>
        <v>0.27574909514727153</v>
      </c>
      <c r="M2">
        <f t="shared" ref="M2:M33" si="0">($F$343-F2)/$F$343</f>
        <v>0.12800712800712813</v>
      </c>
    </row>
    <row r="3" spans="1:16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H3">
        <f t="shared" ref="H3:H66" si="1">0.0034*C3^2-0.152*C3+1.7411</f>
        <v>6.6206000000000209E-2</v>
      </c>
      <c r="I3">
        <f t="shared" ref="I3:I66" si="2">2.6805*D3^2-42.226*D3+166.39</f>
        <v>0.12300384433646627</v>
      </c>
      <c r="J3">
        <f t="shared" ref="J3:J66" si="3">0.0002*E3^2-0.001*E3+0.1158</f>
        <v>0.11561722000000001</v>
      </c>
      <c r="L3">
        <f t="shared" ref="L3:L66" si="4">SUM(H3:J3)-H3*I3-H3*J3-I3*J3+H3*I3*J3</f>
        <v>0.27574909514727153</v>
      </c>
      <c r="M3">
        <f t="shared" si="0"/>
        <v>7.9749079749079826E-2</v>
      </c>
    </row>
    <row r="4" spans="1:16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H4">
        <f t="shared" si="1"/>
        <v>6.6206000000000209E-2</v>
      </c>
      <c r="I4">
        <f t="shared" si="2"/>
        <v>0.12300384433646627</v>
      </c>
      <c r="J4">
        <f t="shared" si="3"/>
        <v>0.11561722000000001</v>
      </c>
      <c r="L4">
        <f t="shared" si="4"/>
        <v>0.27574909514727153</v>
      </c>
      <c r="M4">
        <f t="shared" si="0"/>
        <v>0.16524016524016535</v>
      </c>
    </row>
    <row r="5" spans="1:16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H5">
        <f t="shared" si="1"/>
        <v>6.6206000000000209E-2</v>
      </c>
      <c r="I5">
        <f t="shared" si="2"/>
        <v>0.12300384433646627</v>
      </c>
      <c r="J5">
        <f t="shared" si="3"/>
        <v>0.11561722000000001</v>
      </c>
      <c r="L5">
        <f t="shared" si="4"/>
        <v>0.27574909514727153</v>
      </c>
      <c r="M5">
        <f t="shared" si="0"/>
        <v>0.19913719913719918</v>
      </c>
    </row>
    <row r="6" spans="1:16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H6">
        <f t="shared" si="1"/>
        <v>6.6206000000000209E-2</v>
      </c>
      <c r="I6">
        <f t="shared" si="2"/>
        <v>0.12300384433646627</v>
      </c>
      <c r="J6">
        <f t="shared" si="3"/>
        <v>0.11561722000000001</v>
      </c>
      <c r="L6">
        <f t="shared" si="4"/>
        <v>0.27574909514727153</v>
      </c>
      <c r="M6">
        <f t="shared" si="0"/>
        <v>2.1819021819021889E-2</v>
      </c>
    </row>
    <row r="7" spans="1:16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H7">
        <f t="shared" si="1"/>
        <v>6.6206000000000209E-2</v>
      </c>
      <c r="I7">
        <f t="shared" si="2"/>
        <v>0.12300384433646627</v>
      </c>
      <c r="J7">
        <f t="shared" si="3"/>
        <v>0.11561722000000001</v>
      </c>
      <c r="L7">
        <f t="shared" si="4"/>
        <v>0.27574909514727153</v>
      </c>
      <c r="M7">
        <f t="shared" si="0"/>
        <v>0.17031617031617044</v>
      </c>
    </row>
    <row r="8" spans="1:16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H8">
        <f t="shared" si="1"/>
        <v>6.6206000000000209E-2</v>
      </c>
      <c r="I8">
        <f t="shared" si="2"/>
        <v>0.12300384433646627</v>
      </c>
      <c r="J8">
        <f t="shared" si="3"/>
        <v>0.11561722000000001</v>
      </c>
      <c r="L8">
        <f t="shared" si="4"/>
        <v>0.27574909514727153</v>
      </c>
      <c r="M8">
        <f t="shared" si="0"/>
        <v>0.11291711291711294</v>
      </c>
    </row>
    <row r="9" spans="1:16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H9">
        <f t="shared" si="1"/>
        <v>6.6206000000000209E-2</v>
      </c>
      <c r="I9">
        <f t="shared" si="2"/>
        <v>0.12300384433646627</v>
      </c>
      <c r="J9">
        <f t="shared" si="3"/>
        <v>0.11561722000000001</v>
      </c>
      <c r="L9">
        <f t="shared" si="4"/>
        <v>0.27574909514727153</v>
      </c>
      <c r="M9">
        <f t="shared" si="0"/>
        <v>3.7926037926038082E-2</v>
      </c>
    </row>
    <row r="10" spans="1:16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H10">
        <f t="shared" si="1"/>
        <v>6.6206000000000209E-2</v>
      </c>
      <c r="I10">
        <f t="shared" si="2"/>
        <v>0.12300384433646627</v>
      </c>
      <c r="J10">
        <f t="shared" si="3"/>
        <v>0.11561722000000001</v>
      </c>
      <c r="L10">
        <f t="shared" si="4"/>
        <v>0.27574909514727153</v>
      </c>
      <c r="M10">
        <f t="shared" si="0"/>
        <v>0.15680415680415688</v>
      </c>
    </row>
    <row r="11" spans="1:16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H11">
        <f t="shared" si="1"/>
        <v>6.6206000000000209E-2</v>
      </c>
      <c r="I11">
        <f t="shared" si="2"/>
        <v>0.12300384433646627</v>
      </c>
      <c r="J11">
        <f t="shared" si="3"/>
        <v>0.11561722000000001</v>
      </c>
      <c r="L11">
        <f t="shared" si="4"/>
        <v>0.27574909514727153</v>
      </c>
      <c r="M11">
        <f t="shared" si="0"/>
        <v>4.959004959005019E-3</v>
      </c>
    </row>
    <row r="12" spans="1:16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H12">
        <f t="shared" si="1"/>
        <v>6.6206000000000209E-2</v>
      </c>
      <c r="I12">
        <f t="shared" si="2"/>
        <v>0.12300384433646627</v>
      </c>
      <c r="J12">
        <f t="shared" si="3"/>
        <v>0.11561722000000001</v>
      </c>
      <c r="L12">
        <f t="shared" si="4"/>
        <v>0.27574909514727153</v>
      </c>
      <c r="M12">
        <f t="shared" si="0"/>
        <v>0.16649416649416662</v>
      </c>
    </row>
    <row r="13" spans="1:16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H13">
        <f t="shared" si="1"/>
        <v>6.6206000000000209E-2</v>
      </c>
      <c r="I13">
        <f t="shared" si="2"/>
        <v>0.12300384433646627</v>
      </c>
      <c r="J13">
        <f t="shared" si="3"/>
        <v>0.11561722000000001</v>
      </c>
      <c r="L13">
        <f t="shared" si="4"/>
        <v>0.27574909514727153</v>
      </c>
      <c r="M13">
        <f t="shared" si="0"/>
        <v>0.11266211266211275</v>
      </c>
    </row>
    <row r="14" spans="1:16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H14">
        <f t="shared" si="1"/>
        <v>6.6206000000000209E-2</v>
      </c>
      <c r="I14">
        <f t="shared" si="2"/>
        <v>0.12300384433646627</v>
      </c>
      <c r="J14">
        <f t="shared" si="3"/>
        <v>0.11561722000000001</v>
      </c>
      <c r="L14">
        <f t="shared" si="4"/>
        <v>0.27574909514727153</v>
      </c>
      <c r="M14">
        <f t="shared" si="0"/>
        <v>5.2920052920053043E-2</v>
      </c>
    </row>
    <row r="15" spans="1:16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H15">
        <f t="shared" si="1"/>
        <v>6.6206000000000209E-2</v>
      </c>
      <c r="I15">
        <f t="shared" si="2"/>
        <v>0.12300384433646627</v>
      </c>
      <c r="J15">
        <f t="shared" si="3"/>
        <v>0.11561722000000001</v>
      </c>
      <c r="L15">
        <f t="shared" si="4"/>
        <v>0.27574909514727153</v>
      </c>
      <c r="M15">
        <f t="shared" si="0"/>
        <v>2.2119022119022259E-2</v>
      </c>
    </row>
    <row r="16" spans="1:16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H16">
        <f t="shared" si="1"/>
        <v>6.6206000000000209E-2</v>
      </c>
      <c r="I16">
        <f t="shared" si="2"/>
        <v>0.12300384433646627</v>
      </c>
      <c r="J16">
        <f t="shared" si="3"/>
        <v>0.11561722000000001</v>
      </c>
      <c r="L16">
        <f t="shared" si="4"/>
        <v>0.27574909514727153</v>
      </c>
      <c r="M16">
        <f t="shared" si="0"/>
        <v>7.5867075867075986E-2</v>
      </c>
    </row>
    <row r="17" spans="1:13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H17">
        <f t="shared" si="1"/>
        <v>6.6206000000000209E-2</v>
      </c>
      <c r="I17">
        <f t="shared" si="2"/>
        <v>0.12300384433646627</v>
      </c>
      <c r="J17">
        <f t="shared" si="3"/>
        <v>0.11561722000000001</v>
      </c>
      <c r="L17">
        <f t="shared" si="4"/>
        <v>0.27574909514727153</v>
      </c>
      <c r="M17">
        <f t="shared" si="0"/>
        <v>0.11539511539511547</v>
      </c>
    </row>
    <row r="18" spans="1:13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H18">
        <f t="shared" si="1"/>
        <v>6.6206000000000209E-2</v>
      </c>
      <c r="I18">
        <f t="shared" si="2"/>
        <v>0.12300384433646627</v>
      </c>
      <c r="J18">
        <f t="shared" si="3"/>
        <v>0.11561722000000001</v>
      </c>
      <c r="L18">
        <f t="shared" si="4"/>
        <v>0.27574909514727153</v>
      </c>
      <c r="M18">
        <f t="shared" si="0"/>
        <v>0.18041718041718044</v>
      </c>
    </row>
    <row r="19" spans="1:13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H19">
        <f t="shared" si="1"/>
        <v>6.6206000000000209E-2</v>
      </c>
      <c r="I19">
        <f t="shared" si="2"/>
        <v>0.12300384433646627</v>
      </c>
      <c r="J19">
        <f t="shared" si="3"/>
        <v>0.11561722000000001</v>
      </c>
      <c r="L19">
        <f t="shared" si="4"/>
        <v>0.27574909514727153</v>
      </c>
      <c r="M19">
        <f t="shared" si="0"/>
        <v>2.3640023640023794E-2</v>
      </c>
    </row>
    <row r="20" spans="1:13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H20">
        <f t="shared" si="1"/>
        <v>6.6206000000000209E-2</v>
      </c>
      <c r="I20">
        <f t="shared" si="2"/>
        <v>0.12300384433646627</v>
      </c>
      <c r="J20">
        <f t="shared" si="3"/>
        <v>0.11561722000000001</v>
      </c>
      <c r="L20">
        <f t="shared" si="4"/>
        <v>0.27574909514727153</v>
      </c>
      <c r="M20">
        <f t="shared" si="0"/>
        <v>0.18426918426918426</v>
      </c>
    </row>
    <row r="21" spans="1:13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H21">
        <f t="shared" si="1"/>
        <v>6.6206000000000209E-2</v>
      </c>
      <c r="I21">
        <f t="shared" si="2"/>
        <v>0.12300384433646627</v>
      </c>
      <c r="J21">
        <f t="shared" si="3"/>
        <v>0.11561722000000001</v>
      </c>
      <c r="L21">
        <f t="shared" si="4"/>
        <v>0.27574909514727153</v>
      </c>
      <c r="M21">
        <f t="shared" si="0"/>
        <v>0.20885720885720893</v>
      </c>
    </row>
    <row r="22" spans="1:13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H22">
        <f t="shared" si="1"/>
        <v>6.6206000000000209E-2</v>
      </c>
      <c r="I22">
        <f t="shared" si="2"/>
        <v>0.12758178009758581</v>
      </c>
      <c r="J22">
        <f t="shared" si="3"/>
        <v>0.11459999999999999</v>
      </c>
      <c r="L22">
        <f t="shared" si="4"/>
        <v>0.27870101061683977</v>
      </c>
      <c r="M22">
        <f t="shared" si="0"/>
        <v>0.1371691371691372</v>
      </c>
    </row>
    <row r="23" spans="1:13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H23">
        <f t="shared" si="1"/>
        <v>6.6206000000000209E-2</v>
      </c>
      <c r="I23">
        <f t="shared" si="2"/>
        <v>0.12758178009758581</v>
      </c>
      <c r="J23">
        <f t="shared" si="3"/>
        <v>0.11459999999999999</v>
      </c>
      <c r="L23">
        <f t="shared" si="4"/>
        <v>0.27870101061683977</v>
      </c>
      <c r="M23">
        <f t="shared" si="0"/>
        <v>0.18929418929418931</v>
      </c>
    </row>
    <row r="24" spans="1:13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H24">
        <f t="shared" si="1"/>
        <v>6.6206000000000209E-2</v>
      </c>
      <c r="I24">
        <f t="shared" si="2"/>
        <v>0.12758178009758581</v>
      </c>
      <c r="J24">
        <f t="shared" si="3"/>
        <v>0.11459999999999999</v>
      </c>
      <c r="L24">
        <f t="shared" si="4"/>
        <v>0.27870101061683977</v>
      </c>
      <c r="M24">
        <f t="shared" si="0"/>
        <v>0.13476613476613483</v>
      </c>
    </row>
    <row r="25" spans="1:13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H25">
        <f t="shared" si="1"/>
        <v>6.6206000000000209E-2</v>
      </c>
      <c r="I25">
        <f t="shared" si="2"/>
        <v>0.12758178009758581</v>
      </c>
      <c r="J25">
        <f t="shared" si="3"/>
        <v>0.11459999999999999</v>
      </c>
      <c r="L25">
        <f t="shared" si="4"/>
        <v>0.27870101061683977</v>
      </c>
      <c r="M25">
        <f t="shared" si="0"/>
        <v>0.18343218343218343</v>
      </c>
    </row>
    <row r="26" spans="1:13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H26">
        <f t="shared" si="1"/>
        <v>6.6206000000000209E-2</v>
      </c>
      <c r="I26">
        <f t="shared" si="2"/>
        <v>0.12758178009758581</v>
      </c>
      <c r="J26">
        <f t="shared" si="3"/>
        <v>0.11459999999999999</v>
      </c>
      <c r="L26">
        <f t="shared" si="4"/>
        <v>0.27870101061683977</v>
      </c>
      <c r="M26">
        <f t="shared" si="0"/>
        <v>0.17034317034317034</v>
      </c>
    </row>
    <row r="27" spans="1:13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H27">
        <f t="shared" si="1"/>
        <v>6.6206000000000209E-2</v>
      </c>
      <c r="I27">
        <f t="shared" si="2"/>
        <v>0.12758178009758581</v>
      </c>
      <c r="J27">
        <f t="shared" si="3"/>
        <v>0.11459999999999999</v>
      </c>
      <c r="L27">
        <f t="shared" si="4"/>
        <v>0.27870101061683977</v>
      </c>
      <c r="M27">
        <f t="shared" si="0"/>
        <v>9.0012090012090068E-2</v>
      </c>
    </row>
    <row r="28" spans="1:13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H28">
        <f t="shared" si="1"/>
        <v>6.6206000000000209E-2</v>
      </c>
      <c r="I28">
        <f t="shared" si="2"/>
        <v>0.12758178009758581</v>
      </c>
      <c r="J28">
        <f t="shared" si="3"/>
        <v>0.11459999999999999</v>
      </c>
      <c r="L28">
        <f t="shared" si="4"/>
        <v>0.27870101061683977</v>
      </c>
      <c r="M28">
        <f t="shared" si="0"/>
        <v>0.18559218559218568</v>
      </c>
    </row>
    <row r="29" spans="1:13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H29">
        <f t="shared" si="1"/>
        <v>6.6206000000000209E-2</v>
      </c>
      <c r="I29">
        <f t="shared" si="2"/>
        <v>0.12758178009758581</v>
      </c>
      <c r="J29">
        <f t="shared" si="3"/>
        <v>0.11459999999999999</v>
      </c>
      <c r="L29">
        <f t="shared" si="4"/>
        <v>0.27870101061683977</v>
      </c>
      <c r="M29">
        <f t="shared" si="0"/>
        <v>0.12043512043512054</v>
      </c>
    </row>
    <row r="30" spans="1:13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H30">
        <f t="shared" si="1"/>
        <v>6.6206000000000209E-2</v>
      </c>
      <c r="I30">
        <f t="shared" si="2"/>
        <v>0.12758178009758581</v>
      </c>
      <c r="J30">
        <f t="shared" si="3"/>
        <v>0.11459999999999999</v>
      </c>
      <c r="L30">
        <f t="shared" si="4"/>
        <v>0.27870101061683977</v>
      </c>
      <c r="M30">
        <f t="shared" si="0"/>
        <v>0.16009216009216018</v>
      </c>
    </row>
    <row r="31" spans="1:13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H31">
        <f t="shared" si="1"/>
        <v>6.6206000000000209E-2</v>
      </c>
      <c r="I31">
        <f t="shared" si="2"/>
        <v>0.12758178009758581</v>
      </c>
      <c r="J31">
        <f t="shared" si="3"/>
        <v>0.11459999999999999</v>
      </c>
      <c r="L31">
        <f t="shared" si="4"/>
        <v>0.27870101061683977</v>
      </c>
      <c r="M31">
        <f t="shared" si="0"/>
        <v>6.7992067992068125E-2</v>
      </c>
    </row>
    <row r="32" spans="1:13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H32">
        <f t="shared" si="1"/>
        <v>6.6206000000000209E-2</v>
      </c>
      <c r="I32">
        <f t="shared" si="2"/>
        <v>0.12758178009758581</v>
      </c>
      <c r="J32">
        <f t="shared" si="3"/>
        <v>0.11459999999999999</v>
      </c>
      <c r="L32">
        <f t="shared" si="4"/>
        <v>0.27870101061683977</v>
      </c>
      <c r="M32">
        <f t="shared" si="0"/>
        <v>0.11629211629211632</v>
      </c>
    </row>
    <row r="33" spans="1:13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H33">
        <f t="shared" si="1"/>
        <v>6.6206000000000209E-2</v>
      </c>
      <c r="I33">
        <f t="shared" si="2"/>
        <v>0.12758178009758581</v>
      </c>
      <c r="J33">
        <f t="shared" si="3"/>
        <v>0.11459999999999999</v>
      </c>
      <c r="L33">
        <f t="shared" si="4"/>
        <v>0.27870101061683977</v>
      </c>
      <c r="M33">
        <f t="shared" si="0"/>
        <v>6.3222063222063252E-2</v>
      </c>
    </row>
    <row r="34" spans="1:13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H34">
        <f t="shared" si="1"/>
        <v>6.6206000000000209E-2</v>
      </c>
      <c r="I34">
        <f t="shared" si="2"/>
        <v>0.12758178009758581</v>
      </c>
      <c r="J34">
        <f t="shared" si="3"/>
        <v>0.11459999999999999</v>
      </c>
      <c r="L34">
        <f t="shared" si="4"/>
        <v>0.27870101061683977</v>
      </c>
      <c r="M34">
        <f t="shared" ref="M34:M65" si="5">($F$343-F34)/$F$343</f>
        <v>6.464406464406465E-2</v>
      </c>
    </row>
    <row r="35" spans="1:13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H35">
        <f t="shared" si="1"/>
        <v>6.6206000000000209E-2</v>
      </c>
      <c r="I35">
        <f t="shared" si="2"/>
        <v>0.12758178009758581</v>
      </c>
      <c r="J35">
        <f t="shared" si="3"/>
        <v>0.11459999999999999</v>
      </c>
      <c r="L35">
        <f t="shared" si="4"/>
        <v>0.27870101061683977</v>
      </c>
      <c r="M35">
        <f t="shared" si="5"/>
        <v>0.12816612816612827</v>
      </c>
    </row>
    <row r="36" spans="1:13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H36">
        <f t="shared" si="1"/>
        <v>6.6206000000000209E-2</v>
      </c>
      <c r="I36">
        <f t="shared" si="2"/>
        <v>0.12138494150033807</v>
      </c>
      <c r="J36">
        <f t="shared" si="3"/>
        <v>0.1206</v>
      </c>
      <c r="L36">
        <f t="shared" si="4"/>
        <v>0.2785002537377248</v>
      </c>
      <c r="M36">
        <f t="shared" si="5"/>
        <v>0.11077811077811091</v>
      </c>
    </row>
    <row r="37" spans="1:13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H37">
        <f t="shared" si="1"/>
        <v>6.6206000000000209E-2</v>
      </c>
      <c r="I37">
        <f t="shared" si="2"/>
        <v>0.12138494150033807</v>
      </c>
      <c r="J37">
        <f t="shared" si="3"/>
        <v>0.1206</v>
      </c>
      <c r="L37">
        <f t="shared" si="4"/>
        <v>0.2785002537377248</v>
      </c>
      <c r="M37">
        <f t="shared" si="5"/>
        <v>6.9117069117069246E-2</v>
      </c>
    </row>
    <row r="38" spans="1:13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H38">
        <f t="shared" si="1"/>
        <v>6.6206000000000209E-2</v>
      </c>
      <c r="I38">
        <f t="shared" si="2"/>
        <v>0.12138494150033807</v>
      </c>
      <c r="J38">
        <f t="shared" si="3"/>
        <v>0.1206</v>
      </c>
      <c r="L38">
        <f t="shared" si="4"/>
        <v>0.2785002537377248</v>
      </c>
      <c r="M38">
        <f t="shared" si="5"/>
        <v>8.5020085020085109E-2</v>
      </c>
    </row>
    <row r="39" spans="1:13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H39">
        <f t="shared" si="1"/>
        <v>6.6206000000000209E-2</v>
      </c>
      <c r="I39">
        <f t="shared" si="2"/>
        <v>0.12138494150033807</v>
      </c>
      <c r="J39">
        <f t="shared" si="3"/>
        <v>0.1206</v>
      </c>
      <c r="L39">
        <f t="shared" si="4"/>
        <v>0.2785002537377248</v>
      </c>
      <c r="M39">
        <f t="shared" si="5"/>
        <v>0.11979311979311991</v>
      </c>
    </row>
    <row r="40" spans="1:13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H40">
        <f t="shared" si="1"/>
        <v>6.6206000000000209E-2</v>
      </c>
      <c r="I40">
        <f t="shared" si="2"/>
        <v>0.12138494150033807</v>
      </c>
      <c r="J40">
        <f t="shared" si="3"/>
        <v>0.1206</v>
      </c>
      <c r="L40">
        <f t="shared" si="4"/>
        <v>0.2785002537377248</v>
      </c>
      <c r="M40">
        <f t="shared" si="5"/>
        <v>9.4314094314094446E-2</v>
      </c>
    </row>
    <row r="41" spans="1:13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H41">
        <f t="shared" si="1"/>
        <v>6.6206000000000209E-2</v>
      </c>
      <c r="I41">
        <f t="shared" si="2"/>
        <v>0.12138494150033807</v>
      </c>
      <c r="J41">
        <f t="shared" si="3"/>
        <v>0.1206</v>
      </c>
      <c r="L41">
        <f t="shared" si="4"/>
        <v>0.2785002537377248</v>
      </c>
      <c r="M41">
        <f t="shared" si="5"/>
        <v>0.15705315705315703</v>
      </c>
    </row>
    <row r="42" spans="1:13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H42">
        <f t="shared" si="1"/>
        <v>6.6206000000000209E-2</v>
      </c>
      <c r="I42">
        <f t="shared" si="2"/>
        <v>0.12138494150033807</v>
      </c>
      <c r="J42">
        <f t="shared" si="3"/>
        <v>0.1206</v>
      </c>
      <c r="L42">
        <f t="shared" si="4"/>
        <v>0.2785002537377248</v>
      </c>
      <c r="M42">
        <f t="shared" si="5"/>
        <v>7.9083079083079211E-2</v>
      </c>
    </row>
    <row r="43" spans="1:13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H43">
        <f t="shared" si="1"/>
        <v>6.6206000000000209E-2</v>
      </c>
      <c r="I43">
        <f t="shared" si="2"/>
        <v>0.12138494150033807</v>
      </c>
      <c r="J43">
        <f t="shared" si="3"/>
        <v>0.1206</v>
      </c>
      <c r="L43">
        <f t="shared" si="4"/>
        <v>0.2785002537377248</v>
      </c>
      <c r="M43">
        <f t="shared" si="5"/>
        <v>9.0978090978091036E-2</v>
      </c>
    </row>
    <row r="44" spans="1:13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H44">
        <f t="shared" si="1"/>
        <v>6.6206000000000209E-2</v>
      </c>
      <c r="I44">
        <f t="shared" si="2"/>
        <v>0.12138494150033807</v>
      </c>
      <c r="J44">
        <f t="shared" si="3"/>
        <v>0.1206</v>
      </c>
      <c r="L44">
        <f t="shared" si="4"/>
        <v>0.2785002537377248</v>
      </c>
      <c r="M44">
        <f t="shared" si="5"/>
        <v>0.13791013791013798</v>
      </c>
    </row>
    <row r="45" spans="1:13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H45">
        <f t="shared" si="1"/>
        <v>6.6206000000000209E-2</v>
      </c>
      <c r="I45">
        <f t="shared" si="2"/>
        <v>0.12138494150033807</v>
      </c>
      <c r="J45">
        <f t="shared" si="3"/>
        <v>0.1206</v>
      </c>
      <c r="L45">
        <f t="shared" si="4"/>
        <v>0.2785002537377248</v>
      </c>
      <c r="M45">
        <f t="shared" si="5"/>
        <v>8.4546084546084588E-2</v>
      </c>
    </row>
    <row r="46" spans="1:13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H46">
        <f t="shared" si="1"/>
        <v>6.6206000000000209E-2</v>
      </c>
      <c r="I46">
        <f t="shared" si="2"/>
        <v>0.12138494150033807</v>
      </c>
      <c r="J46">
        <f t="shared" si="3"/>
        <v>0.1206</v>
      </c>
      <c r="L46">
        <f t="shared" si="4"/>
        <v>0.2785002537377248</v>
      </c>
      <c r="M46">
        <f t="shared" si="5"/>
        <v>7.3362073362073385E-2</v>
      </c>
    </row>
    <row r="47" spans="1:13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H47">
        <f t="shared" si="1"/>
        <v>6.6206000000000209E-2</v>
      </c>
      <c r="I47">
        <f t="shared" si="2"/>
        <v>0.12138494150033807</v>
      </c>
      <c r="J47">
        <f t="shared" si="3"/>
        <v>0.1206</v>
      </c>
      <c r="L47">
        <f t="shared" si="4"/>
        <v>0.2785002537377248</v>
      </c>
      <c r="M47">
        <f t="shared" si="5"/>
        <v>0.17003417003417018</v>
      </c>
    </row>
    <row r="48" spans="1:13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H48">
        <f t="shared" si="1"/>
        <v>6.6206000000000209E-2</v>
      </c>
      <c r="I48">
        <f t="shared" si="2"/>
        <v>0.12426200634223505</v>
      </c>
      <c r="J48">
        <f t="shared" si="3"/>
        <v>0.1326</v>
      </c>
      <c r="L48">
        <f t="shared" si="4"/>
        <v>0.29067594397532592</v>
      </c>
      <c r="M48">
        <f t="shared" si="5"/>
        <v>9.7260097260097295E-2</v>
      </c>
    </row>
    <row r="49" spans="1:13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H49">
        <f t="shared" si="1"/>
        <v>6.6206000000000209E-2</v>
      </c>
      <c r="I49">
        <f t="shared" si="2"/>
        <v>0.12426200634223505</v>
      </c>
      <c r="J49">
        <f t="shared" si="3"/>
        <v>0.1326</v>
      </c>
      <c r="L49">
        <f t="shared" si="4"/>
        <v>0.29067594397532592</v>
      </c>
      <c r="M49">
        <f t="shared" si="5"/>
        <v>0.14444114444114459</v>
      </c>
    </row>
    <row r="50" spans="1:13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H50">
        <f t="shared" si="1"/>
        <v>6.6206000000000209E-2</v>
      </c>
      <c r="I50">
        <f t="shared" si="2"/>
        <v>0.12426200634223505</v>
      </c>
      <c r="J50">
        <f t="shared" si="3"/>
        <v>0.1326</v>
      </c>
      <c r="L50">
        <f t="shared" si="4"/>
        <v>0.29067594397532592</v>
      </c>
      <c r="M50">
        <f t="shared" si="5"/>
        <v>0.14603114603114609</v>
      </c>
    </row>
    <row r="51" spans="1:13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H51">
        <f t="shared" si="1"/>
        <v>6.6206000000000209E-2</v>
      </c>
      <c r="I51">
        <f t="shared" si="2"/>
        <v>0.12426200634223505</v>
      </c>
      <c r="J51">
        <f t="shared" si="3"/>
        <v>0.1326</v>
      </c>
      <c r="L51">
        <f t="shared" si="4"/>
        <v>0.29067594397532592</v>
      </c>
      <c r="M51">
        <f t="shared" si="5"/>
        <v>0.12197412197412201</v>
      </c>
    </row>
    <row r="52" spans="1:13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H52">
        <f t="shared" si="1"/>
        <v>6.6206000000000209E-2</v>
      </c>
      <c r="I52">
        <f t="shared" si="2"/>
        <v>0.12426200634223505</v>
      </c>
      <c r="J52">
        <f t="shared" si="3"/>
        <v>0.1326</v>
      </c>
      <c r="L52">
        <f t="shared" si="4"/>
        <v>0.29067594397532592</v>
      </c>
      <c r="M52">
        <f t="shared" si="5"/>
        <v>7.5276075276075397E-2</v>
      </c>
    </row>
    <row r="53" spans="1:13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H53">
        <f t="shared" si="1"/>
        <v>6.6206000000000209E-2</v>
      </c>
      <c r="I53">
        <f t="shared" si="2"/>
        <v>0.12426200634223505</v>
      </c>
      <c r="J53">
        <f t="shared" si="3"/>
        <v>0.1326</v>
      </c>
      <c r="L53">
        <f t="shared" si="4"/>
        <v>0.29067594397532592</v>
      </c>
      <c r="M53">
        <f t="shared" si="5"/>
        <v>0.19237819237819245</v>
      </c>
    </row>
    <row r="54" spans="1:13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H54">
        <f t="shared" si="1"/>
        <v>6.6206000000000209E-2</v>
      </c>
      <c r="I54">
        <f t="shared" si="2"/>
        <v>0.12426200634223505</v>
      </c>
      <c r="J54">
        <f t="shared" si="3"/>
        <v>0.1326</v>
      </c>
      <c r="L54">
        <f t="shared" si="4"/>
        <v>0.29067594397532592</v>
      </c>
      <c r="M54">
        <f t="shared" si="5"/>
        <v>0.22926922926922927</v>
      </c>
    </row>
    <row r="55" spans="1:13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H55">
        <f t="shared" si="1"/>
        <v>6.6206000000000209E-2</v>
      </c>
      <c r="I55">
        <f t="shared" si="2"/>
        <v>0.12426200634223505</v>
      </c>
      <c r="J55">
        <f t="shared" si="3"/>
        <v>0.1326</v>
      </c>
      <c r="L55">
        <f t="shared" si="4"/>
        <v>0.29067594397532592</v>
      </c>
      <c r="M55">
        <f t="shared" si="5"/>
        <v>0.25654825654825658</v>
      </c>
    </row>
    <row r="56" spans="1:13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H56">
        <f t="shared" si="1"/>
        <v>6.6206000000000209E-2</v>
      </c>
      <c r="I56">
        <f t="shared" si="2"/>
        <v>0.12426200634223505</v>
      </c>
      <c r="J56">
        <f t="shared" si="3"/>
        <v>0.1326</v>
      </c>
      <c r="L56">
        <f t="shared" si="4"/>
        <v>0.29067594397532592</v>
      </c>
      <c r="M56">
        <f t="shared" si="5"/>
        <v>0.21369021369021374</v>
      </c>
    </row>
    <row r="57" spans="1:13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H57">
        <f t="shared" si="1"/>
        <v>6.6206000000000209E-2</v>
      </c>
      <c r="I57">
        <f t="shared" si="2"/>
        <v>0.12426200634223505</v>
      </c>
      <c r="J57">
        <f t="shared" si="3"/>
        <v>0.1326</v>
      </c>
      <c r="L57">
        <f t="shared" si="4"/>
        <v>0.29067594397532592</v>
      </c>
      <c r="M57">
        <f t="shared" si="5"/>
        <v>0.10111810111810116</v>
      </c>
    </row>
    <row r="58" spans="1:13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H58">
        <f t="shared" si="1"/>
        <v>6.6206000000000209E-2</v>
      </c>
      <c r="I58">
        <f t="shared" si="2"/>
        <v>0.12426200634223505</v>
      </c>
      <c r="J58">
        <f t="shared" si="3"/>
        <v>0.1326</v>
      </c>
      <c r="L58">
        <f t="shared" si="4"/>
        <v>0.29067594397532592</v>
      </c>
      <c r="M58">
        <f t="shared" si="5"/>
        <v>3.3228033228033291E-2</v>
      </c>
    </row>
    <row r="59" spans="1:13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H59">
        <f t="shared" si="1"/>
        <v>6.6206000000000209E-2</v>
      </c>
      <c r="I59">
        <f t="shared" si="2"/>
        <v>0.12426200634223505</v>
      </c>
      <c r="J59">
        <f t="shared" si="3"/>
        <v>0.1326</v>
      </c>
      <c r="L59">
        <f t="shared" si="4"/>
        <v>0.29067594397532592</v>
      </c>
      <c r="M59">
        <f t="shared" si="5"/>
        <v>0.1889131889131889</v>
      </c>
    </row>
    <row r="60" spans="1:13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H60">
        <f t="shared" si="1"/>
        <v>6.6206000000000209E-2</v>
      </c>
      <c r="I60">
        <f t="shared" si="2"/>
        <v>0.12426200634223505</v>
      </c>
      <c r="J60">
        <f t="shared" si="3"/>
        <v>0.1326</v>
      </c>
      <c r="L60">
        <f t="shared" si="4"/>
        <v>0.29067594397532592</v>
      </c>
      <c r="M60">
        <f t="shared" si="5"/>
        <v>0.1218361218361219</v>
      </c>
    </row>
    <row r="61" spans="1:13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H61">
        <f t="shared" si="1"/>
        <v>6.6206000000000209E-2</v>
      </c>
      <c r="I61">
        <f t="shared" si="2"/>
        <v>0.12426200634223505</v>
      </c>
      <c r="J61">
        <f t="shared" si="3"/>
        <v>0.1326</v>
      </c>
      <c r="L61">
        <f t="shared" si="4"/>
        <v>0.29067594397532592</v>
      </c>
      <c r="M61">
        <f t="shared" si="5"/>
        <v>9.9591099591099588E-2</v>
      </c>
    </row>
    <row r="62" spans="1:13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H62">
        <f t="shared" si="1"/>
        <v>6.6206000000000209E-2</v>
      </c>
      <c r="I62">
        <f t="shared" si="2"/>
        <v>0.13620788970749231</v>
      </c>
      <c r="J62">
        <f t="shared" si="3"/>
        <v>0.183</v>
      </c>
      <c r="L62">
        <f t="shared" si="4"/>
        <v>0.34100462200196036</v>
      </c>
      <c r="M62">
        <f t="shared" si="5"/>
        <v>0.17869517869517884</v>
      </c>
    </row>
    <row r="63" spans="1:13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H63">
        <f t="shared" si="1"/>
        <v>6.6206000000000209E-2</v>
      </c>
      <c r="I63">
        <f t="shared" si="2"/>
        <v>0.13620788970749231</v>
      </c>
      <c r="J63">
        <f t="shared" si="3"/>
        <v>0.183</v>
      </c>
      <c r="L63">
        <f t="shared" si="4"/>
        <v>0.34100462200196036</v>
      </c>
      <c r="M63">
        <f t="shared" si="5"/>
        <v>0.22195822195822207</v>
      </c>
    </row>
    <row r="64" spans="1:13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H64">
        <f t="shared" si="1"/>
        <v>6.6206000000000209E-2</v>
      </c>
      <c r="I64">
        <f t="shared" si="2"/>
        <v>0.13620788970749231</v>
      </c>
      <c r="J64">
        <f t="shared" si="3"/>
        <v>0.183</v>
      </c>
      <c r="L64">
        <f t="shared" si="4"/>
        <v>0.34100462200196036</v>
      </c>
      <c r="M64">
        <f t="shared" si="5"/>
        <v>0.20695520695520697</v>
      </c>
    </row>
    <row r="65" spans="1:13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H65">
        <f t="shared" si="1"/>
        <v>6.6206000000000209E-2</v>
      </c>
      <c r="I65">
        <f t="shared" si="2"/>
        <v>0.13620788970749231</v>
      </c>
      <c r="J65">
        <f t="shared" si="3"/>
        <v>0.183</v>
      </c>
      <c r="L65">
        <f t="shared" si="4"/>
        <v>0.34100462200196036</v>
      </c>
      <c r="M65">
        <f t="shared" si="5"/>
        <v>0.12630312630312629</v>
      </c>
    </row>
    <row r="66" spans="1:13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H66">
        <f t="shared" si="1"/>
        <v>6.6206000000000209E-2</v>
      </c>
      <c r="I66">
        <f t="shared" si="2"/>
        <v>0.13620788970749231</v>
      </c>
      <c r="J66">
        <f t="shared" si="3"/>
        <v>0.183</v>
      </c>
      <c r="L66">
        <f t="shared" si="4"/>
        <v>0.34100462200196036</v>
      </c>
      <c r="M66">
        <f t="shared" ref="M66:M82" si="6">($F$343-F66)/$F$343</f>
        <v>0.1312471312471313</v>
      </c>
    </row>
    <row r="67" spans="1:13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H67">
        <f t="shared" ref="H67:H130" si="7">0.0034*C67^2-0.152*C67+1.7411</f>
        <v>6.6206000000000209E-2</v>
      </c>
      <c r="I67">
        <f t="shared" ref="I67:I130" si="8">2.6805*D67^2-42.226*D67+166.39</f>
        <v>0.13620788970749231</v>
      </c>
      <c r="J67">
        <f t="shared" ref="J67:J130" si="9">0.0002*E67^2-0.001*E67+0.1158</f>
        <v>0.183</v>
      </c>
      <c r="L67">
        <f t="shared" ref="L67:L130" si="10">SUM(H67:J67)-H67*I67-H67*J67-I67*J67+H67*I67*J67</f>
        <v>0.34100462200196036</v>
      </c>
      <c r="M67">
        <f t="shared" si="6"/>
        <v>0.16843216843216843</v>
      </c>
    </row>
    <row r="68" spans="1:13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H68">
        <f t="shared" si="7"/>
        <v>6.6206000000000209E-2</v>
      </c>
      <c r="I68">
        <f t="shared" si="8"/>
        <v>0.13620788970749231</v>
      </c>
      <c r="J68">
        <f t="shared" si="9"/>
        <v>0.183</v>
      </c>
      <c r="L68">
        <f t="shared" si="10"/>
        <v>0.34100462200196036</v>
      </c>
      <c r="M68">
        <f t="shared" si="6"/>
        <v>0.19862119862119876</v>
      </c>
    </row>
    <row r="69" spans="1:13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H69">
        <f t="shared" si="7"/>
        <v>6.6206000000000209E-2</v>
      </c>
      <c r="I69">
        <f t="shared" si="8"/>
        <v>0.13620788970749231</v>
      </c>
      <c r="J69">
        <f t="shared" si="9"/>
        <v>0.183</v>
      </c>
      <c r="L69">
        <f t="shared" si="10"/>
        <v>0.34100462200196036</v>
      </c>
      <c r="M69">
        <f t="shared" si="6"/>
        <v>0.20203820203820202</v>
      </c>
    </row>
    <row r="70" spans="1:13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H70">
        <f t="shared" si="7"/>
        <v>6.6206000000000209E-2</v>
      </c>
      <c r="I70">
        <f t="shared" si="8"/>
        <v>0.13620788970749231</v>
      </c>
      <c r="J70">
        <f t="shared" si="9"/>
        <v>0.183</v>
      </c>
      <c r="L70">
        <f t="shared" si="10"/>
        <v>0.34100462200196036</v>
      </c>
      <c r="M70">
        <f t="shared" si="6"/>
        <v>0.21662721662721662</v>
      </c>
    </row>
    <row r="71" spans="1:13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H71">
        <f t="shared" si="7"/>
        <v>6.6206000000000209E-2</v>
      </c>
      <c r="I71">
        <f t="shared" si="8"/>
        <v>0.13620788970749231</v>
      </c>
      <c r="J71">
        <f t="shared" si="9"/>
        <v>0.183</v>
      </c>
      <c r="L71">
        <f t="shared" si="10"/>
        <v>0.34100462200196036</v>
      </c>
      <c r="M71">
        <f t="shared" si="6"/>
        <v>0.22974622974622988</v>
      </c>
    </row>
    <row r="72" spans="1:13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H72">
        <f t="shared" si="7"/>
        <v>6.6206000000000209E-2</v>
      </c>
      <c r="I72">
        <f t="shared" si="8"/>
        <v>0.13620788970749231</v>
      </c>
      <c r="J72">
        <f t="shared" si="9"/>
        <v>0.183</v>
      </c>
      <c r="L72">
        <f t="shared" si="10"/>
        <v>0.34100462200196036</v>
      </c>
      <c r="M72">
        <f t="shared" si="6"/>
        <v>0.21427221427221435</v>
      </c>
    </row>
    <row r="73" spans="1:13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H73">
        <f t="shared" si="7"/>
        <v>6.6206000000000209E-2</v>
      </c>
      <c r="I73">
        <f t="shared" si="8"/>
        <v>0.13620788970749231</v>
      </c>
      <c r="J73">
        <f t="shared" si="9"/>
        <v>0.183</v>
      </c>
      <c r="L73">
        <f t="shared" si="10"/>
        <v>0.34100462200196036</v>
      </c>
      <c r="M73">
        <f t="shared" si="6"/>
        <v>0.20742920742920751</v>
      </c>
    </row>
    <row r="74" spans="1:13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H74">
        <f t="shared" si="7"/>
        <v>6.6206000000000209E-2</v>
      </c>
      <c r="I74">
        <f t="shared" si="8"/>
        <v>0.13620788970749231</v>
      </c>
      <c r="J74">
        <f t="shared" si="9"/>
        <v>0.183</v>
      </c>
      <c r="L74">
        <f t="shared" si="10"/>
        <v>0.34100462200196036</v>
      </c>
      <c r="M74">
        <f t="shared" si="6"/>
        <v>0.24478524478524485</v>
      </c>
    </row>
    <row r="75" spans="1:13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H75">
        <f t="shared" si="7"/>
        <v>6.6206000000000209E-2</v>
      </c>
      <c r="I75">
        <f t="shared" si="8"/>
        <v>0.13620788970749231</v>
      </c>
      <c r="J75">
        <f t="shared" si="9"/>
        <v>0.183</v>
      </c>
      <c r="L75">
        <f t="shared" si="10"/>
        <v>0.34100462200196036</v>
      </c>
      <c r="M75">
        <f t="shared" si="6"/>
        <v>0.25155925155925157</v>
      </c>
    </row>
    <row r="76" spans="1:13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H76">
        <f t="shared" si="7"/>
        <v>6.6206000000000209E-2</v>
      </c>
      <c r="I76">
        <f t="shared" si="8"/>
        <v>0.13620788970749231</v>
      </c>
      <c r="J76">
        <f t="shared" si="9"/>
        <v>0.183</v>
      </c>
      <c r="L76">
        <f t="shared" si="10"/>
        <v>0.34100462200196036</v>
      </c>
      <c r="M76">
        <f t="shared" si="6"/>
        <v>0.16445416445416455</v>
      </c>
    </row>
    <row r="77" spans="1:13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H77">
        <f t="shared" si="7"/>
        <v>6.6206000000000209E-2</v>
      </c>
      <c r="I77">
        <f t="shared" si="8"/>
        <v>0.13620788970749231</v>
      </c>
      <c r="J77">
        <f t="shared" si="9"/>
        <v>0.183</v>
      </c>
      <c r="L77">
        <f t="shared" si="10"/>
        <v>0.34100462200196036</v>
      </c>
      <c r="M77">
        <f t="shared" si="6"/>
        <v>0.18346518346518353</v>
      </c>
    </row>
    <row r="78" spans="1:13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H78">
        <f t="shared" si="7"/>
        <v>6.6206000000000209E-2</v>
      </c>
      <c r="I78">
        <f t="shared" si="8"/>
        <v>0.13620788970749231</v>
      </c>
      <c r="J78">
        <f t="shared" si="9"/>
        <v>0.183</v>
      </c>
      <c r="L78">
        <f t="shared" si="10"/>
        <v>0.34100462200196036</v>
      </c>
      <c r="M78">
        <f t="shared" si="6"/>
        <v>0.17519717519717518</v>
      </c>
    </row>
    <row r="79" spans="1:13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H79">
        <f t="shared" si="7"/>
        <v>6.6206000000000209E-2</v>
      </c>
      <c r="I79">
        <f t="shared" si="8"/>
        <v>0.13620788970749231</v>
      </c>
      <c r="J79">
        <f t="shared" si="9"/>
        <v>0.183</v>
      </c>
      <c r="L79">
        <f t="shared" si="10"/>
        <v>0.34100462200196036</v>
      </c>
      <c r="M79">
        <f t="shared" si="6"/>
        <v>0.18216318216318217</v>
      </c>
    </row>
    <row r="80" spans="1:13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H80">
        <f t="shared" si="7"/>
        <v>6.6206000000000209E-2</v>
      </c>
      <c r="I80">
        <f t="shared" si="8"/>
        <v>0.13620788970749231</v>
      </c>
      <c r="J80">
        <f t="shared" si="9"/>
        <v>0.183</v>
      </c>
      <c r="L80">
        <f t="shared" si="10"/>
        <v>0.34100462200196036</v>
      </c>
      <c r="M80">
        <f t="shared" si="6"/>
        <v>0.17678417678417693</v>
      </c>
    </row>
    <row r="81" spans="1:14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H81">
        <f t="shared" si="7"/>
        <v>6.6206000000000209E-2</v>
      </c>
      <c r="I81">
        <f t="shared" si="8"/>
        <v>0.13620788970749231</v>
      </c>
      <c r="J81">
        <f t="shared" si="9"/>
        <v>0.183</v>
      </c>
      <c r="L81">
        <f t="shared" si="10"/>
        <v>0.34100462200196036</v>
      </c>
      <c r="M81">
        <f t="shared" si="6"/>
        <v>0.248886248886249</v>
      </c>
    </row>
    <row r="82" spans="1:14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H82">
        <f t="shared" si="7"/>
        <v>6.6206000000000209E-2</v>
      </c>
      <c r="I82">
        <f t="shared" si="8"/>
        <v>0.13620788970749231</v>
      </c>
      <c r="J82">
        <f t="shared" si="9"/>
        <v>0.183</v>
      </c>
      <c r="L82">
        <f t="shared" si="10"/>
        <v>0.34100462200196036</v>
      </c>
      <c r="M82">
        <f t="shared" si="6"/>
        <v>0.23805023805023809</v>
      </c>
    </row>
    <row r="83" spans="1:14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H83">
        <f t="shared" si="7"/>
        <v>6.6206000000000209E-2</v>
      </c>
      <c r="I83">
        <f t="shared" si="8"/>
        <v>0.12601952831994367</v>
      </c>
      <c r="J83">
        <f t="shared" si="9"/>
        <v>0.11561722000000001</v>
      </c>
      <c r="L83">
        <f t="shared" si="10"/>
        <v>0.27823954147326585</v>
      </c>
      <c r="N83">
        <f t="shared" ref="N83:N114" si="11">($F$343-F83)/$F$343</f>
        <v>7.0302070302070377E-2</v>
      </c>
    </row>
    <row r="84" spans="1:14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H84">
        <f t="shared" si="7"/>
        <v>6.6206000000000209E-2</v>
      </c>
      <c r="I84">
        <f t="shared" si="8"/>
        <v>0.12601952831994367</v>
      </c>
      <c r="J84">
        <f t="shared" si="9"/>
        <v>0.11561722000000001</v>
      </c>
      <c r="L84">
        <f t="shared" si="10"/>
        <v>0.27823954147326585</v>
      </c>
      <c r="N84">
        <f t="shared" si="11"/>
        <v>7.7016077016077086E-2</v>
      </c>
    </row>
    <row r="85" spans="1:14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H85">
        <f t="shared" si="7"/>
        <v>6.6206000000000209E-2</v>
      </c>
      <c r="I85">
        <f t="shared" si="8"/>
        <v>0.12601952831994367</v>
      </c>
      <c r="J85">
        <f t="shared" si="9"/>
        <v>0.11561722000000001</v>
      </c>
      <c r="L85">
        <f t="shared" si="10"/>
        <v>0.27823954147326585</v>
      </c>
      <c r="N85">
        <f t="shared" si="11"/>
        <v>0.15660015660015672</v>
      </c>
    </row>
    <row r="86" spans="1:14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H86">
        <f t="shared" si="7"/>
        <v>6.6206000000000209E-2</v>
      </c>
      <c r="I86">
        <f t="shared" si="8"/>
        <v>0.12601952831994367</v>
      </c>
      <c r="J86">
        <f t="shared" si="9"/>
        <v>0.11561722000000001</v>
      </c>
      <c r="L86">
        <f t="shared" si="10"/>
        <v>0.27823954147326585</v>
      </c>
      <c r="N86">
        <f t="shared" si="11"/>
        <v>8.8863088863088968E-2</v>
      </c>
    </row>
    <row r="87" spans="1:14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H87">
        <f t="shared" si="7"/>
        <v>6.6206000000000209E-2</v>
      </c>
      <c r="I87">
        <f t="shared" si="8"/>
        <v>0.12601952831994367</v>
      </c>
      <c r="J87">
        <f t="shared" si="9"/>
        <v>0.11561722000000001</v>
      </c>
      <c r="L87">
        <f t="shared" si="10"/>
        <v>0.27823954147326585</v>
      </c>
      <c r="N87">
        <f t="shared" si="11"/>
        <v>0.15013815013815027</v>
      </c>
    </row>
    <row r="88" spans="1:14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H88">
        <f t="shared" si="7"/>
        <v>6.6206000000000209E-2</v>
      </c>
      <c r="I88">
        <f t="shared" si="8"/>
        <v>0.12601952831994367</v>
      </c>
      <c r="J88">
        <f t="shared" si="9"/>
        <v>0.11561722000000001</v>
      </c>
      <c r="L88">
        <f t="shared" si="10"/>
        <v>0.27823954147326585</v>
      </c>
      <c r="N88">
        <f t="shared" si="11"/>
        <v>0.19714519714519724</v>
      </c>
    </row>
    <row r="89" spans="1:14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H89">
        <f t="shared" si="7"/>
        <v>6.6206000000000209E-2</v>
      </c>
      <c r="I89">
        <f t="shared" si="8"/>
        <v>0.12601952831994367</v>
      </c>
      <c r="J89">
        <f t="shared" si="9"/>
        <v>0.11561722000000001</v>
      </c>
      <c r="L89">
        <f t="shared" si="10"/>
        <v>0.27823954147326585</v>
      </c>
      <c r="N89">
        <f t="shared" si="11"/>
        <v>3.9420039420039549E-2</v>
      </c>
    </row>
    <row r="90" spans="1:14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H90">
        <f t="shared" si="7"/>
        <v>6.6206000000000209E-2</v>
      </c>
      <c r="I90">
        <f t="shared" si="8"/>
        <v>0.12601952831994367</v>
      </c>
      <c r="J90">
        <f t="shared" si="9"/>
        <v>0.11561722000000001</v>
      </c>
      <c r="L90">
        <f t="shared" si="10"/>
        <v>0.27823954147326585</v>
      </c>
      <c r="N90">
        <f t="shared" si="11"/>
        <v>7.8120078120078179E-2</v>
      </c>
    </row>
    <row r="91" spans="1:14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H91">
        <f t="shared" si="7"/>
        <v>6.6206000000000209E-2</v>
      </c>
      <c r="I91">
        <f t="shared" si="8"/>
        <v>0.12601952831994367</v>
      </c>
      <c r="J91">
        <f t="shared" si="9"/>
        <v>0.11561722000000001</v>
      </c>
      <c r="L91">
        <f t="shared" si="10"/>
        <v>0.27823954147326585</v>
      </c>
      <c r="N91">
        <f t="shared" si="11"/>
        <v>0.22653322653322658</v>
      </c>
    </row>
    <row r="92" spans="1:14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H92">
        <f t="shared" si="7"/>
        <v>6.6206000000000209E-2</v>
      </c>
      <c r="I92">
        <f t="shared" si="8"/>
        <v>0.12601952831994367</v>
      </c>
      <c r="J92">
        <f t="shared" si="9"/>
        <v>0.11561722000000001</v>
      </c>
      <c r="L92">
        <f t="shared" si="10"/>
        <v>0.27823954147326585</v>
      </c>
      <c r="N92">
        <f t="shared" si="11"/>
        <v>0.17335217335217348</v>
      </c>
    </row>
    <row r="93" spans="1:14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H93">
        <f t="shared" si="7"/>
        <v>6.6206000000000209E-2</v>
      </c>
      <c r="I93">
        <f t="shared" si="8"/>
        <v>0.12601952831994367</v>
      </c>
      <c r="J93">
        <f t="shared" si="9"/>
        <v>0.11561722000000001</v>
      </c>
      <c r="L93">
        <f t="shared" si="10"/>
        <v>0.27823954147326585</v>
      </c>
      <c r="N93">
        <f t="shared" si="11"/>
        <v>7.6245076245076301E-2</v>
      </c>
    </row>
    <row r="94" spans="1:14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H94">
        <f t="shared" si="7"/>
        <v>6.6206000000000209E-2</v>
      </c>
      <c r="I94">
        <f t="shared" si="8"/>
        <v>9.3810432991972448E-2</v>
      </c>
      <c r="J94">
        <f t="shared" si="9"/>
        <v>0.11562648</v>
      </c>
      <c r="L94">
        <f t="shared" si="10"/>
        <v>0.25164809708231323</v>
      </c>
      <c r="N94">
        <f t="shared" si="11"/>
        <v>0.11988011988011998</v>
      </c>
    </row>
    <row r="95" spans="1:14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H95">
        <f t="shared" si="7"/>
        <v>6.6206000000000209E-2</v>
      </c>
      <c r="I95">
        <f t="shared" si="8"/>
        <v>9.3810432991972448E-2</v>
      </c>
      <c r="J95">
        <f t="shared" si="9"/>
        <v>0.11562648</v>
      </c>
      <c r="L95">
        <f t="shared" si="10"/>
        <v>0.25164809708231323</v>
      </c>
      <c r="N95">
        <f t="shared" si="11"/>
        <v>9.9945099945100105E-2</v>
      </c>
    </row>
    <row r="96" spans="1:14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H96">
        <f t="shared" si="7"/>
        <v>6.6206000000000209E-2</v>
      </c>
      <c r="I96">
        <f t="shared" si="8"/>
        <v>9.3810432991972448E-2</v>
      </c>
      <c r="J96">
        <f t="shared" si="9"/>
        <v>0.11562648</v>
      </c>
      <c r="L96">
        <f t="shared" si="10"/>
        <v>0.25164809708231323</v>
      </c>
      <c r="N96">
        <f t="shared" si="11"/>
        <v>2.6313026313026355E-2</v>
      </c>
    </row>
    <row r="97" spans="1:14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H97">
        <f t="shared" si="7"/>
        <v>6.6206000000000209E-2</v>
      </c>
      <c r="I97">
        <f t="shared" si="8"/>
        <v>9.3810432991972448E-2</v>
      </c>
      <c r="J97">
        <f t="shared" si="9"/>
        <v>0.11562648</v>
      </c>
      <c r="L97">
        <f t="shared" si="10"/>
        <v>0.25164809708231323</v>
      </c>
      <c r="N97">
        <f t="shared" si="11"/>
        <v>0.11459711459711462</v>
      </c>
    </row>
    <row r="98" spans="1:14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H98">
        <f t="shared" si="7"/>
        <v>6.6206000000000209E-2</v>
      </c>
      <c r="I98">
        <f t="shared" si="8"/>
        <v>9.3810432991972448E-2</v>
      </c>
      <c r="J98">
        <f t="shared" si="9"/>
        <v>0.11562648</v>
      </c>
      <c r="L98">
        <f t="shared" si="10"/>
        <v>0.25164809708231323</v>
      </c>
      <c r="N98">
        <f t="shared" si="11"/>
        <v>0.14822114822114832</v>
      </c>
    </row>
    <row r="99" spans="1:14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H99">
        <f t="shared" si="7"/>
        <v>6.6206000000000209E-2</v>
      </c>
      <c r="I99">
        <f t="shared" si="8"/>
        <v>9.3810432991972448E-2</v>
      </c>
      <c r="J99">
        <f t="shared" si="9"/>
        <v>0.11562648</v>
      </c>
      <c r="L99">
        <f t="shared" si="10"/>
        <v>0.25164809708231323</v>
      </c>
      <c r="N99">
        <f t="shared" si="11"/>
        <v>0.11827211827211837</v>
      </c>
    </row>
    <row r="100" spans="1:14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H100">
        <f t="shared" si="7"/>
        <v>6.6206000000000209E-2</v>
      </c>
      <c r="I100">
        <f t="shared" si="8"/>
        <v>9.3810432991972448E-2</v>
      </c>
      <c r="J100">
        <f t="shared" si="9"/>
        <v>0.11562648</v>
      </c>
      <c r="L100">
        <f t="shared" si="10"/>
        <v>0.25164809708231323</v>
      </c>
      <c r="N100">
        <f t="shared" si="11"/>
        <v>8.0295080295080423E-2</v>
      </c>
    </row>
    <row r="101" spans="1:14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H101">
        <f t="shared" si="7"/>
        <v>6.6206000000000209E-2</v>
      </c>
      <c r="I101">
        <f t="shared" si="8"/>
        <v>9.3810432991972448E-2</v>
      </c>
      <c r="J101">
        <f t="shared" si="9"/>
        <v>0.11562648</v>
      </c>
      <c r="L101">
        <f t="shared" si="10"/>
        <v>0.25164809708231323</v>
      </c>
      <c r="N101">
        <f t="shared" si="11"/>
        <v>0.13963513963513968</v>
      </c>
    </row>
    <row r="102" spans="1:14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H102">
        <f t="shared" si="7"/>
        <v>6.6206000000000209E-2</v>
      </c>
      <c r="I102">
        <f t="shared" si="8"/>
        <v>0.1276793842202153</v>
      </c>
      <c r="J102">
        <f t="shared" si="9"/>
        <v>0.11562648</v>
      </c>
      <c r="L102">
        <f t="shared" si="10"/>
        <v>0.27961784538251339</v>
      </c>
      <c r="N102">
        <f t="shared" si="11"/>
        <v>9.0018090018090094E-2</v>
      </c>
    </row>
    <row r="103" spans="1:14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H103">
        <f t="shared" si="7"/>
        <v>6.6206000000000209E-2</v>
      </c>
      <c r="I103">
        <f t="shared" si="8"/>
        <v>0.1276793842202153</v>
      </c>
      <c r="J103">
        <f t="shared" si="9"/>
        <v>0.11562648</v>
      </c>
      <c r="L103">
        <f t="shared" si="10"/>
        <v>0.27961784538251339</v>
      </c>
      <c r="N103">
        <f t="shared" si="11"/>
        <v>6.7830067830067869E-2</v>
      </c>
    </row>
    <row r="104" spans="1:14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H104">
        <f t="shared" si="7"/>
        <v>6.6206000000000209E-2</v>
      </c>
      <c r="I104">
        <f t="shared" si="8"/>
        <v>0.1276793842202153</v>
      </c>
      <c r="J104">
        <f t="shared" si="9"/>
        <v>0.11562648</v>
      </c>
      <c r="L104">
        <f t="shared" si="10"/>
        <v>0.27961784538251339</v>
      </c>
      <c r="N104">
        <f t="shared" si="11"/>
        <v>0.12582012582012597</v>
      </c>
    </row>
    <row r="105" spans="1:14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H105">
        <f t="shared" si="7"/>
        <v>6.6206000000000209E-2</v>
      </c>
      <c r="I105">
        <f t="shared" si="8"/>
        <v>0.1276793842202153</v>
      </c>
      <c r="J105">
        <f t="shared" si="9"/>
        <v>0.11562648</v>
      </c>
      <c r="L105">
        <f t="shared" si="10"/>
        <v>0.27961784538251339</v>
      </c>
      <c r="N105">
        <f t="shared" si="11"/>
        <v>8.5638085638085781E-2</v>
      </c>
    </row>
    <row r="106" spans="1:14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H106">
        <f t="shared" si="7"/>
        <v>6.6206000000000209E-2</v>
      </c>
      <c r="I106">
        <f t="shared" si="8"/>
        <v>0.1276793842202153</v>
      </c>
      <c r="J106">
        <f t="shared" si="9"/>
        <v>0.11562648</v>
      </c>
      <c r="L106">
        <f t="shared" si="10"/>
        <v>0.27961784538251339</v>
      </c>
      <c r="N106">
        <f t="shared" si="11"/>
        <v>0.12505512505512506</v>
      </c>
    </row>
    <row r="107" spans="1:14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H107">
        <f t="shared" si="7"/>
        <v>6.6206000000000209E-2</v>
      </c>
      <c r="I107">
        <f t="shared" si="8"/>
        <v>0.1276793842202153</v>
      </c>
      <c r="J107">
        <f t="shared" si="9"/>
        <v>0.11562648</v>
      </c>
      <c r="L107">
        <f t="shared" si="10"/>
        <v>0.27961784538251339</v>
      </c>
      <c r="N107">
        <f t="shared" si="11"/>
        <v>0.11157611157611159</v>
      </c>
    </row>
    <row r="108" spans="1:14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H108">
        <f t="shared" si="7"/>
        <v>6.6206000000000209E-2</v>
      </c>
      <c r="I108">
        <f t="shared" si="8"/>
        <v>0.1276793842202153</v>
      </c>
      <c r="J108">
        <f t="shared" si="9"/>
        <v>0.11562648</v>
      </c>
      <c r="L108">
        <f t="shared" si="10"/>
        <v>0.27961784538251339</v>
      </c>
      <c r="N108">
        <f t="shared" si="11"/>
        <v>5.7864057864057891E-2</v>
      </c>
    </row>
    <row r="109" spans="1:14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H109">
        <f t="shared" si="7"/>
        <v>6.6206000000000209E-2</v>
      </c>
      <c r="I109">
        <f t="shared" si="8"/>
        <v>0.1276793842202153</v>
      </c>
      <c r="J109">
        <f t="shared" si="9"/>
        <v>0.11562648</v>
      </c>
      <c r="L109">
        <f t="shared" si="10"/>
        <v>0.27961784538251339</v>
      </c>
      <c r="N109">
        <f t="shared" si="11"/>
        <v>5.2425052425052486E-2</v>
      </c>
    </row>
    <row r="110" spans="1:14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H110">
        <f t="shared" si="7"/>
        <v>6.6206000000000209E-2</v>
      </c>
      <c r="I110">
        <f t="shared" si="8"/>
        <v>0.1276793842202153</v>
      </c>
      <c r="J110">
        <f t="shared" si="9"/>
        <v>0.11562648</v>
      </c>
      <c r="L110">
        <f t="shared" si="10"/>
        <v>0.27961784538251339</v>
      </c>
      <c r="N110">
        <f t="shared" si="11"/>
        <v>8.8752088752088759E-2</v>
      </c>
    </row>
    <row r="111" spans="1:14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H111">
        <f t="shared" si="7"/>
        <v>6.6206000000000209E-2</v>
      </c>
      <c r="I111">
        <f t="shared" si="8"/>
        <v>0.17563102910062867</v>
      </c>
      <c r="J111">
        <f t="shared" si="9"/>
        <v>0.11562648</v>
      </c>
      <c r="L111">
        <f t="shared" si="10"/>
        <v>0.31921740159101319</v>
      </c>
      <c r="N111">
        <f t="shared" si="11"/>
        <v>8.5953085953085984E-2</v>
      </c>
    </row>
    <row r="112" spans="1:14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H112">
        <f t="shared" si="7"/>
        <v>6.6206000000000209E-2</v>
      </c>
      <c r="I112">
        <f t="shared" si="8"/>
        <v>0.17563102910062867</v>
      </c>
      <c r="J112">
        <f t="shared" si="9"/>
        <v>0.11562648</v>
      </c>
      <c r="L112">
        <f t="shared" si="10"/>
        <v>0.31921740159101319</v>
      </c>
      <c r="N112">
        <f t="shared" si="11"/>
        <v>0.17851217851217854</v>
      </c>
    </row>
    <row r="113" spans="1:14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H113">
        <f t="shared" si="7"/>
        <v>6.6206000000000209E-2</v>
      </c>
      <c r="I113">
        <f t="shared" si="8"/>
        <v>0.17563102910062867</v>
      </c>
      <c r="J113">
        <f t="shared" si="9"/>
        <v>0.11562648</v>
      </c>
      <c r="L113">
        <f t="shared" si="10"/>
        <v>0.31921740159101319</v>
      </c>
      <c r="N113">
        <f t="shared" si="11"/>
        <v>9.2046092046092085E-2</v>
      </c>
    </row>
    <row r="114" spans="1:14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H114">
        <f t="shared" si="7"/>
        <v>6.6206000000000209E-2</v>
      </c>
      <c r="I114">
        <f t="shared" si="8"/>
        <v>0.17563102910062867</v>
      </c>
      <c r="J114">
        <f t="shared" si="9"/>
        <v>0.11562648</v>
      </c>
      <c r="L114">
        <f t="shared" si="10"/>
        <v>0.31921740159101319</v>
      </c>
      <c r="N114">
        <f t="shared" si="11"/>
        <v>0.22262722262722262</v>
      </c>
    </row>
    <row r="115" spans="1:14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H115">
        <f t="shared" si="7"/>
        <v>6.6206000000000209E-2</v>
      </c>
      <c r="I115">
        <f t="shared" si="8"/>
        <v>0.17563102910062867</v>
      </c>
      <c r="J115">
        <f t="shared" si="9"/>
        <v>0.11562648</v>
      </c>
      <c r="L115">
        <f t="shared" si="10"/>
        <v>0.31921740159101319</v>
      </c>
      <c r="N115">
        <f t="shared" ref="N115:N134" si="12">($F$343-F115)/$F$343</f>
        <v>0.28587628587628594</v>
      </c>
    </row>
    <row r="116" spans="1:14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H116">
        <f t="shared" si="7"/>
        <v>6.6206000000000209E-2</v>
      </c>
      <c r="I116">
        <f t="shared" si="8"/>
        <v>0.17563102910062867</v>
      </c>
      <c r="J116">
        <f t="shared" si="9"/>
        <v>0.11562648</v>
      </c>
      <c r="L116">
        <f t="shared" si="10"/>
        <v>0.31921740159101319</v>
      </c>
      <c r="N116">
        <f t="shared" si="12"/>
        <v>0.36977136977136976</v>
      </c>
    </row>
    <row r="117" spans="1:14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H117">
        <f t="shared" si="7"/>
        <v>6.6206000000000209E-2</v>
      </c>
      <c r="I117">
        <f t="shared" si="8"/>
        <v>0.17563102910062867</v>
      </c>
      <c r="J117">
        <f t="shared" si="9"/>
        <v>0.11562648</v>
      </c>
      <c r="L117">
        <f t="shared" si="10"/>
        <v>0.31921740159101319</v>
      </c>
      <c r="N117">
        <f t="shared" si="12"/>
        <v>0.35826035826035829</v>
      </c>
    </row>
    <row r="118" spans="1:14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H118">
        <f t="shared" si="7"/>
        <v>6.6206000000000209E-2</v>
      </c>
      <c r="I118">
        <f t="shared" si="8"/>
        <v>0.17563102910062867</v>
      </c>
      <c r="J118">
        <f t="shared" si="9"/>
        <v>0.11562648</v>
      </c>
      <c r="L118">
        <f t="shared" si="10"/>
        <v>0.31921740159101319</v>
      </c>
      <c r="N118">
        <f t="shared" si="12"/>
        <v>0.30790230790230794</v>
      </c>
    </row>
    <row r="119" spans="1:14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H119">
        <f t="shared" si="7"/>
        <v>6.6206000000000209E-2</v>
      </c>
      <c r="I119">
        <f t="shared" si="8"/>
        <v>0.17563102910062867</v>
      </c>
      <c r="J119">
        <f t="shared" si="9"/>
        <v>0.11562648</v>
      </c>
      <c r="L119">
        <f t="shared" si="10"/>
        <v>0.31921740159101319</v>
      </c>
      <c r="N119">
        <f t="shared" si="12"/>
        <v>8.5824085824085836E-2</v>
      </c>
    </row>
    <row r="120" spans="1:14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H120">
        <f t="shared" si="7"/>
        <v>6.6206000000000209E-2</v>
      </c>
      <c r="I120">
        <f t="shared" si="8"/>
        <v>0.17563102910062867</v>
      </c>
      <c r="J120">
        <f t="shared" si="9"/>
        <v>0.11562648</v>
      </c>
      <c r="L120">
        <f t="shared" si="10"/>
        <v>0.31921740159101319</v>
      </c>
      <c r="N120">
        <f t="shared" si="12"/>
        <v>0.12098412098412106</v>
      </c>
    </row>
    <row r="121" spans="1:14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H121">
        <f t="shared" si="7"/>
        <v>6.6206000000000209E-2</v>
      </c>
      <c r="I121">
        <f t="shared" si="8"/>
        <v>0.23658941590164773</v>
      </c>
      <c r="J121">
        <f t="shared" si="9"/>
        <v>0.11563577999999999</v>
      </c>
      <c r="L121">
        <f t="shared" si="10"/>
        <v>0.36956485003252837</v>
      </c>
      <c r="N121">
        <f t="shared" si="12"/>
        <v>0.205854205854206</v>
      </c>
    </row>
    <row r="122" spans="1:14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H122">
        <f t="shared" si="7"/>
        <v>6.6206000000000209E-2</v>
      </c>
      <c r="I122">
        <f t="shared" si="8"/>
        <v>0.23658941590164773</v>
      </c>
      <c r="J122">
        <f t="shared" si="9"/>
        <v>0.11563577999999999</v>
      </c>
      <c r="L122">
        <f t="shared" si="10"/>
        <v>0.36956485003252837</v>
      </c>
      <c r="N122">
        <f t="shared" si="12"/>
        <v>0.17593517593517605</v>
      </c>
    </row>
    <row r="123" spans="1:14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H123">
        <f t="shared" si="7"/>
        <v>6.6206000000000209E-2</v>
      </c>
      <c r="I123">
        <f t="shared" si="8"/>
        <v>0.23658941590164773</v>
      </c>
      <c r="J123">
        <f t="shared" si="9"/>
        <v>0.11563577999999999</v>
      </c>
      <c r="L123">
        <f t="shared" si="10"/>
        <v>0.36956485003252837</v>
      </c>
      <c r="N123">
        <f t="shared" si="12"/>
        <v>0.23281223281223293</v>
      </c>
    </row>
    <row r="124" spans="1:14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H124">
        <f t="shared" si="7"/>
        <v>6.6206000000000209E-2</v>
      </c>
      <c r="I124">
        <f t="shared" si="8"/>
        <v>0.23658941590164773</v>
      </c>
      <c r="J124">
        <f t="shared" si="9"/>
        <v>0.11563577999999999</v>
      </c>
      <c r="L124">
        <f t="shared" si="10"/>
        <v>0.36956485003252837</v>
      </c>
      <c r="N124">
        <f t="shared" si="12"/>
        <v>0.1909771909771911</v>
      </c>
    </row>
    <row r="125" spans="1:14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H125">
        <f t="shared" si="7"/>
        <v>6.6206000000000209E-2</v>
      </c>
      <c r="I125">
        <f t="shared" si="8"/>
        <v>0.23658941590164773</v>
      </c>
      <c r="J125">
        <f t="shared" si="9"/>
        <v>0.11563577999999999</v>
      </c>
      <c r="L125">
        <f t="shared" si="10"/>
        <v>0.36956485003252837</v>
      </c>
      <c r="N125">
        <f t="shared" si="12"/>
        <v>0.26901326901326916</v>
      </c>
    </row>
    <row r="126" spans="1:14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H126">
        <f t="shared" si="7"/>
        <v>6.6206000000000209E-2</v>
      </c>
      <c r="I126">
        <f t="shared" si="8"/>
        <v>0.23658941590164773</v>
      </c>
      <c r="J126">
        <f t="shared" si="9"/>
        <v>0.11563577999999999</v>
      </c>
      <c r="L126">
        <f t="shared" si="10"/>
        <v>0.36956485003252837</v>
      </c>
      <c r="N126">
        <f t="shared" si="12"/>
        <v>0.14352014352014361</v>
      </c>
    </row>
    <row r="127" spans="1:14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H127">
        <f t="shared" si="7"/>
        <v>6.6206000000000209E-2</v>
      </c>
      <c r="I127">
        <f t="shared" si="8"/>
        <v>0.23658941590164773</v>
      </c>
      <c r="J127">
        <f t="shared" si="9"/>
        <v>0.11563577999999999</v>
      </c>
      <c r="L127">
        <f t="shared" si="10"/>
        <v>0.36956485003252837</v>
      </c>
      <c r="N127">
        <f t="shared" si="12"/>
        <v>0.277023277023277</v>
      </c>
    </row>
    <row r="128" spans="1:14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H128">
        <f t="shared" si="7"/>
        <v>6.6206000000000209E-2</v>
      </c>
      <c r="I128">
        <f t="shared" si="8"/>
        <v>0.23658941590164773</v>
      </c>
      <c r="J128">
        <f t="shared" si="9"/>
        <v>0.11563577999999999</v>
      </c>
      <c r="L128">
        <f t="shared" si="10"/>
        <v>0.36956485003252837</v>
      </c>
      <c r="N128">
        <f t="shared" si="12"/>
        <v>0.23099423099423111</v>
      </c>
    </row>
    <row r="129" spans="1:15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H129">
        <f t="shared" si="7"/>
        <v>6.6206000000000209E-2</v>
      </c>
      <c r="I129">
        <f t="shared" si="8"/>
        <v>0.23658941590164773</v>
      </c>
      <c r="J129">
        <f t="shared" si="9"/>
        <v>0.11563577999999999</v>
      </c>
      <c r="L129">
        <f t="shared" si="10"/>
        <v>0.36956485003252837</v>
      </c>
      <c r="N129">
        <f t="shared" si="12"/>
        <v>0.21545121545121546</v>
      </c>
    </row>
    <row r="130" spans="1:15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H130">
        <f t="shared" si="7"/>
        <v>6.6206000000000209E-2</v>
      </c>
      <c r="I130">
        <f t="shared" si="8"/>
        <v>0.23658941590164773</v>
      </c>
      <c r="J130">
        <f t="shared" si="9"/>
        <v>0.11563577999999999</v>
      </c>
      <c r="L130">
        <f t="shared" si="10"/>
        <v>0.36956485003252837</v>
      </c>
      <c r="N130">
        <f t="shared" si="12"/>
        <v>0.23685023685023696</v>
      </c>
    </row>
    <row r="131" spans="1:15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H131">
        <f t="shared" ref="H131:H194" si="13">0.0034*C131^2-0.152*C131+1.7411</f>
        <v>6.6206000000000209E-2</v>
      </c>
      <c r="I131">
        <f t="shared" ref="I131:I194" si="14">2.6805*D131^2-42.226*D131+166.39</f>
        <v>0.23658941590164773</v>
      </c>
      <c r="J131">
        <f t="shared" ref="J131:J194" si="15">0.0002*E131^2-0.001*E131+0.1158</f>
        <v>0.11563577999999999</v>
      </c>
      <c r="L131">
        <f t="shared" ref="L131:L194" si="16">SUM(H131:J131)-H131*I131-H131*J131-I131*J131+H131*I131*J131</f>
        <v>0.36956485003252837</v>
      </c>
      <c r="N131">
        <f t="shared" si="12"/>
        <v>0.24973524973524974</v>
      </c>
    </row>
    <row r="132" spans="1:15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H132">
        <f t="shared" si="13"/>
        <v>6.6206000000000209E-2</v>
      </c>
      <c r="I132">
        <f t="shared" si="14"/>
        <v>0.23658941590164773</v>
      </c>
      <c r="J132">
        <f t="shared" si="15"/>
        <v>0.11563577999999999</v>
      </c>
      <c r="L132">
        <f t="shared" si="16"/>
        <v>0.36956485003252837</v>
      </c>
      <c r="N132">
        <f t="shared" si="12"/>
        <v>0.18558618558618564</v>
      </c>
    </row>
    <row r="133" spans="1:15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H133">
        <f t="shared" si="13"/>
        <v>6.6206000000000209E-2</v>
      </c>
      <c r="I133">
        <f t="shared" si="14"/>
        <v>0.23658941590164773</v>
      </c>
      <c r="J133">
        <f t="shared" si="15"/>
        <v>0.11563577999999999</v>
      </c>
      <c r="L133">
        <f t="shared" si="16"/>
        <v>0.36956485003252837</v>
      </c>
      <c r="N133">
        <f t="shared" si="12"/>
        <v>0.28875328875328882</v>
      </c>
    </row>
    <row r="134" spans="1:15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H134">
        <f t="shared" si="13"/>
        <v>6.6206000000000209E-2</v>
      </c>
      <c r="I134">
        <f t="shared" si="14"/>
        <v>0.23658941590164773</v>
      </c>
      <c r="J134">
        <f t="shared" si="15"/>
        <v>0.11563577999999999</v>
      </c>
      <c r="L134">
        <f t="shared" si="16"/>
        <v>0.36956485003252837</v>
      </c>
      <c r="N134">
        <f t="shared" si="12"/>
        <v>0.25128925128925139</v>
      </c>
    </row>
    <row r="135" spans="1:15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H135">
        <f t="shared" si="13"/>
        <v>0.38588599999999995</v>
      </c>
      <c r="I135">
        <f t="shared" si="14"/>
        <v>0.15317904662029491</v>
      </c>
      <c r="J135">
        <f t="shared" si="15"/>
        <v>0.11562648</v>
      </c>
      <c r="L135">
        <f t="shared" si="16"/>
        <v>0.54008632391988021</v>
      </c>
      <c r="O135">
        <f t="shared" ref="O135:O166" si="17">($F$343-F135)/$F$343</f>
        <v>0.48698748698748695</v>
      </c>
    </row>
    <row r="136" spans="1:15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H136">
        <f t="shared" si="13"/>
        <v>0.38588599999999995</v>
      </c>
      <c r="I136">
        <f t="shared" si="14"/>
        <v>0.15317904662029491</v>
      </c>
      <c r="J136">
        <f t="shared" si="15"/>
        <v>0.11562648</v>
      </c>
      <c r="L136">
        <f t="shared" si="16"/>
        <v>0.54008632391988021</v>
      </c>
      <c r="O136">
        <f t="shared" si="17"/>
        <v>0.42843642843642843</v>
      </c>
    </row>
    <row r="137" spans="1:15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H137">
        <f t="shared" si="13"/>
        <v>0.38588599999999995</v>
      </c>
      <c r="I137">
        <f t="shared" si="14"/>
        <v>0.15317904662029491</v>
      </c>
      <c r="J137">
        <f t="shared" si="15"/>
        <v>0.11562648</v>
      </c>
      <c r="L137">
        <f t="shared" si="16"/>
        <v>0.54008632391988021</v>
      </c>
      <c r="O137">
        <f t="shared" si="17"/>
        <v>0.4558984558984559</v>
      </c>
    </row>
    <row r="138" spans="1:15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H138">
        <f t="shared" si="13"/>
        <v>0.38588599999999995</v>
      </c>
      <c r="I138">
        <f t="shared" si="14"/>
        <v>0.15317904662029491</v>
      </c>
      <c r="J138">
        <f t="shared" si="15"/>
        <v>0.11562648</v>
      </c>
      <c r="L138">
        <f t="shared" si="16"/>
        <v>0.54008632391988021</v>
      </c>
      <c r="O138">
        <f t="shared" si="17"/>
        <v>0.41305241305241308</v>
      </c>
    </row>
    <row r="139" spans="1:15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H139">
        <f t="shared" si="13"/>
        <v>0.38588599999999995</v>
      </c>
      <c r="I139">
        <f t="shared" si="14"/>
        <v>0.15317904662029491</v>
      </c>
      <c r="J139">
        <f t="shared" si="15"/>
        <v>0.11562648</v>
      </c>
      <c r="L139">
        <f t="shared" si="16"/>
        <v>0.54008632391988021</v>
      </c>
      <c r="O139">
        <f t="shared" si="17"/>
        <v>0.42921342921342925</v>
      </c>
    </row>
    <row r="140" spans="1:15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H140">
        <f t="shared" si="13"/>
        <v>0.38588599999999995</v>
      </c>
      <c r="I140">
        <f t="shared" si="14"/>
        <v>0.15317904662029491</v>
      </c>
      <c r="J140">
        <f t="shared" si="15"/>
        <v>0.11562648</v>
      </c>
      <c r="L140">
        <f t="shared" si="16"/>
        <v>0.54008632391988021</v>
      </c>
      <c r="O140">
        <f t="shared" si="17"/>
        <v>0.46170346170346171</v>
      </c>
    </row>
    <row r="141" spans="1:15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H141">
        <f t="shared" si="13"/>
        <v>0.38588599999999995</v>
      </c>
      <c r="I141">
        <f t="shared" si="14"/>
        <v>0.15317904662029491</v>
      </c>
      <c r="J141">
        <f t="shared" si="15"/>
        <v>0.11562648</v>
      </c>
      <c r="L141">
        <f t="shared" si="16"/>
        <v>0.54008632391988021</v>
      </c>
      <c r="O141">
        <f t="shared" si="17"/>
        <v>0.40313740313740315</v>
      </c>
    </row>
    <row r="142" spans="1:15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H142">
        <f t="shared" si="13"/>
        <v>0.38588599999999995</v>
      </c>
      <c r="I142">
        <f t="shared" si="14"/>
        <v>0.15317904662029491</v>
      </c>
      <c r="J142">
        <f t="shared" si="15"/>
        <v>0.11562648</v>
      </c>
      <c r="L142">
        <f t="shared" si="16"/>
        <v>0.54008632391988021</v>
      </c>
      <c r="O142">
        <f t="shared" si="17"/>
        <v>0.40715440715440715</v>
      </c>
    </row>
    <row r="143" spans="1:15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H143">
        <f t="shared" si="13"/>
        <v>0.38588599999999995</v>
      </c>
      <c r="I143">
        <f t="shared" si="14"/>
        <v>0.15317904662029491</v>
      </c>
      <c r="J143">
        <f t="shared" si="15"/>
        <v>0.11562648</v>
      </c>
      <c r="L143">
        <f t="shared" si="16"/>
        <v>0.54008632391988021</v>
      </c>
      <c r="O143">
        <f t="shared" si="17"/>
        <v>0.44755544755544752</v>
      </c>
    </row>
    <row r="144" spans="1:15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H144">
        <f t="shared" si="13"/>
        <v>0.38588599999999995</v>
      </c>
      <c r="I144">
        <f t="shared" si="14"/>
        <v>0.15317904662029491</v>
      </c>
      <c r="J144">
        <f t="shared" si="15"/>
        <v>0.11562648</v>
      </c>
      <c r="L144">
        <f t="shared" si="16"/>
        <v>0.54008632391988021</v>
      </c>
      <c r="O144">
        <f t="shared" si="17"/>
        <v>0.47937647937647943</v>
      </c>
    </row>
    <row r="145" spans="1:15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H145">
        <f t="shared" si="13"/>
        <v>0.38588599999999995</v>
      </c>
      <c r="I145">
        <f t="shared" si="14"/>
        <v>0.15317904662029491</v>
      </c>
      <c r="J145">
        <f t="shared" si="15"/>
        <v>0.11562648</v>
      </c>
      <c r="L145">
        <f t="shared" si="16"/>
        <v>0.54008632391988021</v>
      </c>
      <c r="O145">
        <f t="shared" si="17"/>
        <v>0.4563994563994565</v>
      </c>
    </row>
    <row r="146" spans="1:15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H146">
        <f t="shared" si="13"/>
        <v>0.38588599999999995</v>
      </c>
      <c r="I146">
        <f t="shared" si="14"/>
        <v>0.15317904662029491</v>
      </c>
      <c r="J146">
        <f t="shared" si="15"/>
        <v>0.11562648</v>
      </c>
      <c r="L146">
        <f t="shared" si="16"/>
        <v>0.54008632391988021</v>
      </c>
      <c r="O146">
        <f t="shared" si="17"/>
        <v>0.45899145899145899</v>
      </c>
    </row>
    <row r="147" spans="1:15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H147">
        <f t="shared" si="13"/>
        <v>0.18385400000000018</v>
      </c>
      <c r="I147">
        <f t="shared" si="14"/>
        <v>0.13778578061683788</v>
      </c>
      <c r="J147">
        <f t="shared" si="15"/>
        <v>0.11563577999999999</v>
      </c>
      <c r="L147">
        <f t="shared" si="16"/>
        <v>0.37767936636706045</v>
      </c>
      <c r="O147">
        <f t="shared" si="17"/>
        <v>0.10250410250410251</v>
      </c>
    </row>
    <row r="148" spans="1:15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H148">
        <f t="shared" si="13"/>
        <v>0.18385400000000018</v>
      </c>
      <c r="I148">
        <f t="shared" si="14"/>
        <v>0.13778578061683788</v>
      </c>
      <c r="J148">
        <f t="shared" si="15"/>
        <v>0.11563577999999999</v>
      </c>
      <c r="L148">
        <f t="shared" si="16"/>
        <v>0.37767936636706045</v>
      </c>
      <c r="O148">
        <f t="shared" si="17"/>
        <v>6.3549063549063686E-2</v>
      </c>
    </row>
    <row r="149" spans="1:15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H149">
        <f t="shared" si="13"/>
        <v>0.18385400000000018</v>
      </c>
      <c r="I149">
        <f t="shared" si="14"/>
        <v>0.13778578061683788</v>
      </c>
      <c r="J149">
        <f t="shared" si="15"/>
        <v>0.11563577999999999</v>
      </c>
      <c r="L149">
        <f t="shared" si="16"/>
        <v>0.37767936636706045</v>
      </c>
      <c r="O149">
        <f t="shared" si="17"/>
        <v>4.2606042606042768E-2</v>
      </c>
    </row>
    <row r="150" spans="1:15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H150">
        <f t="shared" si="13"/>
        <v>0.18385400000000018</v>
      </c>
      <c r="I150">
        <f t="shared" si="14"/>
        <v>0.13778578061683788</v>
      </c>
      <c r="J150">
        <f t="shared" si="15"/>
        <v>0.11563577999999999</v>
      </c>
      <c r="L150">
        <f t="shared" si="16"/>
        <v>0.37767936636706045</v>
      </c>
      <c r="O150">
        <f t="shared" si="17"/>
        <v>0.12865212865212869</v>
      </c>
    </row>
    <row r="151" spans="1:15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H151">
        <f t="shared" si="13"/>
        <v>0.18385400000000018</v>
      </c>
      <c r="I151">
        <f t="shared" si="14"/>
        <v>0.13778578061683788</v>
      </c>
      <c r="J151">
        <f t="shared" si="15"/>
        <v>0.11563577999999999</v>
      </c>
      <c r="L151">
        <f t="shared" si="16"/>
        <v>0.37767936636706045</v>
      </c>
      <c r="O151">
        <f t="shared" si="17"/>
        <v>9.0783090783090853E-2</v>
      </c>
    </row>
    <row r="152" spans="1:15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H152">
        <f t="shared" si="13"/>
        <v>0.18385400000000018</v>
      </c>
      <c r="I152">
        <f t="shared" si="14"/>
        <v>0.13778578061683788</v>
      </c>
      <c r="J152">
        <f t="shared" si="15"/>
        <v>0.11563577999999999</v>
      </c>
      <c r="L152">
        <f t="shared" si="16"/>
        <v>0.37767936636706045</v>
      </c>
      <c r="O152">
        <f t="shared" si="17"/>
        <v>6.9741069741069778E-2</v>
      </c>
    </row>
    <row r="153" spans="1:15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H153">
        <f t="shared" si="13"/>
        <v>0.18385400000000018</v>
      </c>
      <c r="I153">
        <f t="shared" si="14"/>
        <v>0.13778578061683788</v>
      </c>
      <c r="J153">
        <f t="shared" si="15"/>
        <v>0.11563577999999999</v>
      </c>
      <c r="L153">
        <f t="shared" si="16"/>
        <v>0.37767936636706045</v>
      </c>
      <c r="O153">
        <f t="shared" si="17"/>
        <v>3.6132036132036249E-2</v>
      </c>
    </row>
    <row r="154" spans="1:15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H154">
        <f t="shared" si="13"/>
        <v>0.18385400000000018</v>
      </c>
      <c r="I154">
        <f t="shared" si="14"/>
        <v>0.13778578061683788</v>
      </c>
      <c r="J154">
        <f t="shared" si="15"/>
        <v>0.11563577999999999</v>
      </c>
      <c r="L154">
        <f t="shared" si="16"/>
        <v>0.37767936636706045</v>
      </c>
      <c r="O154">
        <f t="shared" si="17"/>
        <v>0.18434718434718436</v>
      </c>
    </row>
    <row r="155" spans="1:15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H155">
        <f t="shared" si="13"/>
        <v>0.18385400000000018</v>
      </c>
      <c r="I155">
        <f t="shared" si="14"/>
        <v>0.13778578061683788</v>
      </c>
      <c r="J155">
        <f t="shared" si="15"/>
        <v>0.11563577999999999</v>
      </c>
      <c r="L155">
        <f t="shared" si="16"/>
        <v>0.37767936636706045</v>
      </c>
      <c r="O155">
        <f t="shared" si="17"/>
        <v>3.4062034062034188E-2</v>
      </c>
    </row>
    <row r="156" spans="1:15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H156">
        <f t="shared" si="13"/>
        <v>0.18385400000000018</v>
      </c>
      <c r="I156">
        <f t="shared" si="14"/>
        <v>0.13778578061683788</v>
      </c>
      <c r="J156">
        <f t="shared" si="15"/>
        <v>0.11563577999999999</v>
      </c>
      <c r="L156">
        <f t="shared" si="16"/>
        <v>0.37767936636706045</v>
      </c>
      <c r="O156">
        <f t="shared" si="17"/>
        <v>0.10909510909510911</v>
      </c>
    </row>
    <row r="157" spans="1:15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H157">
        <f t="shared" si="13"/>
        <v>0.18385400000000018</v>
      </c>
      <c r="I157">
        <f t="shared" si="14"/>
        <v>0.13778578061683788</v>
      </c>
      <c r="J157">
        <f t="shared" si="15"/>
        <v>0.11563577999999999</v>
      </c>
      <c r="L157">
        <f t="shared" si="16"/>
        <v>0.37767936636706045</v>
      </c>
      <c r="O157">
        <f t="shared" si="17"/>
        <v>0.12196512196512205</v>
      </c>
    </row>
    <row r="158" spans="1:15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H158">
        <f t="shared" si="13"/>
        <v>0.18385400000000018</v>
      </c>
      <c r="I158">
        <f t="shared" si="14"/>
        <v>0.13778578061683788</v>
      </c>
      <c r="J158">
        <f t="shared" si="15"/>
        <v>0.11563577999999999</v>
      </c>
      <c r="L158">
        <f t="shared" si="16"/>
        <v>0.37767936636706045</v>
      </c>
      <c r="O158">
        <f t="shared" si="17"/>
        <v>9.5691095691095823E-2</v>
      </c>
    </row>
    <row r="159" spans="1:15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H159">
        <f t="shared" si="13"/>
        <v>6.6206000000000209E-2</v>
      </c>
      <c r="I159">
        <f t="shared" si="14"/>
        <v>0.1431262730590106</v>
      </c>
      <c r="J159">
        <f t="shared" si="15"/>
        <v>0.115608</v>
      </c>
      <c r="L159">
        <f t="shared" si="16"/>
        <v>0.29235944997235125</v>
      </c>
      <c r="O159">
        <f t="shared" si="17"/>
        <v>0.1656691656691657</v>
      </c>
    </row>
    <row r="160" spans="1:15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H160">
        <f t="shared" si="13"/>
        <v>6.6206000000000209E-2</v>
      </c>
      <c r="I160">
        <f t="shared" si="14"/>
        <v>0.1431262730590106</v>
      </c>
      <c r="J160">
        <f t="shared" si="15"/>
        <v>0.115608</v>
      </c>
      <c r="L160">
        <f t="shared" si="16"/>
        <v>0.29235944997235125</v>
      </c>
      <c r="O160">
        <f t="shared" si="17"/>
        <v>0.11066111066111066</v>
      </c>
    </row>
    <row r="161" spans="1:15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H161">
        <f t="shared" si="13"/>
        <v>6.6206000000000209E-2</v>
      </c>
      <c r="I161">
        <f t="shared" si="14"/>
        <v>0.1431262730590106</v>
      </c>
      <c r="J161">
        <f t="shared" si="15"/>
        <v>0.115608</v>
      </c>
      <c r="L161">
        <f t="shared" si="16"/>
        <v>0.29235944997235125</v>
      </c>
      <c r="O161">
        <f t="shared" si="17"/>
        <v>8.7324087324087335E-2</v>
      </c>
    </row>
    <row r="162" spans="1:15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H162">
        <f t="shared" si="13"/>
        <v>6.6206000000000209E-2</v>
      </c>
      <c r="I162">
        <f t="shared" si="14"/>
        <v>0.1431262730590106</v>
      </c>
      <c r="J162">
        <f t="shared" si="15"/>
        <v>0.115608</v>
      </c>
      <c r="L162">
        <f t="shared" si="16"/>
        <v>0.29235944997235125</v>
      </c>
      <c r="O162">
        <f t="shared" si="17"/>
        <v>0.13644313644313658</v>
      </c>
    </row>
    <row r="163" spans="1:15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H163">
        <f t="shared" si="13"/>
        <v>6.6206000000000209E-2</v>
      </c>
      <c r="I163">
        <f t="shared" si="14"/>
        <v>0.1431262730590106</v>
      </c>
      <c r="J163">
        <f t="shared" si="15"/>
        <v>0.115608</v>
      </c>
      <c r="L163">
        <f t="shared" si="16"/>
        <v>0.29235944997235125</v>
      </c>
      <c r="O163">
        <f t="shared" si="17"/>
        <v>3.3822033822033824E-2</v>
      </c>
    </row>
    <row r="164" spans="1:15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H164">
        <f t="shared" si="13"/>
        <v>6.6206000000000209E-2</v>
      </c>
      <c r="I164">
        <f t="shared" si="14"/>
        <v>0.1431262730590106</v>
      </c>
      <c r="J164">
        <f t="shared" si="15"/>
        <v>0.115608</v>
      </c>
      <c r="L164">
        <f t="shared" si="16"/>
        <v>0.29235944997235125</v>
      </c>
      <c r="O164">
        <f t="shared" si="17"/>
        <v>0.14568314568314578</v>
      </c>
    </row>
    <row r="165" spans="1:15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H165">
        <f t="shared" si="13"/>
        <v>6.6206000000000209E-2</v>
      </c>
      <c r="I165">
        <f t="shared" si="14"/>
        <v>0.1431262730590106</v>
      </c>
      <c r="J165">
        <f t="shared" si="15"/>
        <v>0.115608</v>
      </c>
      <c r="L165">
        <f t="shared" si="16"/>
        <v>0.29235944997235125</v>
      </c>
      <c r="O165">
        <f t="shared" si="17"/>
        <v>8.9760089760089798E-2</v>
      </c>
    </row>
    <row r="166" spans="1:15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H166">
        <f t="shared" si="13"/>
        <v>6.6206000000000209E-2</v>
      </c>
      <c r="I166">
        <f t="shared" si="14"/>
        <v>0.1431262730590106</v>
      </c>
      <c r="J166">
        <f t="shared" si="15"/>
        <v>0.115608</v>
      </c>
      <c r="L166">
        <f t="shared" si="16"/>
        <v>0.29235944997235125</v>
      </c>
      <c r="O166">
        <f t="shared" si="17"/>
        <v>0.13192213192213206</v>
      </c>
    </row>
    <row r="167" spans="1:15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H167">
        <f t="shared" si="13"/>
        <v>6.6206000000000209E-2</v>
      </c>
      <c r="I167">
        <f t="shared" si="14"/>
        <v>0.1431262730590106</v>
      </c>
      <c r="J167">
        <f t="shared" si="15"/>
        <v>0.115608</v>
      </c>
      <c r="L167">
        <f t="shared" si="16"/>
        <v>0.29235944997235125</v>
      </c>
      <c r="O167">
        <f t="shared" ref="O167:O191" si="18">($F$343-F167)/$F$343</f>
        <v>0.1171411171411172</v>
      </c>
    </row>
    <row r="168" spans="1:15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H168">
        <f t="shared" si="13"/>
        <v>6.6206000000000209E-2</v>
      </c>
      <c r="I168">
        <f t="shared" si="14"/>
        <v>0.1431262730590106</v>
      </c>
      <c r="J168">
        <f t="shared" si="15"/>
        <v>0.115608</v>
      </c>
      <c r="L168">
        <f t="shared" si="16"/>
        <v>0.29235944997235125</v>
      </c>
      <c r="O168">
        <f t="shared" si="18"/>
        <v>9.7017097017097001E-2</v>
      </c>
    </row>
    <row r="169" spans="1:15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H169">
        <f t="shared" si="13"/>
        <v>6.6206000000000209E-2</v>
      </c>
      <c r="I169">
        <f t="shared" si="14"/>
        <v>0.1431262730590106</v>
      </c>
      <c r="J169">
        <f t="shared" si="15"/>
        <v>0.115608</v>
      </c>
      <c r="L169">
        <f t="shared" si="16"/>
        <v>0.29235944997235125</v>
      </c>
      <c r="O169">
        <f t="shared" si="18"/>
        <v>0.1142911142911144</v>
      </c>
    </row>
    <row r="170" spans="1:15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H170">
        <f t="shared" si="13"/>
        <v>6.6206000000000209E-2</v>
      </c>
      <c r="I170">
        <f t="shared" si="14"/>
        <v>0.1431262730590106</v>
      </c>
      <c r="J170">
        <f t="shared" si="15"/>
        <v>0.115608</v>
      </c>
      <c r="L170">
        <f t="shared" si="16"/>
        <v>0.29235944997235125</v>
      </c>
      <c r="O170">
        <f t="shared" si="18"/>
        <v>0.11204411204411208</v>
      </c>
    </row>
    <row r="171" spans="1:15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H171">
        <f t="shared" si="13"/>
        <v>6.6206000000000209E-2</v>
      </c>
      <c r="I171">
        <f t="shared" si="14"/>
        <v>0.1431262730590106</v>
      </c>
      <c r="J171">
        <f t="shared" si="15"/>
        <v>0.115608</v>
      </c>
      <c r="L171">
        <f t="shared" si="16"/>
        <v>0.29235944997235125</v>
      </c>
      <c r="O171">
        <f t="shared" si="18"/>
        <v>0.12794112794112808</v>
      </c>
    </row>
    <row r="172" spans="1:15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H172">
        <f t="shared" si="13"/>
        <v>6.6206000000000209E-2</v>
      </c>
      <c r="I172">
        <f t="shared" si="14"/>
        <v>0.1431262730590106</v>
      </c>
      <c r="J172">
        <f t="shared" si="15"/>
        <v>0.115608</v>
      </c>
      <c r="L172">
        <f t="shared" si="16"/>
        <v>0.29235944997235125</v>
      </c>
      <c r="O172">
        <f t="shared" si="18"/>
        <v>3.9654039654039706E-2</v>
      </c>
    </row>
    <row r="173" spans="1:15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H173">
        <f t="shared" si="13"/>
        <v>6.6206000000000209E-2</v>
      </c>
      <c r="I173">
        <f t="shared" si="14"/>
        <v>0.1431262730590106</v>
      </c>
      <c r="J173">
        <f t="shared" si="15"/>
        <v>0.115608</v>
      </c>
      <c r="L173">
        <f t="shared" si="16"/>
        <v>0.29235944997235125</v>
      </c>
      <c r="O173">
        <f t="shared" si="18"/>
        <v>9.6456096456096582E-2</v>
      </c>
    </row>
    <row r="174" spans="1:15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H174">
        <f t="shared" si="13"/>
        <v>6.6206000000000209E-2</v>
      </c>
      <c r="I174">
        <f t="shared" si="14"/>
        <v>0.1431262730590106</v>
      </c>
      <c r="J174">
        <f t="shared" si="15"/>
        <v>0.115608</v>
      </c>
      <c r="L174">
        <f t="shared" si="16"/>
        <v>0.29235944997235125</v>
      </c>
      <c r="O174">
        <f t="shared" si="18"/>
        <v>8.4594084594084698E-2</v>
      </c>
    </row>
    <row r="175" spans="1:15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H175">
        <f t="shared" si="13"/>
        <v>6.7934000000000383E-2</v>
      </c>
      <c r="I175">
        <f t="shared" si="14"/>
        <v>0.1367528735787289</v>
      </c>
      <c r="J175">
        <f t="shared" si="15"/>
        <v>0.11561722000000001</v>
      </c>
      <c r="L175">
        <f t="shared" si="16"/>
        <v>0.28842270016699367</v>
      </c>
      <c r="O175">
        <f t="shared" si="18"/>
        <v>0.23499323499323502</v>
      </c>
    </row>
    <row r="176" spans="1:15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H176">
        <f t="shared" si="13"/>
        <v>6.7934000000000383E-2</v>
      </c>
      <c r="I176">
        <f t="shared" si="14"/>
        <v>0.1367528735787289</v>
      </c>
      <c r="J176">
        <f t="shared" si="15"/>
        <v>0.11561722000000001</v>
      </c>
      <c r="L176">
        <f t="shared" si="16"/>
        <v>0.28842270016699367</v>
      </c>
      <c r="O176">
        <f t="shared" si="18"/>
        <v>0.10325710325710337</v>
      </c>
    </row>
    <row r="177" spans="1:16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H177">
        <f t="shared" si="13"/>
        <v>6.7934000000000383E-2</v>
      </c>
      <c r="I177">
        <f t="shared" si="14"/>
        <v>0.1367528735787289</v>
      </c>
      <c r="J177">
        <f t="shared" si="15"/>
        <v>0.11561722000000001</v>
      </c>
      <c r="L177">
        <f t="shared" si="16"/>
        <v>0.28842270016699367</v>
      </c>
      <c r="O177">
        <f t="shared" si="18"/>
        <v>0.21282921282921294</v>
      </c>
    </row>
    <row r="178" spans="1:16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H178">
        <f t="shared" si="13"/>
        <v>6.7934000000000383E-2</v>
      </c>
      <c r="I178">
        <f t="shared" si="14"/>
        <v>0.1367528735787289</v>
      </c>
      <c r="J178">
        <f t="shared" si="15"/>
        <v>0.11561722000000001</v>
      </c>
      <c r="L178">
        <f t="shared" si="16"/>
        <v>0.28842270016699367</v>
      </c>
      <c r="O178">
        <f t="shared" si="18"/>
        <v>0.12303012303012316</v>
      </c>
    </row>
    <row r="179" spans="1:16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H179">
        <f t="shared" si="13"/>
        <v>6.7934000000000383E-2</v>
      </c>
      <c r="I179">
        <f t="shared" si="14"/>
        <v>0.1367528735787289</v>
      </c>
      <c r="J179">
        <f t="shared" si="15"/>
        <v>0.11561722000000001</v>
      </c>
      <c r="L179">
        <f t="shared" si="16"/>
        <v>0.28842270016699367</v>
      </c>
      <c r="O179">
        <f t="shared" si="18"/>
        <v>0.17189717189717199</v>
      </c>
    </row>
    <row r="180" spans="1:16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H180">
        <f t="shared" si="13"/>
        <v>6.7934000000000383E-2</v>
      </c>
      <c r="I180">
        <f t="shared" si="14"/>
        <v>0.1367528735787289</v>
      </c>
      <c r="J180">
        <f t="shared" si="15"/>
        <v>0.11561722000000001</v>
      </c>
      <c r="L180">
        <f t="shared" si="16"/>
        <v>0.28842270016699367</v>
      </c>
      <c r="O180">
        <f t="shared" si="18"/>
        <v>0.1584421584421585</v>
      </c>
    </row>
    <row r="181" spans="1:16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H181">
        <f t="shared" si="13"/>
        <v>6.7934000000000383E-2</v>
      </c>
      <c r="I181">
        <f t="shared" si="14"/>
        <v>0.1367528735787289</v>
      </c>
      <c r="J181">
        <f t="shared" si="15"/>
        <v>0.11561722000000001</v>
      </c>
      <c r="L181">
        <f t="shared" si="16"/>
        <v>0.28842270016699367</v>
      </c>
      <c r="O181">
        <f t="shared" si="18"/>
        <v>7.83060783060784E-2</v>
      </c>
    </row>
    <row r="182" spans="1:16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H182">
        <f t="shared" si="13"/>
        <v>6.7934000000000383E-2</v>
      </c>
      <c r="I182">
        <f t="shared" si="14"/>
        <v>0.1367528735787289</v>
      </c>
      <c r="J182">
        <f t="shared" si="15"/>
        <v>0.11561722000000001</v>
      </c>
      <c r="L182">
        <f t="shared" si="16"/>
        <v>0.28842270016699367</v>
      </c>
      <c r="O182">
        <f t="shared" si="18"/>
        <v>0.11038811038811053</v>
      </c>
    </row>
    <row r="183" spans="1:16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H183">
        <f t="shared" si="13"/>
        <v>6.7934000000000383E-2</v>
      </c>
      <c r="I183">
        <f t="shared" si="14"/>
        <v>0.1367528735787289</v>
      </c>
      <c r="J183">
        <f t="shared" si="15"/>
        <v>0.11561722000000001</v>
      </c>
      <c r="L183">
        <f t="shared" si="16"/>
        <v>0.28842270016699367</v>
      </c>
      <c r="O183">
        <f t="shared" si="18"/>
        <v>9.659109659109659E-2</v>
      </c>
    </row>
    <row r="184" spans="1:16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H184">
        <f t="shared" si="13"/>
        <v>6.7934000000000383E-2</v>
      </c>
      <c r="I184">
        <f t="shared" si="14"/>
        <v>0.1367528735787289</v>
      </c>
      <c r="J184">
        <f t="shared" si="15"/>
        <v>0.11561722000000001</v>
      </c>
      <c r="L184">
        <f t="shared" si="16"/>
        <v>0.28842270016699367</v>
      </c>
      <c r="O184">
        <f t="shared" si="18"/>
        <v>0.17363417363417374</v>
      </c>
    </row>
    <row r="185" spans="1:16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H185">
        <f t="shared" si="13"/>
        <v>0.25163600000000019</v>
      </c>
      <c r="I185">
        <f t="shared" si="14"/>
        <v>0.16786165671612707</v>
      </c>
      <c r="J185">
        <f t="shared" si="15"/>
        <v>0.11561722000000001</v>
      </c>
      <c r="L185">
        <f t="shared" si="16"/>
        <v>0.4492573635182851</v>
      </c>
      <c r="O185">
        <f t="shared" si="18"/>
        <v>0.32979932979932991</v>
      </c>
    </row>
    <row r="186" spans="1:16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H186">
        <f t="shared" si="13"/>
        <v>0.25163600000000019</v>
      </c>
      <c r="I186">
        <f t="shared" si="14"/>
        <v>0.16786165671612707</v>
      </c>
      <c r="J186">
        <f t="shared" si="15"/>
        <v>0.11561722000000001</v>
      </c>
      <c r="L186">
        <f t="shared" si="16"/>
        <v>0.4492573635182851</v>
      </c>
      <c r="O186">
        <f t="shared" si="18"/>
        <v>0.31899931899931905</v>
      </c>
    </row>
    <row r="187" spans="1:16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H187">
        <f t="shared" si="13"/>
        <v>0.25163600000000019</v>
      </c>
      <c r="I187">
        <f t="shared" si="14"/>
        <v>0.16786165671612707</v>
      </c>
      <c r="J187">
        <f t="shared" si="15"/>
        <v>0.11561722000000001</v>
      </c>
      <c r="L187">
        <f t="shared" si="16"/>
        <v>0.4492573635182851</v>
      </c>
      <c r="O187">
        <f t="shared" si="18"/>
        <v>0.3282993282993284</v>
      </c>
    </row>
    <row r="188" spans="1:16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H188">
        <f t="shared" si="13"/>
        <v>0.25163600000000019</v>
      </c>
      <c r="I188">
        <f t="shared" si="14"/>
        <v>0.16786165671612707</v>
      </c>
      <c r="J188">
        <f t="shared" si="15"/>
        <v>0.11561722000000001</v>
      </c>
      <c r="L188">
        <f t="shared" si="16"/>
        <v>0.4492573635182851</v>
      </c>
      <c r="O188">
        <f t="shared" si="18"/>
        <v>0.21579921579921593</v>
      </c>
    </row>
    <row r="189" spans="1:16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H189">
        <f t="shared" si="13"/>
        <v>0.25163600000000019</v>
      </c>
      <c r="I189">
        <f t="shared" si="14"/>
        <v>0.16786165671612707</v>
      </c>
      <c r="J189">
        <f t="shared" si="15"/>
        <v>0.11561722000000001</v>
      </c>
      <c r="L189">
        <f t="shared" si="16"/>
        <v>0.4492573635182851</v>
      </c>
      <c r="O189">
        <f t="shared" si="18"/>
        <v>0.12459912459912463</v>
      </c>
    </row>
    <row r="190" spans="1:16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H190">
        <f t="shared" si="13"/>
        <v>0.25163600000000019</v>
      </c>
      <c r="I190">
        <f t="shared" si="14"/>
        <v>0.16786165671612707</v>
      </c>
      <c r="J190">
        <f t="shared" si="15"/>
        <v>0.11561722000000001</v>
      </c>
      <c r="L190">
        <f t="shared" si="16"/>
        <v>0.4492573635182851</v>
      </c>
      <c r="O190">
        <f t="shared" si="18"/>
        <v>0.29289929289929301</v>
      </c>
    </row>
    <row r="191" spans="1:16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H191">
        <f t="shared" si="13"/>
        <v>0.25163600000000019</v>
      </c>
      <c r="I191">
        <f t="shared" si="14"/>
        <v>0.16786165671612707</v>
      </c>
      <c r="J191">
        <f t="shared" si="15"/>
        <v>0.11561722000000001</v>
      </c>
      <c r="L191">
        <f t="shared" si="16"/>
        <v>0.4492573635182851</v>
      </c>
      <c r="O191">
        <f t="shared" si="18"/>
        <v>0.11949911949911957</v>
      </c>
    </row>
    <row r="192" spans="1:16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H192">
        <f t="shared" si="13"/>
        <v>5.3949999999999942E-2</v>
      </c>
      <c r="I192">
        <f t="shared" si="14"/>
        <v>0.20056200706255822</v>
      </c>
      <c r="J192">
        <f t="shared" si="15"/>
        <v>0.11561722000000001</v>
      </c>
      <c r="L192">
        <f t="shared" si="16"/>
        <v>0.33113395141874158</v>
      </c>
      <c r="P192">
        <f t="shared" ref="P192:P223" si="19">($F$343-F192)/$F$343</f>
        <v>0.25837825837825845</v>
      </c>
    </row>
    <row r="193" spans="1:16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H193">
        <f t="shared" si="13"/>
        <v>5.3949999999999942E-2</v>
      </c>
      <c r="I193">
        <f t="shared" si="14"/>
        <v>0.20056200706255822</v>
      </c>
      <c r="J193">
        <f t="shared" si="15"/>
        <v>0.11561722000000001</v>
      </c>
      <c r="L193">
        <f t="shared" si="16"/>
        <v>0.33113395141874158</v>
      </c>
      <c r="P193">
        <f t="shared" si="19"/>
        <v>0.36250536250536258</v>
      </c>
    </row>
    <row r="194" spans="1:16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H194">
        <f t="shared" si="13"/>
        <v>5.3949999999999942E-2</v>
      </c>
      <c r="I194">
        <f t="shared" si="14"/>
        <v>0.20056200706255822</v>
      </c>
      <c r="J194">
        <f t="shared" si="15"/>
        <v>0.11561722000000001</v>
      </c>
      <c r="L194">
        <f t="shared" si="16"/>
        <v>0.33113395141874158</v>
      </c>
      <c r="P194">
        <f t="shared" si="19"/>
        <v>0.22014622014622015</v>
      </c>
    </row>
    <row r="195" spans="1:16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H195">
        <f t="shared" ref="H195:H258" si="20">0.0034*C195^2-0.152*C195+1.7411</f>
        <v>5.3949999999999942E-2</v>
      </c>
      <c r="I195">
        <f t="shared" ref="I195:I258" si="21">2.6805*D195^2-42.226*D195+166.39</f>
        <v>0.20056200706255822</v>
      </c>
      <c r="J195">
        <f t="shared" ref="J195:J258" si="22">0.0002*E195^2-0.001*E195+0.1158</f>
        <v>0.11561722000000001</v>
      </c>
      <c r="L195">
        <f t="shared" ref="L195:L258" si="23">SUM(H195:J195)-H195*I195-H195*J195-I195*J195+H195*I195*J195</f>
        <v>0.33113395141874158</v>
      </c>
      <c r="P195">
        <f t="shared" si="19"/>
        <v>0.1317931317931319</v>
      </c>
    </row>
    <row r="196" spans="1:16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H196">
        <f t="shared" si="20"/>
        <v>5.3949999999999942E-2</v>
      </c>
      <c r="I196">
        <f t="shared" si="21"/>
        <v>0.20056200706255822</v>
      </c>
      <c r="J196">
        <f t="shared" si="22"/>
        <v>0.11561722000000001</v>
      </c>
      <c r="L196">
        <f t="shared" si="23"/>
        <v>0.33113395141874158</v>
      </c>
      <c r="P196">
        <f t="shared" si="19"/>
        <v>0.16340416340416344</v>
      </c>
    </row>
    <row r="197" spans="1:16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H197">
        <f t="shared" si="20"/>
        <v>5.3949999999999942E-2</v>
      </c>
      <c r="I197">
        <f t="shared" si="21"/>
        <v>0.20056200706255822</v>
      </c>
      <c r="J197">
        <f t="shared" si="22"/>
        <v>0.11561722000000001</v>
      </c>
      <c r="L197">
        <f t="shared" si="23"/>
        <v>0.33113395141874158</v>
      </c>
      <c r="P197">
        <f t="shared" si="19"/>
        <v>0.10337710337710337</v>
      </c>
    </row>
    <row r="198" spans="1:16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H198">
        <f t="shared" si="20"/>
        <v>5.3949999999999942E-2</v>
      </c>
      <c r="I198">
        <f t="shared" si="21"/>
        <v>0.20056200706255822</v>
      </c>
      <c r="J198">
        <f t="shared" si="22"/>
        <v>0.11561722000000001</v>
      </c>
      <c r="L198">
        <f t="shared" si="23"/>
        <v>0.33113395141874158</v>
      </c>
      <c r="P198">
        <f t="shared" si="19"/>
        <v>0.22258222258222263</v>
      </c>
    </row>
    <row r="199" spans="1:16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H199">
        <f t="shared" si="20"/>
        <v>5.3949999999999942E-2</v>
      </c>
      <c r="I199">
        <f t="shared" si="21"/>
        <v>0.20056200706255822</v>
      </c>
      <c r="J199">
        <f t="shared" si="22"/>
        <v>0.11561722000000001</v>
      </c>
      <c r="L199">
        <f t="shared" si="23"/>
        <v>0.33113395141874158</v>
      </c>
      <c r="P199">
        <f t="shared" si="19"/>
        <v>0.31978531978531982</v>
      </c>
    </row>
    <row r="200" spans="1:16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H200">
        <f t="shared" si="20"/>
        <v>5.3949999999999942E-2</v>
      </c>
      <c r="I200">
        <f t="shared" si="21"/>
        <v>0.20056200706255822</v>
      </c>
      <c r="J200">
        <f t="shared" si="22"/>
        <v>0.11561722000000001</v>
      </c>
      <c r="L200">
        <f t="shared" si="23"/>
        <v>0.33113395141874158</v>
      </c>
      <c r="P200">
        <f t="shared" si="19"/>
        <v>0.20973620973620982</v>
      </c>
    </row>
    <row r="201" spans="1:16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H201">
        <f t="shared" si="20"/>
        <v>5.3949999999999942E-2</v>
      </c>
      <c r="I201">
        <f t="shared" si="21"/>
        <v>0.20056200706255822</v>
      </c>
      <c r="J201">
        <f t="shared" si="22"/>
        <v>0.11561722000000001</v>
      </c>
      <c r="L201">
        <f t="shared" si="23"/>
        <v>0.33113395141874158</v>
      </c>
      <c r="P201">
        <f t="shared" si="19"/>
        <v>0.30717630717630728</v>
      </c>
    </row>
    <row r="202" spans="1:16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H202">
        <f t="shared" si="20"/>
        <v>5.3949999999999942E-2</v>
      </c>
      <c r="I202">
        <f t="shared" si="21"/>
        <v>0.20056200706255822</v>
      </c>
      <c r="J202">
        <f t="shared" si="22"/>
        <v>0.11561722000000001</v>
      </c>
      <c r="L202">
        <f t="shared" si="23"/>
        <v>0.33113395141874158</v>
      </c>
      <c r="P202">
        <f t="shared" si="19"/>
        <v>0.27905127905127919</v>
      </c>
    </row>
    <row r="203" spans="1:16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H203">
        <f t="shared" si="20"/>
        <v>5.1566000000000001E-2</v>
      </c>
      <c r="I203">
        <f t="shared" si="21"/>
        <v>0.20056200706255822</v>
      </c>
      <c r="J203">
        <f t="shared" si="22"/>
        <v>0.11562648</v>
      </c>
      <c r="L203">
        <f t="shared" si="23"/>
        <v>0.32945546256198532</v>
      </c>
      <c r="P203">
        <f t="shared" si="19"/>
        <v>0.30697530697530706</v>
      </c>
    </row>
    <row r="204" spans="1:16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H204">
        <f t="shared" si="20"/>
        <v>5.1566000000000001E-2</v>
      </c>
      <c r="I204">
        <f t="shared" si="21"/>
        <v>0.20056200706255822</v>
      </c>
      <c r="J204">
        <f t="shared" si="22"/>
        <v>0.11562648</v>
      </c>
      <c r="L204">
        <f t="shared" si="23"/>
        <v>0.32945546256198532</v>
      </c>
      <c r="P204">
        <f t="shared" si="19"/>
        <v>0.13455913455913457</v>
      </c>
    </row>
    <row r="205" spans="1:16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H205">
        <f t="shared" si="20"/>
        <v>5.1566000000000001E-2</v>
      </c>
      <c r="I205">
        <f t="shared" si="21"/>
        <v>0.20056200706255822</v>
      </c>
      <c r="J205">
        <f t="shared" si="22"/>
        <v>0.11562648</v>
      </c>
      <c r="L205">
        <f t="shared" si="23"/>
        <v>0.32945546256198532</v>
      </c>
      <c r="P205">
        <f t="shared" si="19"/>
        <v>7.4910074910074981E-2</v>
      </c>
    </row>
    <row r="206" spans="1:16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H206">
        <f t="shared" si="20"/>
        <v>5.1566000000000001E-2</v>
      </c>
      <c r="I206">
        <f t="shared" si="21"/>
        <v>0.20056200706255822</v>
      </c>
      <c r="J206">
        <f t="shared" si="22"/>
        <v>0.11562648</v>
      </c>
      <c r="L206">
        <f t="shared" si="23"/>
        <v>0.32945546256198532</v>
      </c>
      <c r="P206">
        <f t="shared" si="19"/>
        <v>0.16990816990816995</v>
      </c>
    </row>
    <row r="207" spans="1:16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H207">
        <f t="shared" si="20"/>
        <v>5.2723999999999993E-2</v>
      </c>
      <c r="I207">
        <f t="shared" si="21"/>
        <v>0.11581107030195881</v>
      </c>
      <c r="J207">
        <f t="shared" si="22"/>
        <v>0.1186</v>
      </c>
      <c r="L207">
        <f t="shared" si="23"/>
        <v>0.26176496240599917</v>
      </c>
      <c r="P207">
        <f t="shared" si="19"/>
        <v>0.26257226257226257</v>
      </c>
    </row>
    <row r="208" spans="1:16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H208">
        <f t="shared" si="20"/>
        <v>5.2723999999999993E-2</v>
      </c>
      <c r="I208">
        <f t="shared" si="21"/>
        <v>0.11581107030195881</v>
      </c>
      <c r="J208">
        <f t="shared" si="22"/>
        <v>0.1186</v>
      </c>
      <c r="L208">
        <f t="shared" si="23"/>
        <v>0.26176496240599917</v>
      </c>
      <c r="P208">
        <f t="shared" si="19"/>
        <v>0.17667617667617683</v>
      </c>
    </row>
    <row r="209" spans="1:16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H209">
        <f t="shared" si="20"/>
        <v>5.2723999999999993E-2</v>
      </c>
      <c r="I209">
        <f t="shared" si="21"/>
        <v>0.11581107030195881</v>
      </c>
      <c r="J209">
        <f t="shared" si="22"/>
        <v>0.1186</v>
      </c>
      <c r="L209">
        <f t="shared" si="23"/>
        <v>0.26176496240599917</v>
      </c>
      <c r="P209">
        <f t="shared" si="19"/>
        <v>0.33030033030033035</v>
      </c>
    </row>
    <row r="210" spans="1:16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H210">
        <f t="shared" si="20"/>
        <v>5.2723999999999993E-2</v>
      </c>
      <c r="I210">
        <f t="shared" si="21"/>
        <v>0.11581107030195881</v>
      </c>
      <c r="J210">
        <f t="shared" si="22"/>
        <v>0.1186</v>
      </c>
      <c r="L210">
        <f t="shared" si="23"/>
        <v>0.26176496240599917</v>
      </c>
      <c r="P210">
        <f t="shared" si="19"/>
        <v>0.12861312861312871</v>
      </c>
    </row>
    <row r="211" spans="1:16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H211">
        <f t="shared" si="20"/>
        <v>5.2723999999999993E-2</v>
      </c>
      <c r="I211">
        <f t="shared" si="21"/>
        <v>0.11581107030195881</v>
      </c>
      <c r="J211">
        <f t="shared" si="22"/>
        <v>0.1186</v>
      </c>
      <c r="L211">
        <f t="shared" si="23"/>
        <v>0.26176496240599917</v>
      </c>
      <c r="P211">
        <f t="shared" si="19"/>
        <v>0.11312111312111327</v>
      </c>
    </row>
    <row r="212" spans="1:16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H212">
        <f t="shared" si="20"/>
        <v>5.2723999999999993E-2</v>
      </c>
      <c r="I212">
        <f t="shared" si="21"/>
        <v>0.11581107030195881</v>
      </c>
      <c r="J212">
        <f t="shared" si="22"/>
        <v>0.1186</v>
      </c>
      <c r="L212">
        <f t="shared" si="23"/>
        <v>0.26176496240599917</v>
      </c>
      <c r="P212">
        <f t="shared" si="19"/>
        <v>0.10810510810510818</v>
      </c>
    </row>
    <row r="213" spans="1:16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H213">
        <f t="shared" si="20"/>
        <v>5.2723999999999993E-2</v>
      </c>
      <c r="I213">
        <f t="shared" si="21"/>
        <v>0.11581107030195881</v>
      </c>
      <c r="J213">
        <f t="shared" si="22"/>
        <v>0.1186</v>
      </c>
      <c r="L213">
        <f t="shared" si="23"/>
        <v>0.26176496240599917</v>
      </c>
      <c r="P213">
        <f t="shared" si="19"/>
        <v>0.17821217821217836</v>
      </c>
    </row>
    <row r="214" spans="1:16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H214">
        <f t="shared" si="20"/>
        <v>5.2723999999999993E-2</v>
      </c>
      <c r="I214">
        <f t="shared" si="21"/>
        <v>0.11581107030195881</v>
      </c>
      <c r="J214">
        <f t="shared" si="22"/>
        <v>0.1186</v>
      </c>
      <c r="L214">
        <f t="shared" si="23"/>
        <v>0.26176496240599917</v>
      </c>
      <c r="P214">
        <f t="shared" si="19"/>
        <v>0.23441423441423451</v>
      </c>
    </row>
    <row r="215" spans="1:16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H215">
        <f t="shared" si="20"/>
        <v>5.2723999999999993E-2</v>
      </c>
      <c r="I215">
        <f t="shared" si="21"/>
        <v>0.11581107030195881</v>
      </c>
      <c r="J215">
        <f t="shared" si="22"/>
        <v>0.1186</v>
      </c>
      <c r="L215">
        <f t="shared" si="23"/>
        <v>0.26176496240599917</v>
      </c>
      <c r="P215">
        <f t="shared" si="19"/>
        <v>0.22345222345222354</v>
      </c>
    </row>
    <row r="216" spans="1:16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H216">
        <f t="shared" si="20"/>
        <v>5.2723999999999993E-2</v>
      </c>
      <c r="I216">
        <f t="shared" si="21"/>
        <v>0.11581107030195881</v>
      </c>
      <c r="J216">
        <f t="shared" si="22"/>
        <v>0.1186</v>
      </c>
      <c r="L216">
        <f t="shared" si="23"/>
        <v>0.26176496240599917</v>
      </c>
      <c r="P216">
        <f t="shared" si="19"/>
        <v>0.32388632388632399</v>
      </c>
    </row>
    <row r="217" spans="1:16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H217">
        <f t="shared" si="20"/>
        <v>5.3949999999999942E-2</v>
      </c>
      <c r="I217">
        <f t="shared" si="21"/>
        <v>0.11581107030195881</v>
      </c>
      <c r="J217">
        <f t="shared" si="22"/>
        <v>0.1206</v>
      </c>
      <c r="L217">
        <f t="shared" si="23"/>
        <v>0.26439338765423237</v>
      </c>
      <c r="P217">
        <f t="shared" si="19"/>
        <v>0.14104214104214105</v>
      </c>
    </row>
    <row r="218" spans="1:16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H218">
        <f t="shared" si="20"/>
        <v>5.3949999999999942E-2</v>
      </c>
      <c r="I218">
        <f t="shared" si="21"/>
        <v>0.11581107030195881</v>
      </c>
      <c r="J218">
        <f t="shared" si="22"/>
        <v>0.1206</v>
      </c>
      <c r="L218">
        <f t="shared" si="23"/>
        <v>0.26439338765423237</v>
      </c>
      <c r="P218">
        <f t="shared" si="19"/>
        <v>0.11504111504111514</v>
      </c>
    </row>
    <row r="219" spans="1:16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H219">
        <f t="shared" si="20"/>
        <v>5.3949999999999942E-2</v>
      </c>
      <c r="I219">
        <f t="shared" si="21"/>
        <v>0.11581107030195881</v>
      </c>
      <c r="J219">
        <f t="shared" si="22"/>
        <v>0.1206</v>
      </c>
      <c r="L219">
        <f t="shared" si="23"/>
        <v>0.26439338765423237</v>
      </c>
      <c r="P219">
        <f t="shared" si="19"/>
        <v>0.20247320247320258</v>
      </c>
    </row>
    <row r="220" spans="1:16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H220">
        <f t="shared" si="20"/>
        <v>5.3949999999999942E-2</v>
      </c>
      <c r="I220">
        <f t="shared" si="21"/>
        <v>0.11581107030195881</v>
      </c>
      <c r="J220">
        <f t="shared" si="22"/>
        <v>0.1206</v>
      </c>
      <c r="L220">
        <f t="shared" si="23"/>
        <v>0.26439338765423237</v>
      </c>
      <c r="P220">
        <f t="shared" si="19"/>
        <v>0.18697818697818702</v>
      </c>
    </row>
    <row r="221" spans="1:16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H221">
        <f t="shared" si="20"/>
        <v>5.3949999999999942E-2</v>
      </c>
      <c r="I221">
        <f t="shared" si="21"/>
        <v>0.11581107030195881</v>
      </c>
      <c r="J221">
        <f t="shared" si="22"/>
        <v>0.1206</v>
      </c>
      <c r="L221">
        <f t="shared" si="23"/>
        <v>0.26439338765423237</v>
      </c>
      <c r="P221">
        <f t="shared" si="19"/>
        <v>0.13763113763113766</v>
      </c>
    </row>
    <row r="222" spans="1:16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H222">
        <f t="shared" si="20"/>
        <v>5.3949999999999942E-2</v>
      </c>
      <c r="I222">
        <f t="shared" si="21"/>
        <v>0.11581107030195881</v>
      </c>
      <c r="J222">
        <f t="shared" si="22"/>
        <v>0.1206</v>
      </c>
      <c r="L222">
        <f t="shared" si="23"/>
        <v>0.26439338765423237</v>
      </c>
      <c r="P222">
        <f t="shared" si="19"/>
        <v>7.3737073737073749E-2</v>
      </c>
    </row>
    <row r="223" spans="1:16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H223">
        <f t="shared" si="20"/>
        <v>5.3949999999999942E-2</v>
      </c>
      <c r="I223">
        <f t="shared" si="21"/>
        <v>0.11581107030195881</v>
      </c>
      <c r="J223">
        <f t="shared" si="22"/>
        <v>0.1206</v>
      </c>
      <c r="L223">
        <f t="shared" si="23"/>
        <v>0.26439338765423237</v>
      </c>
      <c r="P223">
        <f t="shared" si="19"/>
        <v>3.7203037203037234E-2</v>
      </c>
    </row>
    <row r="224" spans="1:16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H224">
        <f t="shared" si="20"/>
        <v>5.3949999999999942E-2</v>
      </c>
      <c r="I224">
        <f t="shared" si="21"/>
        <v>0.11581107030195881</v>
      </c>
      <c r="J224">
        <f t="shared" si="22"/>
        <v>0.1206</v>
      </c>
      <c r="L224">
        <f t="shared" si="23"/>
        <v>0.26439338765423237</v>
      </c>
      <c r="P224">
        <f t="shared" ref="P224:P255" si="24">($F$343-F224)/$F$343</f>
        <v>0.20415020415020416</v>
      </c>
    </row>
    <row r="225" spans="1:16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H225">
        <f t="shared" si="20"/>
        <v>7.5949999999999962E-2</v>
      </c>
      <c r="I225">
        <f t="shared" si="21"/>
        <v>0.13435645706530863</v>
      </c>
      <c r="J225">
        <f t="shared" si="22"/>
        <v>0.11563577999999999</v>
      </c>
      <c r="L225">
        <f t="shared" si="23"/>
        <v>0.29259890357074891</v>
      </c>
      <c r="P225">
        <f t="shared" si="24"/>
        <v>0.19727719727719731</v>
      </c>
    </row>
    <row r="226" spans="1:16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H226">
        <f t="shared" si="20"/>
        <v>7.5949999999999962E-2</v>
      </c>
      <c r="I226">
        <f t="shared" si="21"/>
        <v>0.13435645706530863</v>
      </c>
      <c r="J226">
        <f t="shared" si="22"/>
        <v>0.11563577999999999</v>
      </c>
      <c r="L226">
        <f t="shared" si="23"/>
        <v>0.29259890357074891</v>
      </c>
      <c r="P226">
        <f t="shared" si="24"/>
        <v>2.0073020073020163E-2</v>
      </c>
    </row>
    <row r="227" spans="1:16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H227">
        <f t="shared" si="20"/>
        <v>7.5949999999999962E-2</v>
      </c>
      <c r="I227">
        <f t="shared" si="21"/>
        <v>0.13435645706530863</v>
      </c>
      <c r="J227">
        <f t="shared" si="22"/>
        <v>0.11563577999999999</v>
      </c>
      <c r="L227">
        <f t="shared" si="23"/>
        <v>0.29259890357074891</v>
      </c>
      <c r="P227">
        <f t="shared" si="24"/>
        <v>0.13100113100113109</v>
      </c>
    </row>
    <row r="228" spans="1:16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H228">
        <f t="shared" si="20"/>
        <v>7.5949999999999962E-2</v>
      </c>
      <c r="I228">
        <f t="shared" si="21"/>
        <v>0.13435645706530863</v>
      </c>
      <c r="J228">
        <f t="shared" si="22"/>
        <v>0.11563577999999999</v>
      </c>
      <c r="L228">
        <f t="shared" si="23"/>
        <v>0.29259890357074891</v>
      </c>
      <c r="P228">
        <f t="shared" si="24"/>
        <v>0.20960420960420975</v>
      </c>
    </row>
    <row r="229" spans="1:16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H229">
        <f t="shared" si="20"/>
        <v>7.5949999999999962E-2</v>
      </c>
      <c r="I229">
        <f t="shared" si="21"/>
        <v>0.13435645706530863</v>
      </c>
      <c r="J229">
        <f t="shared" si="22"/>
        <v>0.11563577999999999</v>
      </c>
      <c r="L229">
        <f t="shared" si="23"/>
        <v>0.29259890357074891</v>
      </c>
      <c r="P229">
        <f t="shared" si="24"/>
        <v>9.6078096078096101E-2</v>
      </c>
    </row>
    <row r="230" spans="1:16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H230">
        <f t="shared" si="20"/>
        <v>7.5949999999999962E-2</v>
      </c>
      <c r="I230">
        <f t="shared" si="21"/>
        <v>0.13435645706530863</v>
      </c>
      <c r="J230">
        <f t="shared" si="22"/>
        <v>0.11563577999999999</v>
      </c>
      <c r="L230">
        <f t="shared" si="23"/>
        <v>0.29259890357074891</v>
      </c>
      <c r="P230">
        <f t="shared" si="24"/>
        <v>0.14110214110214123</v>
      </c>
    </row>
    <row r="231" spans="1:16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H231">
        <f t="shared" si="20"/>
        <v>7.5949999999999962E-2</v>
      </c>
      <c r="I231">
        <f t="shared" si="21"/>
        <v>0.13435645706530863</v>
      </c>
      <c r="J231">
        <f t="shared" si="22"/>
        <v>0.11563577999999999</v>
      </c>
      <c r="L231">
        <f t="shared" si="23"/>
        <v>0.29259890357074891</v>
      </c>
      <c r="P231">
        <f t="shared" si="24"/>
        <v>1.4343014343014359E-2</v>
      </c>
    </row>
    <row r="232" spans="1:16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H232">
        <f t="shared" si="20"/>
        <v>7.5949999999999962E-2</v>
      </c>
      <c r="I232">
        <f t="shared" si="21"/>
        <v>0.13435645706530863</v>
      </c>
      <c r="J232">
        <f t="shared" si="22"/>
        <v>0.11563577999999999</v>
      </c>
      <c r="L232">
        <f t="shared" si="23"/>
        <v>0.29259890357074891</v>
      </c>
      <c r="P232">
        <f t="shared" si="24"/>
        <v>0.13047913047913062</v>
      </c>
    </row>
    <row r="233" spans="1:16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H233">
        <f t="shared" si="20"/>
        <v>7.5949999999999962E-2</v>
      </c>
      <c r="I233">
        <f t="shared" si="21"/>
        <v>0.13435645706530863</v>
      </c>
      <c r="J233">
        <f t="shared" si="22"/>
        <v>0.11563577999999999</v>
      </c>
      <c r="L233">
        <f t="shared" si="23"/>
        <v>0.29259890357074891</v>
      </c>
      <c r="P233">
        <f t="shared" si="24"/>
        <v>6.0534060534060692E-2</v>
      </c>
    </row>
    <row r="234" spans="1:16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H234">
        <f t="shared" si="20"/>
        <v>7.5949999999999962E-2</v>
      </c>
      <c r="I234">
        <f t="shared" si="21"/>
        <v>0.13435645706530863</v>
      </c>
      <c r="J234">
        <f t="shared" si="22"/>
        <v>0.11563577999999999</v>
      </c>
      <c r="L234">
        <f t="shared" si="23"/>
        <v>0.29259890357074891</v>
      </c>
      <c r="P234">
        <f t="shared" si="24"/>
        <v>4.8807048807048822E-2</v>
      </c>
    </row>
    <row r="235" spans="1:16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H235">
        <f t="shared" si="20"/>
        <v>7.5949999999999962E-2</v>
      </c>
      <c r="I235">
        <f t="shared" si="21"/>
        <v>0.13435645706530863</v>
      </c>
      <c r="J235">
        <f t="shared" si="22"/>
        <v>0.11563577999999999</v>
      </c>
      <c r="L235">
        <f t="shared" si="23"/>
        <v>0.29259890357074891</v>
      </c>
      <c r="P235">
        <f t="shared" si="24"/>
        <v>0.1012471012471013</v>
      </c>
    </row>
    <row r="236" spans="1:16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H236">
        <f t="shared" si="20"/>
        <v>7.5949999999999962E-2</v>
      </c>
      <c r="I236">
        <f t="shared" si="21"/>
        <v>0.13435645706530863</v>
      </c>
      <c r="J236">
        <f t="shared" si="22"/>
        <v>0.11563577999999999</v>
      </c>
      <c r="L236">
        <f t="shared" si="23"/>
        <v>0.29259890357074891</v>
      </c>
      <c r="P236">
        <f t="shared" si="24"/>
        <v>0.10315210315210319</v>
      </c>
    </row>
    <row r="237" spans="1:16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H237">
        <f t="shared" si="20"/>
        <v>7.3844000000000021E-2</v>
      </c>
      <c r="I237">
        <f t="shared" si="21"/>
        <v>0.13004185449636907</v>
      </c>
      <c r="J237">
        <f t="shared" si="22"/>
        <v>0.11562648</v>
      </c>
      <c r="L237">
        <f t="shared" si="23"/>
        <v>0.28744525931547577</v>
      </c>
      <c r="P237">
        <f t="shared" si="24"/>
        <v>0.17132117132117139</v>
      </c>
    </row>
    <row r="238" spans="1:16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H238">
        <f t="shared" si="20"/>
        <v>7.3844000000000021E-2</v>
      </c>
      <c r="I238">
        <f t="shared" si="21"/>
        <v>0.13004185449636907</v>
      </c>
      <c r="J238">
        <f t="shared" si="22"/>
        <v>0.11562648</v>
      </c>
      <c r="L238">
        <f t="shared" si="23"/>
        <v>0.28744525931547577</v>
      </c>
      <c r="P238">
        <f t="shared" si="24"/>
        <v>0.15905415905415912</v>
      </c>
    </row>
    <row r="239" spans="1:16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H239">
        <f t="shared" si="20"/>
        <v>7.3844000000000021E-2</v>
      </c>
      <c r="I239">
        <f t="shared" si="21"/>
        <v>0.13004185449636907</v>
      </c>
      <c r="J239">
        <f t="shared" si="22"/>
        <v>0.11562648</v>
      </c>
      <c r="L239">
        <f t="shared" si="23"/>
        <v>0.28744525931547577</v>
      </c>
      <c r="P239">
        <f t="shared" si="24"/>
        <v>5.6358056358056359E-2</v>
      </c>
    </row>
    <row r="240" spans="1:16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H240">
        <f t="shared" si="20"/>
        <v>7.3844000000000021E-2</v>
      </c>
      <c r="I240">
        <f t="shared" si="21"/>
        <v>0.13004185449636907</v>
      </c>
      <c r="J240">
        <f t="shared" si="22"/>
        <v>0.11562648</v>
      </c>
      <c r="L240">
        <f t="shared" si="23"/>
        <v>0.28744525931547577</v>
      </c>
      <c r="P240">
        <f t="shared" si="24"/>
        <v>0.19703119703119709</v>
      </c>
    </row>
    <row r="241" spans="1:16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H241">
        <f t="shared" si="20"/>
        <v>7.3844000000000021E-2</v>
      </c>
      <c r="I241">
        <f t="shared" si="21"/>
        <v>0.13004185449636907</v>
      </c>
      <c r="J241">
        <f t="shared" si="22"/>
        <v>0.11562648</v>
      </c>
      <c r="L241">
        <f t="shared" si="23"/>
        <v>0.28744525931547577</v>
      </c>
      <c r="P241">
        <f t="shared" si="24"/>
        <v>0.15677415677415688</v>
      </c>
    </row>
    <row r="242" spans="1:16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H242">
        <f t="shared" si="20"/>
        <v>7.3844000000000021E-2</v>
      </c>
      <c r="I242">
        <f t="shared" si="21"/>
        <v>0.13004185449636907</v>
      </c>
      <c r="J242">
        <f t="shared" si="22"/>
        <v>0.11562648</v>
      </c>
      <c r="L242">
        <f t="shared" si="23"/>
        <v>0.28744525931547577</v>
      </c>
      <c r="P242">
        <f t="shared" si="24"/>
        <v>0.11691611691611702</v>
      </c>
    </row>
    <row r="243" spans="1:16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H243">
        <f t="shared" si="20"/>
        <v>7.3844000000000021E-2</v>
      </c>
      <c r="I243">
        <f t="shared" si="21"/>
        <v>0.13004185449636907</v>
      </c>
      <c r="J243">
        <f t="shared" si="22"/>
        <v>0.11562648</v>
      </c>
      <c r="L243">
        <f t="shared" si="23"/>
        <v>0.28744525931547577</v>
      </c>
      <c r="P243">
        <f t="shared" si="24"/>
        <v>0.14549114549114553</v>
      </c>
    </row>
    <row r="244" spans="1:16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H244">
        <f t="shared" si="20"/>
        <v>7.3844000000000021E-2</v>
      </c>
      <c r="I244">
        <f t="shared" si="21"/>
        <v>0.13004185449636907</v>
      </c>
      <c r="J244">
        <f t="shared" si="22"/>
        <v>0.11562648</v>
      </c>
      <c r="L244">
        <f t="shared" si="23"/>
        <v>0.28744525931547577</v>
      </c>
      <c r="P244">
        <f t="shared" si="24"/>
        <v>0.16092016092016104</v>
      </c>
    </row>
    <row r="245" spans="1:16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H245">
        <f t="shared" si="20"/>
        <v>7.3844000000000021E-2</v>
      </c>
      <c r="I245">
        <f t="shared" si="21"/>
        <v>0.13004185449636907</v>
      </c>
      <c r="J245">
        <f t="shared" si="22"/>
        <v>0.11562648</v>
      </c>
      <c r="L245">
        <f t="shared" si="23"/>
        <v>0.28744525931547577</v>
      </c>
      <c r="P245">
        <f t="shared" si="24"/>
        <v>0.12416112416112415</v>
      </c>
    </row>
    <row r="246" spans="1:16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H246">
        <f t="shared" si="20"/>
        <v>7.3844000000000021E-2</v>
      </c>
      <c r="I246">
        <f t="shared" si="21"/>
        <v>0.13004185449636907</v>
      </c>
      <c r="J246">
        <f t="shared" si="22"/>
        <v>0.11562648</v>
      </c>
      <c r="L246">
        <f t="shared" si="23"/>
        <v>0.28744525931547577</v>
      </c>
      <c r="P246">
        <f t="shared" si="24"/>
        <v>0.11270111270111272</v>
      </c>
    </row>
    <row r="247" spans="1:16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H247">
        <f t="shared" si="20"/>
        <v>7.3844000000000021E-2</v>
      </c>
      <c r="I247">
        <f t="shared" si="21"/>
        <v>0.13004185449636907</v>
      </c>
      <c r="J247">
        <f t="shared" si="22"/>
        <v>0.11562648</v>
      </c>
      <c r="L247">
        <f t="shared" si="23"/>
        <v>0.28744525931547577</v>
      </c>
      <c r="P247">
        <f t="shared" si="24"/>
        <v>0.14176814176814184</v>
      </c>
    </row>
    <row r="248" spans="1:16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H248">
        <f t="shared" si="20"/>
        <v>7.3844000000000021E-2</v>
      </c>
      <c r="I248">
        <f t="shared" si="21"/>
        <v>0.13004185449636907</v>
      </c>
      <c r="J248">
        <f t="shared" si="22"/>
        <v>0.11562648</v>
      </c>
      <c r="L248">
        <f t="shared" si="23"/>
        <v>0.28744525931547577</v>
      </c>
      <c r="P248">
        <f t="shared" si="24"/>
        <v>0.24393324393324403</v>
      </c>
    </row>
    <row r="249" spans="1:16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H249">
        <f t="shared" si="20"/>
        <v>7.3844000000000021E-2</v>
      </c>
      <c r="I249">
        <f t="shared" si="21"/>
        <v>0.13004185449636907</v>
      </c>
      <c r="J249">
        <f t="shared" si="22"/>
        <v>0.11562648</v>
      </c>
      <c r="L249">
        <f t="shared" si="23"/>
        <v>0.28744525931547577</v>
      </c>
      <c r="P249">
        <f t="shared" si="24"/>
        <v>7.855207855207863E-2</v>
      </c>
    </row>
    <row r="250" spans="1:16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H250">
        <f t="shared" si="20"/>
        <v>7.3844000000000021E-2</v>
      </c>
      <c r="I250">
        <f t="shared" si="21"/>
        <v>0.13004185449636907</v>
      </c>
      <c r="J250">
        <f t="shared" si="22"/>
        <v>0.11562648</v>
      </c>
      <c r="L250">
        <f t="shared" si="23"/>
        <v>0.28744525931547577</v>
      </c>
      <c r="P250">
        <f t="shared" si="24"/>
        <v>0.13231213231213243</v>
      </c>
    </row>
    <row r="251" spans="1:16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H251">
        <f t="shared" si="20"/>
        <v>7.3844000000000021E-2</v>
      </c>
      <c r="I251">
        <f t="shared" si="21"/>
        <v>0.13004185449636907</v>
      </c>
      <c r="J251">
        <f t="shared" si="22"/>
        <v>0.11562648</v>
      </c>
      <c r="L251">
        <f t="shared" si="23"/>
        <v>0.28744525931547577</v>
      </c>
      <c r="P251">
        <f t="shared" si="24"/>
        <v>8.1444081444081509E-2</v>
      </c>
    </row>
    <row r="252" spans="1:16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H252">
        <f t="shared" si="20"/>
        <v>7.3844000000000021E-2</v>
      </c>
      <c r="I252">
        <f t="shared" si="21"/>
        <v>0.11819811812296166</v>
      </c>
      <c r="J252">
        <f t="shared" si="22"/>
        <v>0.1186</v>
      </c>
      <c r="L252">
        <f t="shared" si="23"/>
        <v>0.28017286818849851</v>
      </c>
      <c r="P252">
        <f t="shared" si="24"/>
        <v>0.19050319050319059</v>
      </c>
    </row>
    <row r="253" spans="1:16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H253">
        <f t="shared" si="20"/>
        <v>7.3844000000000021E-2</v>
      </c>
      <c r="I253">
        <f t="shared" si="21"/>
        <v>0.11819811812296166</v>
      </c>
      <c r="J253">
        <f t="shared" si="22"/>
        <v>0.1186</v>
      </c>
      <c r="L253">
        <f t="shared" si="23"/>
        <v>0.28017286818849851</v>
      </c>
      <c r="P253">
        <f t="shared" si="24"/>
        <v>0.15411915411915425</v>
      </c>
    </row>
    <row r="254" spans="1:16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H254">
        <f t="shared" si="20"/>
        <v>7.3844000000000021E-2</v>
      </c>
      <c r="I254">
        <f t="shared" si="21"/>
        <v>0.11819811812296166</v>
      </c>
      <c r="J254">
        <f t="shared" si="22"/>
        <v>0.1186</v>
      </c>
      <c r="L254">
        <f t="shared" si="23"/>
        <v>0.28017286818849851</v>
      </c>
      <c r="P254">
        <f t="shared" si="24"/>
        <v>0.27693627693627693</v>
      </c>
    </row>
    <row r="255" spans="1:16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H255">
        <f t="shared" si="20"/>
        <v>7.3844000000000021E-2</v>
      </c>
      <c r="I255">
        <f t="shared" si="21"/>
        <v>0.11819811812296166</v>
      </c>
      <c r="J255">
        <f t="shared" si="22"/>
        <v>0.1186</v>
      </c>
      <c r="L255">
        <f t="shared" si="23"/>
        <v>0.28017286818849851</v>
      </c>
      <c r="P255">
        <f t="shared" si="24"/>
        <v>0.14572514572514586</v>
      </c>
    </row>
    <row r="256" spans="1:16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H256">
        <f t="shared" si="20"/>
        <v>7.3844000000000021E-2</v>
      </c>
      <c r="I256">
        <f t="shared" si="21"/>
        <v>0.11819811812296166</v>
      </c>
      <c r="J256">
        <f t="shared" si="22"/>
        <v>0.1186</v>
      </c>
      <c r="L256">
        <f t="shared" si="23"/>
        <v>0.28017286818849851</v>
      </c>
      <c r="P256">
        <f t="shared" ref="P256:P287" si="25">($F$343-F256)/$F$343</f>
        <v>0.10215010215010217</v>
      </c>
    </row>
    <row r="257" spans="1:16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H257">
        <f t="shared" si="20"/>
        <v>7.3844000000000021E-2</v>
      </c>
      <c r="I257">
        <f t="shared" si="21"/>
        <v>0.11819811812296166</v>
      </c>
      <c r="J257">
        <f t="shared" si="22"/>
        <v>0.1186</v>
      </c>
      <c r="L257">
        <f t="shared" si="23"/>
        <v>0.28017286818849851</v>
      </c>
      <c r="P257">
        <f t="shared" si="25"/>
        <v>0.15085515085515092</v>
      </c>
    </row>
    <row r="258" spans="1:16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H258">
        <f t="shared" si="20"/>
        <v>7.3844000000000021E-2</v>
      </c>
      <c r="I258">
        <f t="shared" si="21"/>
        <v>0.11819811812296166</v>
      </c>
      <c r="J258">
        <f t="shared" si="22"/>
        <v>0.1186</v>
      </c>
      <c r="L258">
        <f t="shared" si="23"/>
        <v>0.28017286818849851</v>
      </c>
      <c r="P258">
        <f t="shared" si="25"/>
        <v>0.1175791175791177</v>
      </c>
    </row>
    <row r="259" spans="1:16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H259">
        <f t="shared" ref="H259:H322" si="26">0.0034*C259^2-0.152*C259+1.7411</f>
        <v>7.3844000000000021E-2</v>
      </c>
      <c r="I259">
        <f t="shared" ref="I259:I322" si="27">2.6805*D259^2-42.226*D259+166.39</f>
        <v>0.11819811812296166</v>
      </c>
      <c r="J259">
        <f t="shared" ref="J259:J322" si="28">0.0002*E259^2-0.001*E259+0.1158</f>
        <v>0.1186</v>
      </c>
      <c r="L259">
        <f t="shared" ref="L259:L322" si="29">SUM(H259:J259)-H259*I259-H259*J259-I259*J259+H259*I259*J259</f>
        <v>0.28017286818849851</v>
      </c>
      <c r="P259">
        <f t="shared" si="25"/>
        <v>0.18104718104718118</v>
      </c>
    </row>
    <row r="260" spans="1:16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H260">
        <f t="shared" si="26"/>
        <v>7.3844000000000021E-2</v>
      </c>
      <c r="I260">
        <f t="shared" si="27"/>
        <v>0.11819811812296166</v>
      </c>
      <c r="J260">
        <f t="shared" si="28"/>
        <v>0.1186</v>
      </c>
      <c r="L260">
        <f t="shared" si="29"/>
        <v>0.28017286818849851</v>
      </c>
      <c r="P260">
        <f t="shared" si="25"/>
        <v>7.0062070062070186E-2</v>
      </c>
    </row>
    <row r="261" spans="1:16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H261">
        <f t="shared" si="26"/>
        <v>7.3844000000000021E-2</v>
      </c>
      <c r="I261">
        <f t="shared" si="27"/>
        <v>0.11819811812296166</v>
      </c>
      <c r="J261">
        <f t="shared" si="28"/>
        <v>0.1186</v>
      </c>
      <c r="L261">
        <f t="shared" si="29"/>
        <v>0.28017286818849851</v>
      </c>
      <c r="P261">
        <f t="shared" si="25"/>
        <v>7.4181074181074266E-2</v>
      </c>
    </row>
    <row r="262" spans="1:16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H262">
        <f t="shared" si="26"/>
        <v>7.3844000000000021E-2</v>
      </c>
      <c r="I262">
        <f t="shared" si="27"/>
        <v>0.11819811812296166</v>
      </c>
      <c r="J262">
        <f t="shared" si="28"/>
        <v>0.1186</v>
      </c>
      <c r="L262">
        <f t="shared" si="29"/>
        <v>0.28017286818849851</v>
      </c>
      <c r="P262">
        <f t="shared" si="25"/>
        <v>0.14717714717714725</v>
      </c>
    </row>
    <row r="263" spans="1:16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H263">
        <f t="shared" si="26"/>
        <v>7.1805999999999814E-2</v>
      </c>
      <c r="I263">
        <f t="shared" si="27"/>
        <v>0.11921279751382485</v>
      </c>
      <c r="J263">
        <f t="shared" si="28"/>
        <v>0.1186</v>
      </c>
      <c r="L263">
        <f t="shared" si="29"/>
        <v>0.27941901301520705</v>
      </c>
      <c r="P263">
        <f t="shared" si="25"/>
        <v>7.3629073629073644E-2</v>
      </c>
    </row>
    <row r="264" spans="1:16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H264">
        <f t="shared" si="26"/>
        <v>7.1805999999999814E-2</v>
      </c>
      <c r="I264">
        <f t="shared" si="27"/>
        <v>0.11921279751382485</v>
      </c>
      <c r="J264">
        <f t="shared" si="28"/>
        <v>0.1186</v>
      </c>
      <c r="L264">
        <f t="shared" si="29"/>
        <v>0.27941901301520705</v>
      </c>
      <c r="P264">
        <f t="shared" si="25"/>
        <v>0.13739713739713749</v>
      </c>
    </row>
    <row r="265" spans="1:16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H265">
        <f t="shared" si="26"/>
        <v>7.1805999999999814E-2</v>
      </c>
      <c r="I265">
        <f t="shared" si="27"/>
        <v>0.11921279751382485</v>
      </c>
      <c r="J265">
        <f t="shared" si="28"/>
        <v>0.1186</v>
      </c>
      <c r="L265">
        <f t="shared" si="29"/>
        <v>0.27941901301520705</v>
      </c>
      <c r="P265">
        <f t="shared" si="25"/>
        <v>8.94750894750896E-2</v>
      </c>
    </row>
    <row r="266" spans="1:16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H266">
        <f t="shared" si="26"/>
        <v>7.1805999999999814E-2</v>
      </c>
      <c r="I266">
        <f t="shared" si="27"/>
        <v>0.11921279751382485</v>
      </c>
      <c r="J266">
        <f t="shared" si="28"/>
        <v>0.1186</v>
      </c>
      <c r="L266">
        <f t="shared" si="29"/>
        <v>0.27941901301520705</v>
      </c>
      <c r="P266">
        <f t="shared" si="25"/>
        <v>0.12066312066312067</v>
      </c>
    </row>
    <row r="267" spans="1:16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H267">
        <f t="shared" si="26"/>
        <v>7.1805999999999814E-2</v>
      </c>
      <c r="I267">
        <f t="shared" si="27"/>
        <v>0.11921279751382485</v>
      </c>
      <c r="J267">
        <f t="shared" si="28"/>
        <v>0.1186</v>
      </c>
      <c r="L267">
        <f t="shared" si="29"/>
        <v>0.27941901301520705</v>
      </c>
      <c r="P267">
        <f t="shared" si="25"/>
        <v>0.2465672465672466</v>
      </c>
    </row>
    <row r="268" spans="1:16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H268">
        <f t="shared" si="26"/>
        <v>7.1805999999999814E-2</v>
      </c>
      <c r="I268">
        <f t="shared" si="27"/>
        <v>0.11921279751382485</v>
      </c>
      <c r="J268">
        <f t="shared" si="28"/>
        <v>0.1186</v>
      </c>
      <c r="L268">
        <f t="shared" si="29"/>
        <v>0.27941901301520705</v>
      </c>
      <c r="P268">
        <f t="shared" si="25"/>
        <v>0.15322815322815328</v>
      </c>
    </row>
    <row r="269" spans="1:16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H269">
        <f t="shared" si="26"/>
        <v>7.1805999999999814E-2</v>
      </c>
      <c r="I269">
        <f t="shared" si="27"/>
        <v>0.11921279751382485</v>
      </c>
      <c r="J269">
        <f t="shared" si="28"/>
        <v>0.1186</v>
      </c>
      <c r="L269">
        <f t="shared" si="29"/>
        <v>0.27941901301520705</v>
      </c>
      <c r="P269">
        <f t="shared" si="25"/>
        <v>0.26970926970926973</v>
      </c>
    </row>
    <row r="270" spans="1:16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H270">
        <f t="shared" si="26"/>
        <v>7.1805999999999814E-2</v>
      </c>
      <c r="I270">
        <f t="shared" si="27"/>
        <v>0.11921279751382485</v>
      </c>
      <c r="J270">
        <f t="shared" si="28"/>
        <v>0.1186</v>
      </c>
      <c r="L270">
        <f t="shared" si="29"/>
        <v>0.27941901301520705</v>
      </c>
      <c r="P270">
        <f t="shared" si="25"/>
        <v>0.15381915381915387</v>
      </c>
    </row>
    <row r="271" spans="1:16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H271">
        <f t="shared" si="26"/>
        <v>4.9454000000000109E-2</v>
      </c>
      <c r="I271">
        <f t="shared" si="27"/>
        <v>0.11312149358485613</v>
      </c>
      <c r="J271">
        <f t="shared" si="28"/>
        <v>0.11562648</v>
      </c>
      <c r="L271">
        <f t="shared" si="29"/>
        <v>0.25445648159670609</v>
      </c>
      <c r="P271">
        <f t="shared" si="25"/>
        <v>0.25558525558525569</v>
      </c>
    </row>
    <row r="272" spans="1:16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H272">
        <f t="shared" si="26"/>
        <v>4.9454000000000109E-2</v>
      </c>
      <c r="I272">
        <f t="shared" si="27"/>
        <v>0.11312149358485613</v>
      </c>
      <c r="J272">
        <f t="shared" si="28"/>
        <v>0.11562648</v>
      </c>
      <c r="L272">
        <f t="shared" si="29"/>
        <v>0.25445648159670609</v>
      </c>
      <c r="P272">
        <f t="shared" si="25"/>
        <v>0.23082323082323089</v>
      </c>
    </row>
    <row r="273" spans="1:16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H273">
        <f t="shared" si="26"/>
        <v>4.9454000000000109E-2</v>
      </c>
      <c r="I273">
        <f t="shared" si="27"/>
        <v>0.11312149358485613</v>
      </c>
      <c r="J273">
        <f t="shared" si="28"/>
        <v>0.11562648</v>
      </c>
      <c r="L273">
        <f t="shared" si="29"/>
        <v>0.25445648159670609</v>
      </c>
      <c r="P273">
        <f t="shared" si="25"/>
        <v>0.20715320715320726</v>
      </c>
    </row>
    <row r="274" spans="1:16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H274">
        <f t="shared" si="26"/>
        <v>4.9454000000000109E-2</v>
      </c>
      <c r="I274">
        <f t="shared" si="27"/>
        <v>0.11312149358485613</v>
      </c>
      <c r="J274">
        <f t="shared" si="28"/>
        <v>0.11562648</v>
      </c>
      <c r="L274">
        <f t="shared" si="29"/>
        <v>0.25445648159670609</v>
      </c>
      <c r="P274">
        <f t="shared" si="25"/>
        <v>0.22769122769122782</v>
      </c>
    </row>
    <row r="275" spans="1:16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H275">
        <f t="shared" si="26"/>
        <v>4.9454000000000109E-2</v>
      </c>
      <c r="I275">
        <f t="shared" si="27"/>
        <v>0.11312149358485613</v>
      </c>
      <c r="J275">
        <f t="shared" si="28"/>
        <v>0.11562648</v>
      </c>
      <c r="L275">
        <f t="shared" si="29"/>
        <v>0.25445648159670609</v>
      </c>
      <c r="P275">
        <f t="shared" si="25"/>
        <v>0.22735822735822733</v>
      </c>
    </row>
    <row r="276" spans="1:16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H276">
        <f t="shared" si="26"/>
        <v>4.9454000000000109E-2</v>
      </c>
      <c r="I276">
        <f t="shared" si="27"/>
        <v>0.11312149358485613</v>
      </c>
      <c r="J276">
        <f t="shared" si="28"/>
        <v>0.11562648</v>
      </c>
      <c r="L276">
        <f t="shared" si="29"/>
        <v>0.25445648159670609</v>
      </c>
      <c r="P276">
        <f t="shared" si="25"/>
        <v>0.22098022098022105</v>
      </c>
    </row>
    <row r="277" spans="1:16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H277">
        <f t="shared" si="26"/>
        <v>4.9454000000000109E-2</v>
      </c>
      <c r="I277">
        <f t="shared" si="27"/>
        <v>0.11312149358485613</v>
      </c>
      <c r="J277">
        <f t="shared" si="28"/>
        <v>0.11562648</v>
      </c>
      <c r="L277">
        <f t="shared" si="29"/>
        <v>0.25445648159670609</v>
      </c>
      <c r="P277">
        <f t="shared" si="25"/>
        <v>0.23842223842223853</v>
      </c>
    </row>
    <row r="278" spans="1:16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H278">
        <f t="shared" si="26"/>
        <v>4.9454000000000109E-2</v>
      </c>
      <c r="I278">
        <f t="shared" si="27"/>
        <v>0.11312149358485613</v>
      </c>
      <c r="J278">
        <f t="shared" si="28"/>
        <v>0.11562648</v>
      </c>
      <c r="L278">
        <f t="shared" si="29"/>
        <v>0.25445648159670609</v>
      </c>
      <c r="P278">
        <f t="shared" si="25"/>
        <v>0.22718122718122727</v>
      </c>
    </row>
    <row r="279" spans="1:16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H279">
        <f t="shared" si="26"/>
        <v>4.9454000000000109E-2</v>
      </c>
      <c r="I279">
        <f t="shared" si="27"/>
        <v>0.11312149358485613</v>
      </c>
      <c r="J279">
        <f t="shared" si="28"/>
        <v>0.11562648</v>
      </c>
      <c r="L279">
        <f t="shared" si="29"/>
        <v>0.25445648159670609</v>
      </c>
      <c r="P279">
        <f t="shared" si="25"/>
        <v>0.2756972756972757</v>
      </c>
    </row>
    <row r="280" spans="1:16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H280">
        <f t="shared" si="26"/>
        <v>5.1566000000000001E-2</v>
      </c>
      <c r="I280">
        <f t="shared" si="27"/>
        <v>0.11734310721453767</v>
      </c>
      <c r="J280">
        <f t="shared" si="28"/>
        <v>0.11562648</v>
      </c>
      <c r="L280">
        <f t="shared" si="29"/>
        <v>0.25965395300443544</v>
      </c>
      <c r="P280">
        <f t="shared" si="25"/>
        <v>0.11672411672411676</v>
      </c>
    </row>
    <row r="281" spans="1:16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H281">
        <f t="shared" si="26"/>
        <v>5.1566000000000001E-2</v>
      </c>
      <c r="I281">
        <f t="shared" si="27"/>
        <v>0.11734310721453767</v>
      </c>
      <c r="J281">
        <f t="shared" si="28"/>
        <v>0.11562648</v>
      </c>
      <c r="L281">
        <f t="shared" si="29"/>
        <v>0.25965395300443544</v>
      </c>
      <c r="P281">
        <f t="shared" si="25"/>
        <v>0.11248811248811259</v>
      </c>
    </row>
    <row r="282" spans="1:16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H282">
        <f t="shared" si="26"/>
        <v>5.1566000000000001E-2</v>
      </c>
      <c r="I282">
        <f t="shared" si="27"/>
        <v>0.11734310721453767</v>
      </c>
      <c r="J282">
        <f t="shared" si="28"/>
        <v>0.11562648</v>
      </c>
      <c r="L282">
        <f t="shared" si="29"/>
        <v>0.25965395300443544</v>
      </c>
      <c r="P282">
        <f t="shared" si="25"/>
        <v>0.10500610500610502</v>
      </c>
    </row>
    <row r="283" spans="1:16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H283">
        <f t="shared" si="26"/>
        <v>5.1566000000000001E-2</v>
      </c>
      <c r="I283">
        <f t="shared" si="27"/>
        <v>0.11734310721453767</v>
      </c>
      <c r="J283">
        <f t="shared" si="28"/>
        <v>0.11562648</v>
      </c>
      <c r="L283">
        <f t="shared" si="29"/>
        <v>0.25965395300443544</v>
      </c>
      <c r="P283">
        <f t="shared" si="25"/>
        <v>6.7614067614067644E-2</v>
      </c>
    </row>
    <row r="284" spans="1:16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H284">
        <f t="shared" si="26"/>
        <v>5.1566000000000001E-2</v>
      </c>
      <c r="I284">
        <f t="shared" si="27"/>
        <v>0.11734310721453767</v>
      </c>
      <c r="J284">
        <f t="shared" si="28"/>
        <v>0.11562648</v>
      </c>
      <c r="L284">
        <f t="shared" si="29"/>
        <v>0.25965395300443544</v>
      </c>
      <c r="P284">
        <f t="shared" si="25"/>
        <v>9.0486090486090576E-2</v>
      </c>
    </row>
    <row r="285" spans="1:16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H285">
        <f t="shared" si="26"/>
        <v>5.1566000000000001E-2</v>
      </c>
      <c r="I285">
        <f t="shared" si="27"/>
        <v>0.11734310721453767</v>
      </c>
      <c r="J285">
        <f t="shared" si="28"/>
        <v>0.11562648</v>
      </c>
      <c r="L285">
        <f t="shared" si="29"/>
        <v>0.25965395300443544</v>
      </c>
      <c r="P285">
        <f t="shared" si="25"/>
        <v>9.0402090402090435E-2</v>
      </c>
    </row>
    <row r="286" spans="1:16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H286">
        <f t="shared" si="26"/>
        <v>5.1566000000000001E-2</v>
      </c>
      <c r="I286">
        <f t="shared" si="27"/>
        <v>0.11734310721453767</v>
      </c>
      <c r="J286">
        <f t="shared" si="28"/>
        <v>0.11562648</v>
      </c>
      <c r="L286">
        <f t="shared" si="29"/>
        <v>0.25965395300443544</v>
      </c>
      <c r="P286">
        <f t="shared" si="25"/>
        <v>0.14240414240414245</v>
      </c>
    </row>
    <row r="287" spans="1:16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H287">
        <f t="shared" si="26"/>
        <v>5.1566000000000001E-2</v>
      </c>
      <c r="I287">
        <f t="shared" si="27"/>
        <v>0.11734310721453767</v>
      </c>
      <c r="J287">
        <f t="shared" si="28"/>
        <v>0.11562648</v>
      </c>
      <c r="L287">
        <f t="shared" si="29"/>
        <v>0.25965395300443544</v>
      </c>
      <c r="P287">
        <f t="shared" si="25"/>
        <v>0.10371610371610372</v>
      </c>
    </row>
    <row r="288" spans="1:16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H288">
        <f t="shared" si="26"/>
        <v>5.1566000000000001E-2</v>
      </c>
      <c r="I288">
        <f t="shared" si="27"/>
        <v>0.11734310721453767</v>
      </c>
      <c r="J288">
        <f t="shared" si="28"/>
        <v>0.11562648</v>
      </c>
      <c r="L288">
        <f t="shared" si="29"/>
        <v>0.25965395300443544</v>
      </c>
      <c r="P288">
        <f t="shared" ref="P288:P319" si="30">($F$343-F288)/$F$343</f>
        <v>8.8428088428088414E-2</v>
      </c>
    </row>
    <row r="289" spans="1:16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H289">
        <f t="shared" si="26"/>
        <v>5.1566000000000001E-2</v>
      </c>
      <c r="I289">
        <f t="shared" si="27"/>
        <v>0.11734310721453767</v>
      </c>
      <c r="J289">
        <f t="shared" si="28"/>
        <v>0.11562648</v>
      </c>
      <c r="L289">
        <f t="shared" si="29"/>
        <v>0.25965395300443544</v>
      </c>
      <c r="P289">
        <f t="shared" si="30"/>
        <v>9.7842097842097936E-2</v>
      </c>
    </row>
    <row r="290" spans="1:16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H290">
        <f t="shared" si="26"/>
        <v>5.0476000000000187E-2</v>
      </c>
      <c r="I290">
        <f t="shared" si="27"/>
        <v>0.19670463881118394</v>
      </c>
      <c r="J290">
        <f t="shared" si="28"/>
        <v>0.1186</v>
      </c>
      <c r="L290">
        <f t="shared" si="29"/>
        <v>0.3277137148926923</v>
      </c>
      <c r="P290">
        <f t="shared" si="30"/>
        <v>0.20388920388920395</v>
      </c>
    </row>
    <row r="291" spans="1:16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H291">
        <f t="shared" si="26"/>
        <v>5.0476000000000187E-2</v>
      </c>
      <c r="I291">
        <f t="shared" si="27"/>
        <v>0.19670463881118394</v>
      </c>
      <c r="J291">
        <f t="shared" si="28"/>
        <v>0.1186</v>
      </c>
      <c r="L291">
        <f t="shared" si="29"/>
        <v>0.3277137148926923</v>
      </c>
      <c r="P291">
        <f t="shared" si="30"/>
        <v>0.11933711933711949</v>
      </c>
    </row>
    <row r="292" spans="1:16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H292">
        <f t="shared" si="26"/>
        <v>5.0476000000000187E-2</v>
      </c>
      <c r="I292">
        <f t="shared" si="27"/>
        <v>0.19670463881118394</v>
      </c>
      <c r="J292">
        <f t="shared" si="28"/>
        <v>0.1186</v>
      </c>
      <c r="L292">
        <f t="shared" si="29"/>
        <v>0.3277137148926923</v>
      </c>
      <c r="P292">
        <f t="shared" si="30"/>
        <v>0.14784014784014793</v>
      </c>
    </row>
    <row r="293" spans="1:16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H293">
        <f t="shared" si="26"/>
        <v>5.0476000000000187E-2</v>
      </c>
      <c r="I293">
        <f t="shared" si="27"/>
        <v>0.19670463881118394</v>
      </c>
      <c r="J293">
        <f t="shared" si="28"/>
        <v>0.1186</v>
      </c>
      <c r="L293">
        <f t="shared" si="29"/>
        <v>0.3277137148926923</v>
      </c>
      <c r="P293">
        <f t="shared" si="30"/>
        <v>9.933009933009937E-2</v>
      </c>
    </row>
    <row r="294" spans="1:16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H294">
        <f t="shared" si="26"/>
        <v>5.0476000000000187E-2</v>
      </c>
      <c r="I294">
        <f t="shared" si="27"/>
        <v>0.19670463881118394</v>
      </c>
      <c r="J294">
        <f t="shared" si="28"/>
        <v>0.1186</v>
      </c>
      <c r="L294">
        <f t="shared" si="29"/>
        <v>0.3277137148926923</v>
      </c>
      <c r="P294">
        <f t="shared" si="30"/>
        <v>6.1533061533061602E-2</v>
      </c>
    </row>
    <row r="295" spans="1:16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H295">
        <f t="shared" si="26"/>
        <v>5.0476000000000187E-2</v>
      </c>
      <c r="I295">
        <f t="shared" si="27"/>
        <v>0.19670463881118394</v>
      </c>
      <c r="J295">
        <f t="shared" si="28"/>
        <v>0.1186</v>
      </c>
      <c r="L295">
        <f t="shared" si="29"/>
        <v>0.3277137148926923</v>
      </c>
      <c r="P295">
        <f t="shared" si="30"/>
        <v>5.2374052374052453E-2</v>
      </c>
    </row>
    <row r="296" spans="1:16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H296">
        <f t="shared" si="26"/>
        <v>5.3949999999999942E-2</v>
      </c>
      <c r="I296">
        <f t="shared" si="27"/>
        <v>0.19670463881118394</v>
      </c>
      <c r="J296">
        <f t="shared" si="28"/>
        <v>0.1206</v>
      </c>
      <c r="L296">
        <f t="shared" si="29"/>
        <v>0.33169330726751367</v>
      </c>
      <c r="P296">
        <f t="shared" si="30"/>
        <v>0.11134211134211143</v>
      </c>
    </row>
    <row r="297" spans="1:16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H297">
        <f t="shared" si="26"/>
        <v>5.3949999999999942E-2</v>
      </c>
      <c r="I297">
        <f t="shared" si="27"/>
        <v>0.19670463881118394</v>
      </c>
      <c r="J297">
        <f t="shared" si="28"/>
        <v>0.1206</v>
      </c>
      <c r="L297">
        <f t="shared" si="29"/>
        <v>0.33169330726751367</v>
      </c>
      <c r="P297">
        <f t="shared" si="30"/>
        <v>0.10250410250410251</v>
      </c>
    </row>
    <row r="298" spans="1:16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H298">
        <f t="shared" si="26"/>
        <v>5.3949999999999942E-2</v>
      </c>
      <c r="I298">
        <f t="shared" si="27"/>
        <v>0.19670463881118394</v>
      </c>
      <c r="J298">
        <f t="shared" si="28"/>
        <v>0.1206</v>
      </c>
      <c r="L298">
        <f t="shared" si="29"/>
        <v>0.33169330726751367</v>
      </c>
      <c r="P298">
        <f t="shared" si="30"/>
        <v>0.18879918879918894</v>
      </c>
    </row>
    <row r="299" spans="1:16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H299">
        <f t="shared" si="26"/>
        <v>5.3949999999999942E-2</v>
      </c>
      <c r="I299">
        <f t="shared" si="27"/>
        <v>0.19670463881118394</v>
      </c>
      <c r="J299">
        <f t="shared" si="28"/>
        <v>0.1206</v>
      </c>
      <c r="L299">
        <f t="shared" si="29"/>
        <v>0.33169330726751367</v>
      </c>
      <c r="P299">
        <f t="shared" si="30"/>
        <v>0.22381822381822394</v>
      </c>
    </row>
    <row r="300" spans="1:16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H300">
        <f t="shared" si="26"/>
        <v>5.3949999999999942E-2</v>
      </c>
      <c r="I300">
        <f t="shared" si="27"/>
        <v>0.19670463881118394</v>
      </c>
      <c r="J300">
        <f t="shared" si="28"/>
        <v>0.1206</v>
      </c>
      <c r="L300">
        <f t="shared" si="29"/>
        <v>0.33169330726751367</v>
      </c>
      <c r="P300">
        <f t="shared" si="30"/>
        <v>0.18609018609018615</v>
      </c>
    </row>
    <row r="301" spans="1:16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H301">
        <f t="shared" si="26"/>
        <v>5.3949999999999942E-2</v>
      </c>
      <c r="I301">
        <f t="shared" si="27"/>
        <v>0.19670463881118394</v>
      </c>
      <c r="J301">
        <f t="shared" si="28"/>
        <v>0.1206</v>
      </c>
      <c r="L301">
        <f t="shared" si="29"/>
        <v>0.33169330726751367</v>
      </c>
      <c r="P301">
        <f t="shared" si="30"/>
        <v>0.21418221418221417</v>
      </c>
    </row>
    <row r="302" spans="1:16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H302">
        <f t="shared" si="26"/>
        <v>5.3949999999999942E-2</v>
      </c>
      <c r="I302">
        <f t="shared" si="27"/>
        <v>0.19670463881118394</v>
      </c>
      <c r="J302">
        <f t="shared" si="28"/>
        <v>0.1206</v>
      </c>
      <c r="L302">
        <f t="shared" si="29"/>
        <v>0.33169330726751367</v>
      </c>
      <c r="P302">
        <f t="shared" si="30"/>
        <v>7.2501072501072586E-2</v>
      </c>
    </row>
    <row r="303" spans="1:16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H303">
        <f t="shared" si="26"/>
        <v>7.5949999999999962E-2</v>
      </c>
      <c r="I303">
        <f t="shared" si="27"/>
        <v>0.11597307428979775</v>
      </c>
      <c r="J303">
        <f t="shared" si="28"/>
        <v>0.11562648</v>
      </c>
      <c r="L303">
        <f t="shared" si="29"/>
        <v>0.27756846574363497</v>
      </c>
      <c r="P303">
        <f t="shared" si="30"/>
        <v>2.9700029700043614E-4</v>
      </c>
    </row>
    <row r="304" spans="1:16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H304">
        <f t="shared" si="26"/>
        <v>7.5949999999999962E-2</v>
      </c>
      <c r="I304">
        <f t="shared" si="27"/>
        <v>0.11597307428979775</v>
      </c>
      <c r="J304">
        <f t="shared" si="28"/>
        <v>0.11562648</v>
      </c>
      <c r="L304">
        <f t="shared" si="29"/>
        <v>0.27756846574363497</v>
      </c>
      <c r="P304">
        <f t="shared" si="30"/>
        <v>4.6170046170047486E-3</v>
      </c>
    </row>
    <row r="305" spans="1:16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H305">
        <f t="shared" si="26"/>
        <v>7.5949999999999962E-2</v>
      </c>
      <c r="I305">
        <f t="shared" si="27"/>
        <v>0.11597307428979775</v>
      </c>
      <c r="J305">
        <f t="shared" si="28"/>
        <v>0.11562648</v>
      </c>
      <c r="L305">
        <f t="shared" si="29"/>
        <v>0.27756846574363497</v>
      </c>
      <c r="P305">
        <f t="shared" si="30"/>
        <v>0.15562515562515561</v>
      </c>
    </row>
    <row r="306" spans="1:16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H306">
        <f t="shared" si="26"/>
        <v>7.5949999999999962E-2</v>
      </c>
      <c r="I306">
        <f t="shared" si="27"/>
        <v>0.11597307428979775</v>
      </c>
      <c r="J306">
        <f t="shared" si="28"/>
        <v>0.11562648</v>
      </c>
      <c r="L306">
        <f t="shared" si="29"/>
        <v>0.27756846574363497</v>
      </c>
      <c r="P306">
        <f t="shared" si="30"/>
        <v>0.19969219969219973</v>
      </c>
    </row>
    <row r="307" spans="1:16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H307">
        <f t="shared" si="26"/>
        <v>7.5949999999999962E-2</v>
      </c>
      <c r="I307">
        <f t="shared" si="27"/>
        <v>0.11597307428979775</v>
      </c>
      <c r="J307">
        <f t="shared" si="28"/>
        <v>0.11562648</v>
      </c>
      <c r="L307">
        <f t="shared" si="29"/>
        <v>0.27756846574363497</v>
      </c>
      <c r="P307">
        <f t="shared" si="30"/>
        <v>0.12656412656412669</v>
      </c>
    </row>
    <row r="308" spans="1:16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H308">
        <f t="shared" si="26"/>
        <v>7.5949999999999962E-2</v>
      </c>
      <c r="I308">
        <f t="shared" si="27"/>
        <v>0.11597307428979775</v>
      </c>
      <c r="J308">
        <f t="shared" si="28"/>
        <v>0.11562648</v>
      </c>
      <c r="L308">
        <f t="shared" si="29"/>
        <v>0.27756846574363497</v>
      </c>
      <c r="P308">
        <f t="shared" si="30"/>
        <v>8.4090084090084172E-2</v>
      </c>
    </row>
    <row r="309" spans="1:16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H309">
        <f t="shared" si="26"/>
        <v>7.5949999999999962E-2</v>
      </c>
      <c r="I309">
        <f t="shared" si="27"/>
        <v>0.11597307428979775</v>
      </c>
      <c r="J309">
        <f t="shared" si="28"/>
        <v>0.11562648</v>
      </c>
      <c r="L309">
        <f t="shared" si="29"/>
        <v>0.27756846574363497</v>
      </c>
      <c r="P309">
        <f t="shared" si="30"/>
        <v>9.4743094743094794E-2</v>
      </c>
    </row>
    <row r="310" spans="1:16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H310">
        <f t="shared" si="26"/>
        <v>7.5949999999999962E-2</v>
      </c>
      <c r="I310">
        <f t="shared" si="27"/>
        <v>0.11597307428979775</v>
      </c>
      <c r="J310">
        <f t="shared" si="28"/>
        <v>0.11562648</v>
      </c>
      <c r="L310">
        <f t="shared" si="29"/>
        <v>0.27756846574363497</v>
      </c>
      <c r="P310">
        <f t="shared" si="30"/>
        <v>9.5298095298095353E-2</v>
      </c>
    </row>
    <row r="311" spans="1:16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H311">
        <f t="shared" si="26"/>
        <v>7.5949999999999962E-2</v>
      </c>
      <c r="I311">
        <f t="shared" si="27"/>
        <v>0.11597307428979775</v>
      </c>
      <c r="J311">
        <f t="shared" si="28"/>
        <v>0.11562648</v>
      </c>
      <c r="L311">
        <f t="shared" si="29"/>
        <v>0.27756846574363497</v>
      </c>
      <c r="P311">
        <f t="shared" si="30"/>
        <v>0</v>
      </c>
    </row>
    <row r="312" spans="1:16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H312">
        <f t="shared" si="26"/>
        <v>7.5949999999999962E-2</v>
      </c>
      <c r="I312">
        <f t="shared" si="27"/>
        <v>0.11597307428979775</v>
      </c>
      <c r="J312">
        <f t="shared" si="28"/>
        <v>0.11562648</v>
      </c>
      <c r="L312">
        <f t="shared" si="29"/>
        <v>0.27756846574363497</v>
      </c>
      <c r="P312">
        <f t="shared" si="30"/>
        <v>0.12028212028212043</v>
      </c>
    </row>
    <row r="313" spans="1:16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H313">
        <f t="shared" si="26"/>
        <v>7.8124000000000526E-2</v>
      </c>
      <c r="I313">
        <f t="shared" si="27"/>
        <v>0.11354251809726179</v>
      </c>
      <c r="J313">
        <f t="shared" si="28"/>
        <v>0.11562648</v>
      </c>
      <c r="L313">
        <f t="shared" si="29"/>
        <v>0.27728653022111754</v>
      </c>
      <c r="P313">
        <f t="shared" si="30"/>
        <v>0.21714321714321722</v>
      </c>
    </row>
    <row r="314" spans="1:16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H314">
        <f t="shared" si="26"/>
        <v>7.8124000000000526E-2</v>
      </c>
      <c r="I314">
        <f t="shared" si="27"/>
        <v>0.11354251809726179</v>
      </c>
      <c r="J314">
        <f t="shared" si="28"/>
        <v>0.11562648</v>
      </c>
      <c r="L314">
        <f t="shared" si="29"/>
        <v>0.27728653022111754</v>
      </c>
      <c r="P314">
        <f t="shared" si="30"/>
        <v>0.15693315693315701</v>
      </c>
    </row>
    <row r="315" spans="1:16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H315">
        <f t="shared" si="26"/>
        <v>7.8124000000000526E-2</v>
      </c>
      <c r="I315">
        <f t="shared" si="27"/>
        <v>0.11354251809726179</v>
      </c>
      <c r="J315">
        <f t="shared" si="28"/>
        <v>0.11562648</v>
      </c>
      <c r="L315">
        <f t="shared" si="29"/>
        <v>0.27728653022111754</v>
      </c>
      <c r="P315">
        <f t="shared" si="30"/>
        <v>0.22968922968922981</v>
      </c>
    </row>
    <row r="316" spans="1:16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H316">
        <f t="shared" si="26"/>
        <v>7.8124000000000526E-2</v>
      </c>
      <c r="I316">
        <f t="shared" si="27"/>
        <v>0.11354251809726179</v>
      </c>
      <c r="J316">
        <f t="shared" si="28"/>
        <v>0.11562648</v>
      </c>
      <c r="L316">
        <f t="shared" si="29"/>
        <v>0.27728653022111754</v>
      </c>
      <c r="P316">
        <f t="shared" si="30"/>
        <v>0.17288717288717292</v>
      </c>
    </row>
    <row r="317" spans="1:16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H317">
        <f t="shared" si="26"/>
        <v>7.8124000000000526E-2</v>
      </c>
      <c r="I317">
        <f t="shared" si="27"/>
        <v>0.11354251809726179</v>
      </c>
      <c r="J317">
        <f t="shared" si="28"/>
        <v>0.11562648</v>
      </c>
      <c r="L317">
        <f t="shared" si="29"/>
        <v>0.27728653022111754</v>
      </c>
      <c r="P317">
        <f t="shared" si="30"/>
        <v>0.21685821685821685</v>
      </c>
    </row>
    <row r="318" spans="1:16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H318">
        <f t="shared" si="26"/>
        <v>7.8124000000000526E-2</v>
      </c>
      <c r="I318">
        <f t="shared" si="27"/>
        <v>0.11354251809726179</v>
      </c>
      <c r="J318">
        <f t="shared" si="28"/>
        <v>0.11562648</v>
      </c>
      <c r="L318">
        <f t="shared" si="29"/>
        <v>0.27728653022111754</v>
      </c>
      <c r="P318">
        <f t="shared" si="30"/>
        <v>0.18166818166818177</v>
      </c>
    </row>
    <row r="319" spans="1:16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H319">
        <f t="shared" si="26"/>
        <v>7.8124000000000526E-2</v>
      </c>
      <c r="I319">
        <f t="shared" si="27"/>
        <v>0.11354251809726179</v>
      </c>
      <c r="J319">
        <f t="shared" si="28"/>
        <v>0.11562648</v>
      </c>
      <c r="L319">
        <f t="shared" si="29"/>
        <v>0.27728653022111754</v>
      </c>
      <c r="P319">
        <f t="shared" si="30"/>
        <v>0.18460218460218472</v>
      </c>
    </row>
    <row r="320" spans="1:16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H320">
        <f t="shared" si="26"/>
        <v>7.8124000000000526E-2</v>
      </c>
      <c r="I320">
        <f t="shared" si="27"/>
        <v>0.11354251809726179</v>
      </c>
      <c r="J320">
        <f t="shared" si="28"/>
        <v>0.11562648</v>
      </c>
      <c r="L320">
        <f t="shared" si="29"/>
        <v>0.27728653022111754</v>
      </c>
      <c r="P320">
        <f t="shared" ref="P320:P340" si="31">($F$343-F320)/$F$343</f>
        <v>0.16716016716016724</v>
      </c>
    </row>
    <row r="321" spans="1:16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H321">
        <f t="shared" si="26"/>
        <v>7.8124000000000526E-2</v>
      </c>
      <c r="I321">
        <f t="shared" si="27"/>
        <v>0.11354251809726179</v>
      </c>
      <c r="J321">
        <f t="shared" si="28"/>
        <v>0.11562648</v>
      </c>
      <c r="L321">
        <f t="shared" si="29"/>
        <v>0.27728653022111754</v>
      </c>
      <c r="P321">
        <f t="shared" si="31"/>
        <v>0.18667518667518673</v>
      </c>
    </row>
    <row r="322" spans="1:16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H322">
        <f t="shared" si="26"/>
        <v>7.8124000000000526E-2</v>
      </c>
      <c r="I322">
        <f t="shared" si="27"/>
        <v>0.11354251809726179</v>
      </c>
      <c r="J322">
        <f t="shared" si="28"/>
        <v>0.11562648</v>
      </c>
      <c r="L322">
        <f t="shared" si="29"/>
        <v>0.27728653022111754</v>
      </c>
      <c r="P322">
        <f t="shared" si="31"/>
        <v>0.15051915051915052</v>
      </c>
    </row>
    <row r="323" spans="1:16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H323">
        <f t="shared" ref="H323:H340" si="32">0.0034*C323^2-0.152*C323+1.7411</f>
        <v>7.5949999999999962E-2</v>
      </c>
      <c r="I323">
        <f t="shared" ref="I323:I340" si="33">2.6805*D323^2-42.226*D323+166.39</f>
        <v>0.12889570563797292</v>
      </c>
      <c r="J323">
        <f t="shared" ref="J323:J340" si="34">0.0002*E323^2-0.001*E323+0.1158</f>
        <v>0.1186</v>
      </c>
      <c r="L323">
        <f t="shared" ref="L323:L340" si="35">SUM(H323:J323)-H323*I323-H323*J323-I323*J323+H323*I323*J323</f>
        <v>0.2905224260869092</v>
      </c>
      <c r="P323">
        <f t="shared" si="31"/>
        <v>0.1667881667881668</v>
      </c>
    </row>
    <row r="324" spans="1:16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H324">
        <f t="shared" si="32"/>
        <v>7.5949999999999962E-2</v>
      </c>
      <c r="I324">
        <f t="shared" si="33"/>
        <v>0.12889570563797292</v>
      </c>
      <c r="J324">
        <f t="shared" si="34"/>
        <v>0.1186</v>
      </c>
      <c r="L324">
        <f t="shared" si="35"/>
        <v>0.2905224260869092</v>
      </c>
      <c r="P324">
        <f t="shared" si="31"/>
        <v>0.18057918057918068</v>
      </c>
    </row>
    <row r="325" spans="1:16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H325">
        <f t="shared" si="32"/>
        <v>7.5949999999999962E-2</v>
      </c>
      <c r="I325">
        <f t="shared" si="33"/>
        <v>0.12889570563797292</v>
      </c>
      <c r="J325">
        <f t="shared" si="34"/>
        <v>0.1186</v>
      </c>
      <c r="L325">
        <f t="shared" si="35"/>
        <v>0.2905224260869092</v>
      </c>
      <c r="P325">
        <f t="shared" si="31"/>
        <v>0.16576516576516589</v>
      </c>
    </row>
    <row r="326" spans="1:16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H326">
        <f t="shared" si="32"/>
        <v>7.5949999999999962E-2</v>
      </c>
      <c r="I326">
        <f t="shared" si="33"/>
        <v>0.12889570563797292</v>
      </c>
      <c r="J326">
        <f t="shared" si="34"/>
        <v>0.1186</v>
      </c>
      <c r="L326">
        <f t="shared" si="35"/>
        <v>0.2905224260869092</v>
      </c>
      <c r="P326">
        <f t="shared" si="31"/>
        <v>0.17192117192117196</v>
      </c>
    </row>
    <row r="327" spans="1:16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H327">
        <f t="shared" si="32"/>
        <v>7.5949999999999962E-2</v>
      </c>
      <c r="I327">
        <f t="shared" si="33"/>
        <v>0.12889570563797292</v>
      </c>
      <c r="J327">
        <f t="shared" si="34"/>
        <v>0.1186</v>
      </c>
      <c r="L327">
        <f t="shared" si="35"/>
        <v>0.2905224260869092</v>
      </c>
      <c r="P327">
        <f t="shared" si="31"/>
        <v>0.14863514863514868</v>
      </c>
    </row>
    <row r="328" spans="1:16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H328">
        <f t="shared" si="32"/>
        <v>7.5949999999999962E-2</v>
      </c>
      <c r="I328">
        <f t="shared" si="33"/>
        <v>0.12889570563797292</v>
      </c>
      <c r="J328">
        <f t="shared" si="34"/>
        <v>0.1186</v>
      </c>
      <c r="L328">
        <f t="shared" si="35"/>
        <v>0.2905224260869092</v>
      </c>
      <c r="P328">
        <f t="shared" si="31"/>
        <v>0.14769014769014774</v>
      </c>
    </row>
    <row r="329" spans="1:16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H329">
        <f t="shared" si="32"/>
        <v>7.5949999999999962E-2</v>
      </c>
      <c r="I329">
        <f t="shared" si="33"/>
        <v>0.12889570563797292</v>
      </c>
      <c r="J329">
        <f t="shared" si="34"/>
        <v>0.1186</v>
      </c>
      <c r="L329">
        <f t="shared" si="35"/>
        <v>0.2905224260869092</v>
      </c>
      <c r="P329">
        <f t="shared" si="31"/>
        <v>0.1364881364881366</v>
      </c>
    </row>
    <row r="330" spans="1:16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H330">
        <f t="shared" si="32"/>
        <v>7.5949999999999962E-2</v>
      </c>
      <c r="I330">
        <f t="shared" si="33"/>
        <v>0.12889570563797292</v>
      </c>
      <c r="J330">
        <f t="shared" si="34"/>
        <v>0.1186</v>
      </c>
      <c r="L330">
        <f t="shared" si="35"/>
        <v>0.2905224260869092</v>
      </c>
      <c r="P330">
        <f t="shared" si="31"/>
        <v>0.19389619389619389</v>
      </c>
    </row>
    <row r="331" spans="1:16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H331">
        <f t="shared" si="32"/>
        <v>7.5949999999999962E-2</v>
      </c>
      <c r="I331">
        <f t="shared" si="33"/>
        <v>0.12889570563797292</v>
      </c>
      <c r="J331">
        <f t="shared" si="34"/>
        <v>0.1186</v>
      </c>
      <c r="L331">
        <f t="shared" si="35"/>
        <v>0.2905224260869092</v>
      </c>
      <c r="P331">
        <f t="shared" si="31"/>
        <v>0.17616017616017624</v>
      </c>
    </row>
    <row r="332" spans="1:16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H332">
        <f t="shared" si="32"/>
        <v>7.5949999999999962E-2</v>
      </c>
      <c r="I332">
        <f t="shared" si="33"/>
        <v>0.12889570563797292</v>
      </c>
      <c r="J332">
        <f t="shared" si="34"/>
        <v>0.1186</v>
      </c>
      <c r="L332">
        <f t="shared" si="35"/>
        <v>0.2905224260869092</v>
      </c>
      <c r="P332">
        <f t="shared" si="31"/>
        <v>0.17464217464217463</v>
      </c>
    </row>
    <row r="333" spans="1:16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H333">
        <f t="shared" si="32"/>
        <v>7.8124000000000526E-2</v>
      </c>
      <c r="I333">
        <f t="shared" si="33"/>
        <v>0.13574017923784254</v>
      </c>
      <c r="J333">
        <f t="shared" si="34"/>
        <v>0.1206</v>
      </c>
      <c r="L333">
        <f t="shared" si="35"/>
        <v>0.29934650408997288</v>
      </c>
      <c r="P333">
        <f t="shared" si="31"/>
        <v>0.18889218889218887</v>
      </c>
    </row>
    <row r="334" spans="1:16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H334">
        <f t="shared" si="32"/>
        <v>7.8124000000000526E-2</v>
      </c>
      <c r="I334">
        <f t="shared" si="33"/>
        <v>0.13574017923784254</v>
      </c>
      <c r="J334">
        <f t="shared" si="34"/>
        <v>0.1206</v>
      </c>
      <c r="L334">
        <f t="shared" si="35"/>
        <v>0.29934650408997288</v>
      </c>
      <c r="P334">
        <f t="shared" si="31"/>
        <v>0.1958071958071958</v>
      </c>
    </row>
    <row r="335" spans="1:16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H335">
        <f t="shared" si="32"/>
        <v>7.8124000000000526E-2</v>
      </c>
      <c r="I335">
        <f t="shared" si="33"/>
        <v>0.13574017923784254</v>
      </c>
      <c r="J335">
        <f t="shared" si="34"/>
        <v>0.1206</v>
      </c>
      <c r="L335">
        <f t="shared" si="35"/>
        <v>0.29934650408997288</v>
      </c>
      <c r="P335">
        <f t="shared" si="31"/>
        <v>4.8474048474048514E-2</v>
      </c>
    </row>
    <row r="336" spans="1:16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H336">
        <f t="shared" si="32"/>
        <v>7.8124000000000526E-2</v>
      </c>
      <c r="I336">
        <f t="shared" si="33"/>
        <v>0.13574017923784254</v>
      </c>
      <c r="J336">
        <f t="shared" si="34"/>
        <v>0.1206</v>
      </c>
      <c r="L336">
        <f t="shared" si="35"/>
        <v>0.29934650408997288</v>
      </c>
      <c r="P336">
        <f t="shared" si="31"/>
        <v>0.18214518214518222</v>
      </c>
    </row>
    <row r="337" spans="1:16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H337">
        <f t="shared" si="32"/>
        <v>7.8124000000000526E-2</v>
      </c>
      <c r="I337">
        <f t="shared" si="33"/>
        <v>0.13574017923784254</v>
      </c>
      <c r="J337">
        <f t="shared" si="34"/>
        <v>0.1206</v>
      </c>
      <c r="L337">
        <f t="shared" si="35"/>
        <v>0.29934650408997288</v>
      </c>
      <c r="P337">
        <f t="shared" si="31"/>
        <v>0.19021519021519029</v>
      </c>
    </row>
    <row r="338" spans="1:16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H338">
        <f t="shared" si="32"/>
        <v>7.8124000000000526E-2</v>
      </c>
      <c r="I338">
        <f t="shared" si="33"/>
        <v>0.13574017923784254</v>
      </c>
      <c r="J338">
        <f t="shared" si="34"/>
        <v>0.1206</v>
      </c>
      <c r="L338">
        <f t="shared" si="35"/>
        <v>0.29934650408997288</v>
      </c>
      <c r="P338">
        <f t="shared" si="31"/>
        <v>0.26022326022326031</v>
      </c>
    </row>
    <row r="339" spans="1:16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H339">
        <f t="shared" si="32"/>
        <v>7.8124000000000526E-2</v>
      </c>
      <c r="I339">
        <f t="shared" si="33"/>
        <v>0.13574017923784254</v>
      </c>
      <c r="J339">
        <f t="shared" si="34"/>
        <v>0.1206</v>
      </c>
      <c r="L339">
        <f t="shared" si="35"/>
        <v>0.29934650408997288</v>
      </c>
      <c r="P339">
        <f t="shared" si="31"/>
        <v>0.14310614310614325</v>
      </c>
    </row>
    <row r="340" spans="1:16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H340">
        <f t="shared" si="32"/>
        <v>7.8124000000000526E-2</v>
      </c>
      <c r="I340">
        <f t="shared" si="33"/>
        <v>0.13574017923784254</v>
      </c>
      <c r="J340">
        <f t="shared" si="34"/>
        <v>0.1206</v>
      </c>
      <c r="L340">
        <f t="shared" si="35"/>
        <v>0.29934650408997288</v>
      </c>
      <c r="P340">
        <f t="shared" si="31"/>
        <v>0.22889722889722899</v>
      </c>
    </row>
    <row r="343" spans="1:16" x14ac:dyDescent="0.2">
      <c r="A343" t="s">
        <v>13</v>
      </c>
      <c r="F343">
        <f>MAX(F2:F340)</f>
        <v>83.333250000000007</v>
      </c>
      <c r="M343">
        <f>MAX(M2:M340)</f>
        <v>0.25654825654825658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D83D-8191-45F1-8D03-3774C9CC39A0}">
  <dimension ref="A1:V343"/>
  <sheetViews>
    <sheetView topLeftCell="G1" workbookViewId="0">
      <selection activeCell="T28" sqref="T28"/>
    </sheetView>
  </sheetViews>
  <sheetFormatPr baseColWidth="10" defaultColWidth="8.83203125" defaultRowHeight="15" x14ac:dyDescent="0.2"/>
  <sheetData>
    <row r="1" spans="1:22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12</v>
      </c>
      <c r="I1" s="9" t="s">
        <v>19</v>
      </c>
      <c r="J1" s="9" t="s">
        <v>20</v>
      </c>
      <c r="K1" s="9" t="s">
        <v>21</v>
      </c>
      <c r="L1" s="9" t="s">
        <v>25</v>
      </c>
      <c r="N1" s="9" t="s">
        <v>27</v>
      </c>
      <c r="O1" s="9" t="s">
        <v>18</v>
      </c>
      <c r="R1" s="9" t="s">
        <v>22</v>
      </c>
      <c r="V1" s="9" t="s">
        <v>29</v>
      </c>
    </row>
    <row r="2" spans="1:22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G2">
        <f>($F$343-F2)/$F$343</f>
        <v>0.12800712800712813</v>
      </c>
      <c r="I2">
        <f t="shared" ref="I2:I65" si="0">(E2-0.17)*$S$2</f>
        <v>6.9999999999999958E-3</v>
      </c>
      <c r="J2">
        <f t="shared" ref="J2:J65" si="1">(8-D2)*$S$4</f>
        <v>0.50145796335908344</v>
      </c>
      <c r="K2">
        <f t="shared" ref="K2:K65" si="2">(C2-20)*$S$3</f>
        <v>-0.30000000000000071</v>
      </c>
      <c r="L2">
        <f t="shared" ref="L2:L65" si="3">SUM(I2:K2)+($V$2*(J2*K2))</f>
        <v>0.23704106727055055</v>
      </c>
      <c r="N2">
        <f t="shared" ref="N2:N33" si="4">G2</f>
        <v>0.12800712800712813</v>
      </c>
      <c r="R2" t="s">
        <v>23</v>
      </c>
      <c r="S2">
        <v>0.35</v>
      </c>
      <c r="U2" t="s">
        <v>34</v>
      </c>
      <c r="V2">
        <v>-0.19</v>
      </c>
    </row>
    <row r="3" spans="1:22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G3">
        <f t="shared" ref="G3:G66" si="5">($F$343-F3)/$F$343</f>
        <v>7.9749079749079826E-2</v>
      </c>
      <c r="I3">
        <f t="shared" si="0"/>
        <v>6.9999999999999958E-3</v>
      </c>
      <c r="J3">
        <f t="shared" si="1"/>
        <v>0.50145796335908344</v>
      </c>
      <c r="K3">
        <f t="shared" si="2"/>
        <v>-0.30000000000000071</v>
      </c>
      <c r="L3">
        <f t="shared" si="3"/>
        <v>0.23704106727055055</v>
      </c>
      <c r="N3">
        <f t="shared" si="4"/>
        <v>7.9749079749079826E-2</v>
      </c>
      <c r="R3" t="s">
        <v>24</v>
      </c>
      <c r="S3">
        <v>1</v>
      </c>
    </row>
    <row r="4" spans="1:22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G4">
        <f t="shared" si="5"/>
        <v>0.16524016524016535</v>
      </c>
      <c r="I4">
        <f t="shared" si="0"/>
        <v>6.9999999999999958E-3</v>
      </c>
      <c r="J4">
        <f t="shared" si="1"/>
        <v>0.50145796335908344</v>
      </c>
      <c r="K4">
        <f t="shared" si="2"/>
        <v>-0.30000000000000071</v>
      </c>
      <c r="L4">
        <f t="shared" si="3"/>
        <v>0.23704106727055055</v>
      </c>
      <c r="N4">
        <f t="shared" si="4"/>
        <v>0.16524016524016535</v>
      </c>
      <c r="R4" t="s">
        <v>8</v>
      </c>
      <c r="S4">
        <v>28</v>
      </c>
    </row>
    <row r="5" spans="1:22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G5">
        <f t="shared" si="5"/>
        <v>0.19913719913719918</v>
      </c>
      <c r="I5">
        <f t="shared" si="0"/>
        <v>6.9999999999999958E-3</v>
      </c>
      <c r="J5">
        <f t="shared" si="1"/>
        <v>0.50145796335908344</v>
      </c>
      <c r="K5">
        <f t="shared" si="2"/>
        <v>-0.30000000000000071</v>
      </c>
      <c r="L5">
        <f t="shared" si="3"/>
        <v>0.23704106727055055</v>
      </c>
      <c r="N5">
        <f t="shared" si="4"/>
        <v>0.19913719913719918</v>
      </c>
      <c r="S5" t="s">
        <v>26</v>
      </c>
    </row>
    <row r="6" spans="1:22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G6">
        <f t="shared" si="5"/>
        <v>2.1819021819021889E-2</v>
      </c>
      <c r="I6">
        <f t="shared" si="0"/>
        <v>6.9999999999999958E-3</v>
      </c>
      <c r="J6">
        <f t="shared" si="1"/>
        <v>0.50145796335908344</v>
      </c>
      <c r="K6">
        <f t="shared" si="2"/>
        <v>-0.30000000000000071</v>
      </c>
      <c r="L6">
        <f t="shared" si="3"/>
        <v>0.23704106727055055</v>
      </c>
      <c r="N6">
        <f t="shared" si="4"/>
        <v>2.1819021819021889E-2</v>
      </c>
    </row>
    <row r="7" spans="1:22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G7">
        <f t="shared" si="5"/>
        <v>0.17031617031617044</v>
      </c>
      <c r="I7">
        <f t="shared" si="0"/>
        <v>6.9999999999999958E-3</v>
      </c>
      <c r="J7">
        <f t="shared" si="1"/>
        <v>0.50145796335908344</v>
      </c>
      <c r="K7">
        <f t="shared" si="2"/>
        <v>-0.30000000000000071</v>
      </c>
      <c r="L7">
        <f t="shared" si="3"/>
        <v>0.23704106727055055</v>
      </c>
      <c r="N7">
        <f t="shared" si="4"/>
        <v>0.17031617031617044</v>
      </c>
    </row>
    <row r="8" spans="1:22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G8">
        <f t="shared" si="5"/>
        <v>0.11291711291711294</v>
      </c>
      <c r="I8">
        <f t="shared" si="0"/>
        <v>6.9999999999999958E-3</v>
      </c>
      <c r="J8">
        <f t="shared" si="1"/>
        <v>0.50145796335908344</v>
      </c>
      <c r="K8">
        <f t="shared" si="2"/>
        <v>-0.30000000000000071</v>
      </c>
      <c r="L8">
        <f t="shared" si="3"/>
        <v>0.23704106727055055</v>
      </c>
      <c r="N8">
        <f t="shared" si="4"/>
        <v>0.11291711291711294</v>
      </c>
    </row>
    <row r="9" spans="1:22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G9">
        <f t="shared" si="5"/>
        <v>3.7926037926038082E-2</v>
      </c>
      <c r="I9">
        <f t="shared" si="0"/>
        <v>6.9999999999999958E-3</v>
      </c>
      <c r="J9">
        <f t="shared" si="1"/>
        <v>0.50145796335908344</v>
      </c>
      <c r="K9">
        <f t="shared" si="2"/>
        <v>-0.30000000000000071</v>
      </c>
      <c r="L9">
        <f t="shared" si="3"/>
        <v>0.23704106727055055</v>
      </c>
      <c r="N9">
        <f t="shared" si="4"/>
        <v>3.7926037926038082E-2</v>
      </c>
    </row>
    <row r="10" spans="1:22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G10">
        <f t="shared" si="5"/>
        <v>0.15680415680415688</v>
      </c>
      <c r="I10">
        <f t="shared" si="0"/>
        <v>6.9999999999999958E-3</v>
      </c>
      <c r="J10">
        <f t="shared" si="1"/>
        <v>0.50145796335908344</v>
      </c>
      <c r="K10">
        <f t="shared" si="2"/>
        <v>-0.30000000000000071</v>
      </c>
      <c r="L10">
        <f t="shared" si="3"/>
        <v>0.23704106727055055</v>
      </c>
      <c r="N10">
        <f t="shared" si="4"/>
        <v>0.15680415680415688</v>
      </c>
    </row>
    <row r="11" spans="1:22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G11">
        <f t="shared" si="5"/>
        <v>4.959004959005019E-3</v>
      </c>
      <c r="I11">
        <f t="shared" si="0"/>
        <v>6.9999999999999958E-3</v>
      </c>
      <c r="J11">
        <f t="shared" si="1"/>
        <v>0.50145796335908344</v>
      </c>
      <c r="K11">
        <f t="shared" si="2"/>
        <v>-0.30000000000000071</v>
      </c>
      <c r="L11">
        <f t="shared" si="3"/>
        <v>0.23704106727055055</v>
      </c>
      <c r="N11">
        <f t="shared" si="4"/>
        <v>4.959004959005019E-3</v>
      </c>
    </row>
    <row r="12" spans="1:22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G12">
        <f t="shared" si="5"/>
        <v>0.16649416649416662</v>
      </c>
      <c r="I12">
        <f t="shared" si="0"/>
        <v>6.9999999999999958E-3</v>
      </c>
      <c r="J12">
        <f t="shared" si="1"/>
        <v>0.50145796335908344</v>
      </c>
      <c r="K12">
        <f t="shared" si="2"/>
        <v>-0.30000000000000071</v>
      </c>
      <c r="L12">
        <f t="shared" si="3"/>
        <v>0.23704106727055055</v>
      </c>
      <c r="N12">
        <f t="shared" si="4"/>
        <v>0.16649416649416662</v>
      </c>
    </row>
    <row r="13" spans="1:22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G13">
        <f t="shared" si="5"/>
        <v>0.11266211266211275</v>
      </c>
      <c r="I13">
        <f t="shared" si="0"/>
        <v>6.9999999999999958E-3</v>
      </c>
      <c r="J13">
        <f t="shared" si="1"/>
        <v>0.50145796335908344</v>
      </c>
      <c r="K13">
        <f t="shared" si="2"/>
        <v>-0.30000000000000071</v>
      </c>
      <c r="L13">
        <f t="shared" si="3"/>
        <v>0.23704106727055055</v>
      </c>
      <c r="N13">
        <f t="shared" si="4"/>
        <v>0.11266211266211275</v>
      </c>
    </row>
    <row r="14" spans="1:22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G14">
        <f t="shared" si="5"/>
        <v>5.2920052920053043E-2</v>
      </c>
      <c r="I14">
        <f t="shared" si="0"/>
        <v>6.9999999999999958E-3</v>
      </c>
      <c r="J14">
        <f t="shared" si="1"/>
        <v>0.50145796335908344</v>
      </c>
      <c r="K14">
        <f t="shared" si="2"/>
        <v>-0.30000000000000071</v>
      </c>
      <c r="L14">
        <f t="shared" si="3"/>
        <v>0.23704106727055055</v>
      </c>
      <c r="N14">
        <f t="shared" si="4"/>
        <v>5.2920052920053043E-2</v>
      </c>
    </row>
    <row r="15" spans="1:22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G15">
        <f t="shared" si="5"/>
        <v>2.2119022119022259E-2</v>
      </c>
      <c r="I15">
        <f t="shared" si="0"/>
        <v>6.9999999999999958E-3</v>
      </c>
      <c r="J15">
        <f t="shared" si="1"/>
        <v>0.50145796335908344</v>
      </c>
      <c r="K15">
        <f t="shared" si="2"/>
        <v>-0.30000000000000071</v>
      </c>
      <c r="L15">
        <f t="shared" si="3"/>
        <v>0.23704106727055055</v>
      </c>
      <c r="N15">
        <f t="shared" si="4"/>
        <v>2.2119022119022259E-2</v>
      </c>
    </row>
    <row r="16" spans="1:22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G16">
        <f t="shared" si="5"/>
        <v>7.5867075867075986E-2</v>
      </c>
      <c r="I16">
        <f t="shared" si="0"/>
        <v>6.9999999999999958E-3</v>
      </c>
      <c r="J16">
        <f t="shared" si="1"/>
        <v>0.50145796335908344</v>
      </c>
      <c r="K16">
        <f t="shared" si="2"/>
        <v>-0.30000000000000071</v>
      </c>
      <c r="L16">
        <f t="shared" si="3"/>
        <v>0.23704106727055055</v>
      </c>
      <c r="N16">
        <f t="shared" si="4"/>
        <v>7.5867075867075986E-2</v>
      </c>
    </row>
    <row r="17" spans="1:14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G17">
        <f t="shared" si="5"/>
        <v>0.11539511539511547</v>
      </c>
      <c r="I17">
        <f t="shared" si="0"/>
        <v>6.9999999999999958E-3</v>
      </c>
      <c r="J17">
        <f t="shared" si="1"/>
        <v>0.50145796335908344</v>
      </c>
      <c r="K17">
        <f t="shared" si="2"/>
        <v>-0.30000000000000071</v>
      </c>
      <c r="L17">
        <f t="shared" si="3"/>
        <v>0.23704106727055055</v>
      </c>
      <c r="N17">
        <f t="shared" si="4"/>
        <v>0.11539511539511547</v>
      </c>
    </row>
    <row r="18" spans="1:14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G18">
        <f t="shared" si="5"/>
        <v>0.18041718041718044</v>
      </c>
      <c r="I18">
        <f t="shared" si="0"/>
        <v>6.9999999999999958E-3</v>
      </c>
      <c r="J18">
        <f t="shared" si="1"/>
        <v>0.50145796335908344</v>
      </c>
      <c r="K18">
        <f t="shared" si="2"/>
        <v>-0.30000000000000071</v>
      </c>
      <c r="L18">
        <f t="shared" si="3"/>
        <v>0.23704106727055055</v>
      </c>
      <c r="N18">
        <f t="shared" si="4"/>
        <v>0.18041718041718044</v>
      </c>
    </row>
    <row r="19" spans="1:14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G19">
        <f t="shared" si="5"/>
        <v>2.3640023640023794E-2</v>
      </c>
      <c r="I19">
        <f t="shared" si="0"/>
        <v>6.9999999999999958E-3</v>
      </c>
      <c r="J19">
        <f t="shared" si="1"/>
        <v>0.50145796335908344</v>
      </c>
      <c r="K19">
        <f t="shared" si="2"/>
        <v>-0.30000000000000071</v>
      </c>
      <c r="L19">
        <f t="shared" si="3"/>
        <v>0.23704106727055055</v>
      </c>
      <c r="N19">
        <f t="shared" si="4"/>
        <v>2.3640023640023794E-2</v>
      </c>
    </row>
    <row r="20" spans="1:14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G20">
        <f t="shared" si="5"/>
        <v>0.18426918426918426</v>
      </c>
      <c r="I20">
        <f t="shared" si="0"/>
        <v>6.9999999999999958E-3</v>
      </c>
      <c r="J20">
        <f t="shared" si="1"/>
        <v>0.50145796335908344</v>
      </c>
      <c r="K20">
        <f t="shared" si="2"/>
        <v>-0.30000000000000071</v>
      </c>
      <c r="L20">
        <f t="shared" si="3"/>
        <v>0.23704106727055055</v>
      </c>
      <c r="N20">
        <f t="shared" si="4"/>
        <v>0.18426918426918426</v>
      </c>
    </row>
    <row r="21" spans="1:14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G21">
        <f t="shared" si="5"/>
        <v>0.20885720885720893</v>
      </c>
      <c r="I21">
        <f t="shared" si="0"/>
        <v>6.9999999999999958E-3</v>
      </c>
      <c r="J21">
        <f t="shared" si="1"/>
        <v>0.50145796335908344</v>
      </c>
      <c r="K21">
        <f t="shared" si="2"/>
        <v>-0.30000000000000071</v>
      </c>
      <c r="L21">
        <f t="shared" si="3"/>
        <v>0.23704106727055055</v>
      </c>
      <c r="N21">
        <f t="shared" si="4"/>
        <v>0.20885720885720893</v>
      </c>
    </row>
    <row r="22" spans="1:14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G22">
        <f t="shared" si="5"/>
        <v>0.1371691371691372</v>
      </c>
      <c r="I22">
        <f t="shared" si="0"/>
        <v>0.99049999999999994</v>
      </c>
      <c r="J22">
        <f t="shared" si="1"/>
        <v>0.28305141215483332</v>
      </c>
      <c r="K22">
        <f t="shared" si="2"/>
        <v>-0.30000000000000071</v>
      </c>
      <c r="L22">
        <f t="shared" si="3"/>
        <v>0.98968534264765806</v>
      </c>
      <c r="N22">
        <f t="shared" si="4"/>
        <v>0.1371691371691372</v>
      </c>
    </row>
    <row r="23" spans="1:14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G23">
        <f t="shared" si="5"/>
        <v>0.18929418929418931</v>
      </c>
      <c r="I23">
        <f t="shared" si="0"/>
        <v>0.99049999999999994</v>
      </c>
      <c r="J23">
        <f t="shared" si="1"/>
        <v>0.28305141215483332</v>
      </c>
      <c r="K23">
        <f t="shared" si="2"/>
        <v>-0.30000000000000071</v>
      </c>
      <c r="L23">
        <f t="shared" si="3"/>
        <v>0.98968534264765806</v>
      </c>
      <c r="N23">
        <f t="shared" si="4"/>
        <v>0.18929418929418931</v>
      </c>
    </row>
    <row r="24" spans="1:14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G24">
        <f t="shared" si="5"/>
        <v>0.13476613476613483</v>
      </c>
      <c r="I24">
        <f t="shared" si="0"/>
        <v>0.99049999999999994</v>
      </c>
      <c r="J24">
        <f t="shared" si="1"/>
        <v>0.28305141215483332</v>
      </c>
      <c r="K24">
        <f t="shared" si="2"/>
        <v>-0.30000000000000071</v>
      </c>
      <c r="L24">
        <f t="shared" si="3"/>
        <v>0.98968534264765806</v>
      </c>
      <c r="N24">
        <f t="shared" si="4"/>
        <v>0.13476613476613483</v>
      </c>
    </row>
    <row r="25" spans="1:14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G25">
        <f t="shared" si="5"/>
        <v>0.18343218343218343</v>
      </c>
      <c r="I25">
        <f t="shared" si="0"/>
        <v>0.99049999999999994</v>
      </c>
      <c r="J25">
        <f t="shared" si="1"/>
        <v>0.28305141215483332</v>
      </c>
      <c r="K25">
        <f t="shared" si="2"/>
        <v>-0.30000000000000071</v>
      </c>
      <c r="L25">
        <f t="shared" si="3"/>
        <v>0.98968534264765806</v>
      </c>
      <c r="N25">
        <f t="shared" si="4"/>
        <v>0.18343218343218343</v>
      </c>
    </row>
    <row r="26" spans="1:14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G26">
        <f t="shared" si="5"/>
        <v>0.17034317034317034</v>
      </c>
      <c r="I26">
        <f t="shared" si="0"/>
        <v>0.99049999999999994</v>
      </c>
      <c r="J26">
        <f t="shared" si="1"/>
        <v>0.28305141215483332</v>
      </c>
      <c r="K26">
        <f t="shared" si="2"/>
        <v>-0.30000000000000071</v>
      </c>
      <c r="L26">
        <f t="shared" si="3"/>
        <v>0.98968534264765806</v>
      </c>
      <c r="N26">
        <f t="shared" si="4"/>
        <v>0.17034317034317034</v>
      </c>
    </row>
    <row r="27" spans="1:14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G27">
        <f t="shared" si="5"/>
        <v>9.0012090012090068E-2</v>
      </c>
      <c r="I27">
        <f t="shared" si="0"/>
        <v>0.99049999999999994</v>
      </c>
      <c r="J27">
        <f t="shared" si="1"/>
        <v>0.28305141215483332</v>
      </c>
      <c r="K27">
        <f t="shared" si="2"/>
        <v>-0.30000000000000071</v>
      </c>
      <c r="L27">
        <f t="shared" si="3"/>
        <v>0.98968534264765806</v>
      </c>
      <c r="N27">
        <f t="shared" si="4"/>
        <v>9.0012090012090068E-2</v>
      </c>
    </row>
    <row r="28" spans="1:14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G28">
        <f t="shared" si="5"/>
        <v>0.18559218559218568</v>
      </c>
      <c r="I28">
        <f t="shared" si="0"/>
        <v>0.99049999999999994</v>
      </c>
      <c r="J28">
        <f t="shared" si="1"/>
        <v>0.28305141215483332</v>
      </c>
      <c r="K28">
        <f t="shared" si="2"/>
        <v>-0.30000000000000071</v>
      </c>
      <c r="L28">
        <f t="shared" si="3"/>
        <v>0.98968534264765806</v>
      </c>
      <c r="N28">
        <f t="shared" si="4"/>
        <v>0.18559218559218568</v>
      </c>
    </row>
    <row r="29" spans="1:14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G29">
        <f t="shared" si="5"/>
        <v>0.12043512043512054</v>
      </c>
      <c r="I29">
        <f t="shared" si="0"/>
        <v>0.99049999999999994</v>
      </c>
      <c r="J29">
        <f t="shared" si="1"/>
        <v>0.28305141215483332</v>
      </c>
      <c r="K29">
        <f t="shared" si="2"/>
        <v>-0.30000000000000071</v>
      </c>
      <c r="L29">
        <f t="shared" si="3"/>
        <v>0.98968534264765806</v>
      </c>
      <c r="N29">
        <f t="shared" si="4"/>
        <v>0.12043512043512054</v>
      </c>
    </row>
    <row r="30" spans="1:14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G30">
        <f t="shared" si="5"/>
        <v>0.16009216009216018</v>
      </c>
      <c r="I30">
        <f t="shared" si="0"/>
        <v>0.99049999999999994</v>
      </c>
      <c r="J30">
        <f t="shared" si="1"/>
        <v>0.28305141215483332</v>
      </c>
      <c r="K30">
        <f t="shared" si="2"/>
        <v>-0.30000000000000071</v>
      </c>
      <c r="L30">
        <f t="shared" si="3"/>
        <v>0.98968534264765806</v>
      </c>
      <c r="N30">
        <f t="shared" si="4"/>
        <v>0.16009216009216018</v>
      </c>
    </row>
    <row r="31" spans="1:14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G31">
        <f t="shared" si="5"/>
        <v>6.7992067992068125E-2</v>
      </c>
      <c r="I31">
        <f t="shared" si="0"/>
        <v>0.99049999999999994</v>
      </c>
      <c r="J31">
        <f t="shared" si="1"/>
        <v>0.28305141215483332</v>
      </c>
      <c r="K31">
        <f t="shared" si="2"/>
        <v>-0.30000000000000071</v>
      </c>
      <c r="L31">
        <f t="shared" si="3"/>
        <v>0.98968534264765806</v>
      </c>
      <c r="N31">
        <f t="shared" si="4"/>
        <v>6.7992067992068125E-2</v>
      </c>
    </row>
    <row r="32" spans="1:14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G32">
        <f t="shared" si="5"/>
        <v>0.11629211629211632</v>
      </c>
      <c r="I32">
        <f t="shared" si="0"/>
        <v>0.99049999999999994</v>
      </c>
      <c r="J32">
        <f t="shared" si="1"/>
        <v>0.28305141215483332</v>
      </c>
      <c r="K32">
        <f t="shared" si="2"/>
        <v>-0.30000000000000071</v>
      </c>
      <c r="L32">
        <f t="shared" si="3"/>
        <v>0.98968534264765806</v>
      </c>
      <c r="N32">
        <f t="shared" si="4"/>
        <v>0.11629211629211632</v>
      </c>
    </row>
    <row r="33" spans="1:14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G33">
        <f t="shared" si="5"/>
        <v>6.3222063222063252E-2</v>
      </c>
      <c r="I33">
        <f t="shared" si="0"/>
        <v>0.99049999999999994</v>
      </c>
      <c r="J33">
        <f t="shared" si="1"/>
        <v>0.28305141215483332</v>
      </c>
      <c r="K33">
        <f t="shared" si="2"/>
        <v>-0.30000000000000071</v>
      </c>
      <c r="L33">
        <f t="shared" si="3"/>
        <v>0.98968534264765806</v>
      </c>
      <c r="N33">
        <f t="shared" si="4"/>
        <v>6.3222063222063252E-2</v>
      </c>
    </row>
    <row r="34" spans="1:14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G34">
        <f t="shared" si="5"/>
        <v>6.464406464406465E-2</v>
      </c>
      <c r="I34">
        <f t="shared" si="0"/>
        <v>0.99049999999999994</v>
      </c>
      <c r="J34">
        <f t="shared" si="1"/>
        <v>0.28305141215483332</v>
      </c>
      <c r="K34">
        <f t="shared" si="2"/>
        <v>-0.30000000000000071</v>
      </c>
      <c r="L34">
        <f t="shared" si="3"/>
        <v>0.98968534264765806</v>
      </c>
      <c r="N34">
        <f t="shared" ref="N34:N65" si="6">G34</f>
        <v>6.464406464406465E-2</v>
      </c>
    </row>
    <row r="35" spans="1:14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G35">
        <f t="shared" si="5"/>
        <v>0.12816612816612827</v>
      </c>
      <c r="I35">
        <f t="shared" si="0"/>
        <v>0.99049999999999994</v>
      </c>
      <c r="J35">
        <f t="shared" si="1"/>
        <v>0.28305141215483332</v>
      </c>
      <c r="K35">
        <f t="shared" si="2"/>
        <v>-0.30000000000000071</v>
      </c>
      <c r="L35">
        <f t="shared" si="3"/>
        <v>0.98968534264765806</v>
      </c>
      <c r="N35">
        <f t="shared" si="6"/>
        <v>0.12816612816612827</v>
      </c>
    </row>
    <row r="36" spans="1:14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G36">
        <f t="shared" si="5"/>
        <v>0.11077811077811091</v>
      </c>
      <c r="I36">
        <f t="shared" si="0"/>
        <v>2.7404999999999999</v>
      </c>
      <c r="J36">
        <f t="shared" si="1"/>
        <v>0.58266196080932886</v>
      </c>
      <c r="K36">
        <f t="shared" si="2"/>
        <v>-0.30000000000000071</v>
      </c>
      <c r="L36">
        <f t="shared" si="3"/>
        <v>3.0563736925754599</v>
      </c>
      <c r="N36">
        <f t="shared" si="6"/>
        <v>0.11077811077811091</v>
      </c>
    </row>
    <row r="37" spans="1:14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G37">
        <f t="shared" si="5"/>
        <v>6.9117069117069246E-2</v>
      </c>
      <c r="I37">
        <f t="shared" si="0"/>
        <v>2.7404999999999999</v>
      </c>
      <c r="J37">
        <f t="shared" si="1"/>
        <v>0.58266196080932886</v>
      </c>
      <c r="K37">
        <f t="shared" si="2"/>
        <v>-0.30000000000000071</v>
      </c>
      <c r="L37">
        <f t="shared" si="3"/>
        <v>3.0563736925754599</v>
      </c>
      <c r="N37">
        <f t="shared" si="6"/>
        <v>6.9117069117069246E-2</v>
      </c>
    </row>
    <row r="38" spans="1:14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G38">
        <f t="shared" si="5"/>
        <v>8.5020085020085109E-2</v>
      </c>
      <c r="I38">
        <f t="shared" si="0"/>
        <v>2.7404999999999999</v>
      </c>
      <c r="J38">
        <f t="shared" si="1"/>
        <v>0.58266196080932886</v>
      </c>
      <c r="K38">
        <f t="shared" si="2"/>
        <v>-0.30000000000000071</v>
      </c>
      <c r="L38">
        <f t="shared" si="3"/>
        <v>3.0563736925754599</v>
      </c>
      <c r="N38">
        <f t="shared" si="6"/>
        <v>8.5020085020085109E-2</v>
      </c>
    </row>
    <row r="39" spans="1:14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G39">
        <f t="shared" si="5"/>
        <v>0.11979311979311991</v>
      </c>
      <c r="I39">
        <f t="shared" si="0"/>
        <v>2.7404999999999999</v>
      </c>
      <c r="J39">
        <f t="shared" si="1"/>
        <v>0.58266196080932886</v>
      </c>
      <c r="K39">
        <f t="shared" si="2"/>
        <v>-0.30000000000000071</v>
      </c>
      <c r="L39">
        <f t="shared" si="3"/>
        <v>3.0563736925754599</v>
      </c>
      <c r="N39">
        <f t="shared" si="6"/>
        <v>0.11979311979311991</v>
      </c>
    </row>
    <row r="40" spans="1:14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G40">
        <f t="shared" si="5"/>
        <v>9.4314094314094446E-2</v>
      </c>
      <c r="I40">
        <f t="shared" si="0"/>
        <v>2.7404999999999999</v>
      </c>
      <c r="J40">
        <f t="shared" si="1"/>
        <v>0.58266196080932886</v>
      </c>
      <c r="K40">
        <f t="shared" si="2"/>
        <v>-0.30000000000000071</v>
      </c>
      <c r="L40">
        <f t="shared" si="3"/>
        <v>3.0563736925754599</v>
      </c>
      <c r="N40">
        <f t="shared" si="6"/>
        <v>9.4314094314094446E-2</v>
      </c>
    </row>
    <row r="41" spans="1:14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G41">
        <f t="shared" si="5"/>
        <v>0.15705315705315703</v>
      </c>
      <c r="I41">
        <f t="shared" si="0"/>
        <v>2.7404999999999999</v>
      </c>
      <c r="J41">
        <f t="shared" si="1"/>
        <v>0.58266196080932886</v>
      </c>
      <c r="K41">
        <f t="shared" si="2"/>
        <v>-0.30000000000000071</v>
      </c>
      <c r="L41">
        <f t="shared" si="3"/>
        <v>3.0563736925754599</v>
      </c>
      <c r="N41">
        <f t="shared" si="6"/>
        <v>0.15705315705315703</v>
      </c>
    </row>
    <row r="42" spans="1:14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G42">
        <f t="shared" si="5"/>
        <v>7.9083079083079211E-2</v>
      </c>
      <c r="I42">
        <f t="shared" si="0"/>
        <v>2.7404999999999999</v>
      </c>
      <c r="J42">
        <f t="shared" si="1"/>
        <v>0.58266196080932886</v>
      </c>
      <c r="K42">
        <f t="shared" si="2"/>
        <v>-0.30000000000000071</v>
      </c>
      <c r="L42">
        <f t="shared" si="3"/>
        <v>3.0563736925754599</v>
      </c>
      <c r="N42">
        <f t="shared" si="6"/>
        <v>7.9083079083079211E-2</v>
      </c>
    </row>
    <row r="43" spans="1:14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G43">
        <f t="shared" si="5"/>
        <v>9.0978090978091036E-2</v>
      </c>
      <c r="I43">
        <f t="shared" si="0"/>
        <v>2.7404999999999999</v>
      </c>
      <c r="J43">
        <f t="shared" si="1"/>
        <v>0.58266196080932886</v>
      </c>
      <c r="K43">
        <f t="shared" si="2"/>
        <v>-0.30000000000000071</v>
      </c>
      <c r="L43">
        <f t="shared" si="3"/>
        <v>3.0563736925754599</v>
      </c>
      <c r="N43">
        <f t="shared" si="6"/>
        <v>9.0978090978091036E-2</v>
      </c>
    </row>
    <row r="44" spans="1:14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G44">
        <f t="shared" si="5"/>
        <v>0.13791013791013798</v>
      </c>
      <c r="I44">
        <f t="shared" si="0"/>
        <v>2.7404999999999999</v>
      </c>
      <c r="J44">
        <f t="shared" si="1"/>
        <v>0.58266196080932886</v>
      </c>
      <c r="K44">
        <f t="shared" si="2"/>
        <v>-0.30000000000000071</v>
      </c>
      <c r="L44">
        <f t="shared" si="3"/>
        <v>3.0563736925754599</v>
      </c>
      <c r="N44">
        <f t="shared" si="6"/>
        <v>0.13791013791013798</v>
      </c>
    </row>
    <row r="45" spans="1:14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G45">
        <f t="shared" si="5"/>
        <v>8.4546084546084588E-2</v>
      </c>
      <c r="I45">
        <f t="shared" si="0"/>
        <v>2.7404999999999999</v>
      </c>
      <c r="J45">
        <f t="shared" si="1"/>
        <v>0.58266196080932886</v>
      </c>
      <c r="K45">
        <f t="shared" si="2"/>
        <v>-0.30000000000000071</v>
      </c>
      <c r="L45">
        <f t="shared" si="3"/>
        <v>3.0563736925754599</v>
      </c>
      <c r="N45">
        <f t="shared" si="6"/>
        <v>8.4546084546084588E-2</v>
      </c>
    </row>
    <row r="46" spans="1:14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G46">
        <f t="shared" si="5"/>
        <v>7.3362073362073385E-2</v>
      </c>
      <c r="I46">
        <f t="shared" si="0"/>
        <v>2.7404999999999999</v>
      </c>
      <c r="J46">
        <f t="shared" si="1"/>
        <v>0.58266196080932886</v>
      </c>
      <c r="K46">
        <f t="shared" si="2"/>
        <v>-0.30000000000000071</v>
      </c>
      <c r="L46">
        <f t="shared" si="3"/>
        <v>3.0563736925754599</v>
      </c>
      <c r="N46">
        <f t="shared" si="6"/>
        <v>7.3362073362073385E-2</v>
      </c>
    </row>
    <row r="47" spans="1:14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G47">
        <f t="shared" si="5"/>
        <v>0.17003417003417018</v>
      </c>
      <c r="I47">
        <f t="shared" si="0"/>
        <v>2.7404999999999999</v>
      </c>
      <c r="J47">
        <f t="shared" si="1"/>
        <v>0.58266196080932886</v>
      </c>
      <c r="K47">
        <f t="shared" si="2"/>
        <v>-0.30000000000000071</v>
      </c>
      <c r="L47">
        <f t="shared" si="3"/>
        <v>3.0563736925754599</v>
      </c>
      <c r="N47">
        <f t="shared" si="6"/>
        <v>0.17003417003417018</v>
      </c>
    </row>
    <row r="48" spans="1:14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G48">
        <f t="shared" si="5"/>
        <v>9.7260097260097295E-2</v>
      </c>
      <c r="I48">
        <f t="shared" si="0"/>
        <v>4.1404999999999994</v>
      </c>
      <c r="J48">
        <f t="shared" si="1"/>
        <v>0.43985732243822895</v>
      </c>
      <c r="K48">
        <f t="shared" si="2"/>
        <v>-0.30000000000000071</v>
      </c>
      <c r="L48">
        <f t="shared" si="3"/>
        <v>4.3054291898172066</v>
      </c>
      <c r="N48">
        <f t="shared" si="6"/>
        <v>9.7260097260097295E-2</v>
      </c>
    </row>
    <row r="49" spans="1:14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G49">
        <f t="shared" si="5"/>
        <v>0.14444114444114459</v>
      </c>
      <c r="I49">
        <f t="shared" si="0"/>
        <v>4.1404999999999994</v>
      </c>
      <c r="J49">
        <f t="shared" si="1"/>
        <v>0.43985732243822895</v>
      </c>
      <c r="K49">
        <f t="shared" si="2"/>
        <v>-0.30000000000000071</v>
      </c>
      <c r="L49">
        <f t="shared" si="3"/>
        <v>4.3054291898172066</v>
      </c>
      <c r="N49">
        <f t="shared" si="6"/>
        <v>0.14444114444114459</v>
      </c>
    </row>
    <row r="50" spans="1:14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G50">
        <f t="shared" si="5"/>
        <v>0.14603114603114609</v>
      </c>
      <c r="I50">
        <f t="shared" si="0"/>
        <v>4.1404999999999994</v>
      </c>
      <c r="J50">
        <f t="shared" si="1"/>
        <v>0.43985732243822895</v>
      </c>
      <c r="K50">
        <f t="shared" si="2"/>
        <v>-0.30000000000000071</v>
      </c>
      <c r="L50">
        <f t="shared" si="3"/>
        <v>4.3054291898172066</v>
      </c>
      <c r="N50">
        <f t="shared" si="6"/>
        <v>0.14603114603114609</v>
      </c>
    </row>
    <row r="51" spans="1:14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G51">
        <f t="shared" si="5"/>
        <v>0.12197412197412201</v>
      </c>
      <c r="I51">
        <f t="shared" si="0"/>
        <v>4.1404999999999994</v>
      </c>
      <c r="J51">
        <f t="shared" si="1"/>
        <v>0.43985732243822895</v>
      </c>
      <c r="K51">
        <f t="shared" si="2"/>
        <v>-0.30000000000000071</v>
      </c>
      <c r="L51">
        <f t="shared" si="3"/>
        <v>4.3054291898172066</v>
      </c>
      <c r="N51">
        <f t="shared" si="6"/>
        <v>0.12197412197412201</v>
      </c>
    </row>
    <row r="52" spans="1:14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G52">
        <f t="shared" si="5"/>
        <v>7.5276075276075397E-2</v>
      </c>
      <c r="I52">
        <f t="shared" si="0"/>
        <v>4.1404999999999994</v>
      </c>
      <c r="J52">
        <f t="shared" si="1"/>
        <v>0.43985732243822895</v>
      </c>
      <c r="K52">
        <f t="shared" si="2"/>
        <v>-0.30000000000000071</v>
      </c>
      <c r="L52">
        <f t="shared" si="3"/>
        <v>4.3054291898172066</v>
      </c>
      <c r="N52">
        <f t="shared" si="6"/>
        <v>7.5276075276075397E-2</v>
      </c>
    </row>
    <row r="53" spans="1:14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G53">
        <f t="shared" si="5"/>
        <v>0.19237819237819245</v>
      </c>
      <c r="I53">
        <f t="shared" si="0"/>
        <v>4.1404999999999994</v>
      </c>
      <c r="J53">
        <f t="shared" si="1"/>
        <v>0.43985732243822895</v>
      </c>
      <c r="K53">
        <f t="shared" si="2"/>
        <v>-0.30000000000000071</v>
      </c>
      <c r="L53">
        <f t="shared" si="3"/>
        <v>4.3054291898172066</v>
      </c>
      <c r="N53">
        <f t="shared" si="6"/>
        <v>0.19237819237819245</v>
      </c>
    </row>
    <row r="54" spans="1:14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G54">
        <f t="shared" si="5"/>
        <v>0.22926922926922927</v>
      </c>
      <c r="I54">
        <f t="shared" si="0"/>
        <v>4.1404999999999994</v>
      </c>
      <c r="J54">
        <f t="shared" si="1"/>
        <v>0.43985732243822895</v>
      </c>
      <c r="K54">
        <f t="shared" si="2"/>
        <v>-0.30000000000000071</v>
      </c>
      <c r="L54">
        <f t="shared" si="3"/>
        <v>4.3054291898172066</v>
      </c>
      <c r="N54">
        <f t="shared" si="6"/>
        <v>0.22926922926922927</v>
      </c>
    </row>
    <row r="55" spans="1:14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G55">
        <f t="shared" si="5"/>
        <v>0.25654825654825658</v>
      </c>
      <c r="I55">
        <f t="shared" si="0"/>
        <v>4.1404999999999994</v>
      </c>
      <c r="J55">
        <f t="shared" si="1"/>
        <v>0.43985732243822895</v>
      </c>
      <c r="K55">
        <f t="shared" si="2"/>
        <v>-0.30000000000000071</v>
      </c>
      <c r="L55">
        <f t="shared" si="3"/>
        <v>4.3054291898172066</v>
      </c>
      <c r="N55">
        <f t="shared" si="6"/>
        <v>0.25654825654825658</v>
      </c>
    </row>
    <row r="56" spans="1:14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G56">
        <f t="shared" si="5"/>
        <v>0.21369021369021374</v>
      </c>
      <c r="I56">
        <f t="shared" si="0"/>
        <v>4.1404999999999994</v>
      </c>
      <c r="J56">
        <f t="shared" si="1"/>
        <v>0.43985732243822895</v>
      </c>
      <c r="K56">
        <f t="shared" si="2"/>
        <v>-0.30000000000000071</v>
      </c>
      <c r="L56">
        <f t="shared" si="3"/>
        <v>4.3054291898172066</v>
      </c>
      <c r="N56">
        <f t="shared" si="6"/>
        <v>0.21369021369021374</v>
      </c>
    </row>
    <row r="57" spans="1:14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G57">
        <f t="shared" si="5"/>
        <v>0.10111810111810116</v>
      </c>
      <c r="I57">
        <f t="shared" si="0"/>
        <v>4.1404999999999994</v>
      </c>
      <c r="J57">
        <f t="shared" si="1"/>
        <v>0.43985732243822895</v>
      </c>
      <c r="K57">
        <f t="shared" si="2"/>
        <v>-0.30000000000000071</v>
      </c>
      <c r="L57">
        <f t="shared" si="3"/>
        <v>4.3054291898172066</v>
      </c>
      <c r="N57">
        <f t="shared" si="6"/>
        <v>0.10111810111810116</v>
      </c>
    </row>
    <row r="58" spans="1:14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G58">
        <f t="shared" si="5"/>
        <v>3.3228033228033291E-2</v>
      </c>
      <c r="I58">
        <f t="shared" si="0"/>
        <v>4.1404999999999994</v>
      </c>
      <c r="J58">
        <f t="shared" si="1"/>
        <v>0.43985732243822895</v>
      </c>
      <c r="K58">
        <f t="shared" si="2"/>
        <v>-0.30000000000000071</v>
      </c>
      <c r="L58">
        <f t="shared" si="3"/>
        <v>4.3054291898172066</v>
      </c>
      <c r="N58">
        <f t="shared" si="6"/>
        <v>3.3228033228033291E-2</v>
      </c>
    </row>
    <row r="59" spans="1:14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G59">
        <f t="shared" si="5"/>
        <v>0.1889131889131889</v>
      </c>
      <c r="I59">
        <f t="shared" si="0"/>
        <v>4.1404999999999994</v>
      </c>
      <c r="J59">
        <f t="shared" si="1"/>
        <v>0.43985732243822895</v>
      </c>
      <c r="K59">
        <f t="shared" si="2"/>
        <v>-0.30000000000000071</v>
      </c>
      <c r="L59">
        <f t="shared" si="3"/>
        <v>4.3054291898172066</v>
      </c>
      <c r="N59">
        <f t="shared" si="6"/>
        <v>0.1889131889131889</v>
      </c>
    </row>
    <row r="60" spans="1:14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G60">
        <f t="shared" si="5"/>
        <v>0.1218361218361219</v>
      </c>
      <c r="I60">
        <f t="shared" si="0"/>
        <v>4.1404999999999994</v>
      </c>
      <c r="J60">
        <f t="shared" si="1"/>
        <v>0.43985732243822895</v>
      </c>
      <c r="K60">
        <f t="shared" si="2"/>
        <v>-0.30000000000000071</v>
      </c>
      <c r="L60">
        <f t="shared" si="3"/>
        <v>4.3054291898172066</v>
      </c>
      <c r="N60">
        <f t="shared" si="6"/>
        <v>0.1218361218361219</v>
      </c>
    </row>
    <row r="61" spans="1:14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G61">
        <f t="shared" si="5"/>
        <v>9.9591099591099588E-2</v>
      </c>
      <c r="I61">
        <f t="shared" si="0"/>
        <v>4.1404999999999994</v>
      </c>
      <c r="J61">
        <f t="shared" si="1"/>
        <v>0.43985732243822895</v>
      </c>
      <c r="K61">
        <f t="shared" si="2"/>
        <v>-0.30000000000000071</v>
      </c>
      <c r="L61">
        <f t="shared" si="3"/>
        <v>4.3054291898172066</v>
      </c>
      <c r="N61">
        <f t="shared" si="6"/>
        <v>9.9591099591099588E-2</v>
      </c>
    </row>
    <row r="62" spans="1:14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G62">
        <f t="shared" si="5"/>
        <v>0.17869517869517884</v>
      </c>
      <c r="I62">
        <f t="shared" si="0"/>
        <v>7.2904999999999989</v>
      </c>
      <c r="J62">
        <f t="shared" si="1"/>
        <v>-9.2156901541862624E-2</v>
      </c>
      <c r="K62">
        <f t="shared" si="2"/>
        <v>-0.30000000000000071</v>
      </c>
      <c r="L62">
        <f t="shared" si="3"/>
        <v>6.893090155070249</v>
      </c>
      <c r="N62">
        <f t="shared" si="6"/>
        <v>0.17869517869517884</v>
      </c>
    </row>
    <row r="63" spans="1:14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G63">
        <f t="shared" si="5"/>
        <v>0.22195822195822207</v>
      </c>
      <c r="I63">
        <f t="shared" si="0"/>
        <v>7.2904999999999989</v>
      </c>
      <c r="J63">
        <f t="shared" si="1"/>
        <v>-9.2156901541862624E-2</v>
      </c>
      <c r="K63">
        <f t="shared" si="2"/>
        <v>-0.30000000000000071</v>
      </c>
      <c r="L63">
        <f t="shared" si="3"/>
        <v>6.893090155070249</v>
      </c>
      <c r="N63">
        <f t="shared" si="6"/>
        <v>0.22195822195822207</v>
      </c>
    </row>
    <row r="64" spans="1:14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G64">
        <f t="shared" si="5"/>
        <v>0.20695520695520697</v>
      </c>
      <c r="I64">
        <f t="shared" si="0"/>
        <v>7.2904999999999989</v>
      </c>
      <c r="J64">
        <f t="shared" si="1"/>
        <v>-9.2156901541862624E-2</v>
      </c>
      <c r="K64">
        <f t="shared" si="2"/>
        <v>-0.30000000000000071</v>
      </c>
      <c r="L64">
        <f t="shared" si="3"/>
        <v>6.893090155070249</v>
      </c>
      <c r="N64">
        <f t="shared" si="6"/>
        <v>0.20695520695520697</v>
      </c>
    </row>
    <row r="65" spans="1:14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G65">
        <f t="shared" si="5"/>
        <v>0.12630312630312629</v>
      </c>
      <c r="I65">
        <f t="shared" si="0"/>
        <v>7.2904999999999989</v>
      </c>
      <c r="J65">
        <f t="shared" si="1"/>
        <v>-9.2156901541862624E-2</v>
      </c>
      <c r="K65">
        <f t="shared" si="2"/>
        <v>-0.30000000000000071</v>
      </c>
      <c r="L65">
        <f t="shared" si="3"/>
        <v>6.893090155070249</v>
      </c>
      <c r="N65">
        <f t="shared" si="6"/>
        <v>0.12630312630312629</v>
      </c>
    </row>
    <row r="66" spans="1:14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G66">
        <f t="shared" si="5"/>
        <v>0.1312471312471313</v>
      </c>
      <c r="I66">
        <f t="shared" ref="I66:I129" si="7">(E66-0.17)*$S$2</f>
        <v>7.2904999999999989</v>
      </c>
      <c r="J66">
        <f t="shared" ref="J66:J129" si="8">(8-D66)*$S$4</f>
        <v>-9.2156901541862624E-2</v>
      </c>
      <c r="K66">
        <f t="shared" ref="K66:K129" si="9">(C66-20)*$S$3</f>
        <v>-0.30000000000000071</v>
      </c>
      <c r="L66">
        <f t="shared" ref="L66:L129" si="10">SUM(I66:K66)+($V$2*(J66*K66))</f>
        <v>6.893090155070249</v>
      </c>
      <c r="N66">
        <f t="shared" ref="N66:N83" si="11">G66</f>
        <v>0.1312471312471313</v>
      </c>
    </row>
    <row r="67" spans="1:14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G67">
        <f t="shared" ref="G67:G130" si="12">($F$343-F67)/$F$343</f>
        <v>0.16843216843216843</v>
      </c>
      <c r="I67">
        <f t="shared" si="7"/>
        <v>7.2904999999999989</v>
      </c>
      <c r="J67">
        <f t="shared" si="8"/>
        <v>-9.2156901541862624E-2</v>
      </c>
      <c r="K67">
        <f t="shared" si="9"/>
        <v>-0.30000000000000071</v>
      </c>
      <c r="L67">
        <f t="shared" si="10"/>
        <v>6.893090155070249</v>
      </c>
      <c r="N67">
        <f t="shared" si="11"/>
        <v>0.16843216843216843</v>
      </c>
    </row>
    <row r="68" spans="1:14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G68">
        <f t="shared" si="12"/>
        <v>0.19862119862119876</v>
      </c>
      <c r="I68">
        <f t="shared" si="7"/>
        <v>7.2904999999999989</v>
      </c>
      <c r="J68">
        <f t="shared" si="8"/>
        <v>-9.2156901541862624E-2</v>
      </c>
      <c r="K68">
        <f t="shared" si="9"/>
        <v>-0.30000000000000071</v>
      </c>
      <c r="L68">
        <f t="shared" si="10"/>
        <v>6.893090155070249</v>
      </c>
      <c r="N68">
        <f t="shared" si="11"/>
        <v>0.19862119862119876</v>
      </c>
    </row>
    <row r="69" spans="1:14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G69">
        <f t="shared" si="12"/>
        <v>0.20203820203820202</v>
      </c>
      <c r="I69">
        <f t="shared" si="7"/>
        <v>7.2904999999999989</v>
      </c>
      <c r="J69">
        <f t="shared" si="8"/>
        <v>-9.2156901541862624E-2</v>
      </c>
      <c r="K69">
        <f t="shared" si="9"/>
        <v>-0.30000000000000071</v>
      </c>
      <c r="L69">
        <f t="shared" si="10"/>
        <v>6.893090155070249</v>
      </c>
      <c r="N69">
        <f t="shared" si="11"/>
        <v>0.20203820203820202</v>
      </c>
    </row>
    <row r="70" spans="1:14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G70">
        <f t="shared" si="12"/>
        <v>0.21662721662721662</v>
      </c>
      <c r="I70">
        <f t="shared" si="7"/>
        <v>7.2904999999999989</v>
      </c>
      <c r="J70">
        <f t="shared" si="8"/>
        <v>-9.2156901541862624E-2</v>
      </c>
      <c r="K70">
        <f t="shared" si="9"/>
        <v>-0.30000000000000071</v>
      </c>
      <c r="L70">
        <f t="shared" si="10"/>
        <v>6.893090155070249</v>
      </c>
      <c r="N70">
        <f t="shared" si="11"/>
        <v>0.21662721662721662</v>
      </c>
    </row>
    <row r="71" spans="1:14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G71">
        <f t="shared" si="12"/>
        <v>0.22974622974622988</v>
      </c>
      <c r="I71">
        <f t="shared" si="7"/>
        <v>7.2904999999999989</v>
      </c>
      <c r="J71">
        <f t="shared" si="8"/>
        <v>-9.2156901541862624E-2</v>
      </c>
      <c r="K71">
        <f t="shared" si="9"/>
        <v>-0.30000000000000071</v>
      </c>
      <c r="L71">
        <f t="shared" si="10"/>
        <v>6.893090155070249</v>
      </c>
      <c r="N71">
        <f t="shared" si="11"/>
        <v>0.22974622974622988</v>
      </c>
    </row>
    <row r="72" spans="1:14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G72">
        <f t="shared" si="12"/>
        <v>0.21427221427221435</v>
      </c>
      <c r="I72">
        <f t="shared" si="7"/>
        <v>7.2904999999999989</v>
      </c>
      <c r="J72">
        <f t="shared" si="8"/>
        <v>-9.2156901541862624E-2</v>
      </c>
      <c r="K72">
        <f t="shared" si="9"/>
        <v>-0.30000000000000071</v>
      </c>
      <c r="L72">
        <f t="shared" si="10"/>
        <v>6.893090155070249</v>
      </c>
      <c r="N72">
        <f t="shared" si="11"/>
        <v>0.21427221427221435</v>
      </c>
    </row>
    <row r="73" spans="1:14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G73">
        <f t="shared" si="12"/>
        <v>0.20742920742920751</v>
      </c>
      <c r="I73">
        <f t="shared" si="7"/>
        <v>7.2904999999999989</v>
      </c>
      <c r="J73">
        <f t="shared" si="8"/>
        <v>-9.2156901541862624E-2</v>
      </c>
      <c r="K73">
        <f t="shared" si="9"/>
        <v>-0.30000000000000071</v>
      </c>
      <c r="L73">
        <f t="shared" si="10"/>
        <v>6.893090155070249</v>
      </c>
      <c r="N73">
        <f t="shared" si="11"/>
        <v>0.20742920742920751</v>
      </c>
    </row>
    <row r="74" spans="1:14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G74">
        <f t="shared" si="12"/>
        <v>0.24478524478524485</v>
      </c>
      <c r="I74">
        <f t="shared" si="7"/>
        <v>7.2904999999999989</v>
      </c>
      <c r="J74">
        <f t="shared" si="8"/>
        <v>-9.2156901541862624E-2</v>
      </c>
      <c r="K74">
        <f t="shared" si="9"/>
        <v>-0.30000000000000071</v>
      </c>
      <c r="L74">
        <f t="shared" si="10"/>
        <v>6.893090155070249</v>
      </c>
      <c r="N74">
        <f t="shared" si="11"/>
        <v>0.24478524478524485</v>
      </c>
    </row>
    <row r="75" spans="1:14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G75">
        <f t="shared" si="12"/>
        <v>0.25155925155925157</v>
      </c>
      <c r="I75">
        <f t="shared" si="7"/>
        <v>7.2904999999999989</v>
      </c>
      <c r="J75">
        <f t="shared" si="8"/>
        <v>-9.2156901541862624E-2</v>
      </c>
      <c r="K75">
        <f t="shared" si="9"/>
        <v>-0.30000000000000071</v>
      </c>
      <c r="L75">
        <f t="shared" si="10"/>
        <v>6.893090155070249</v>
      </c>
      <c r="N75">
        <f t="shared" si="11"/>
        <v>0.25155925155925157</v>
      </c>
    </row>
    <row r="76" spans="1:14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G76">
        <f t="shared" si="12"/>
        <v>0.16445416445416455</v>
      </c>
      <c r="I76">
        <f t="shared" si="7"/>
        <v>7.2904999999999989</v>
      </c>
      <c r="J76">
        <f t="shared" si="8"/>
        <v>-9.2156901541862624E-2</v>
      </c>
      <c r="K76">
        <f t="shared" si="9"/>
        <v>-0.30000000000000071</v>
      </c>
      <c r="L76">
        <f t="shared" si="10"/>
        <v>6.893090155070249</v>
      </c>
      <c r="N76">
        <f t="shared" si="11"/>
        <v>0.16445416445416455</v>
      </c>
    </row>
    <row r="77" spans="1:14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G77">
        <f t="shared" si="12"/>
        <v>0.18346518346518353</v>
      </c>
      <c r="I77">
        <f t="shared" si="7"/>
        <v>7.2904999999999989</v>
      </c>
      <c r="J77">
        <f t="shared" si="8"/>
        <v>-9.2156901541862624E-2</v>
      </c>
      <c r="K77">
        <f t="shared" si="9"/>
        <v>-0.30000000000000071</v>
      </c>
      <c r="L77">
        <f t="shared" si="10"/>
        <v>6.893090155070249</v>
      </c>
      <c r="N77">
        <f t="shared" si="11"/>
        <v>0.18346518346518353</v>
      </c>
    </row>
    <row r="78" spans="1:14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G78">
        <f t="shared" si="12"/>
        <v>0.17519717519717518</v>
      </c>
      <c r="I78">
        <f t="shared" si="7"/>
        <v>7.2904999999999989</v>
      </c>
      <c r="J78">
        <f t="shared" si="8"/>
        <v>-9.2156901541862624E-2</v>
      </c>
      <c r="K78">
        <f t="shared" si="9"/>
        <v>-0.30000000000000071</v>
      </c>
      <c r="L78">
        <f t="shared" si="10"/>
        <v>6.893090155070249</v>
      </c>
      <c r="N78">
        <f t="shared" si="11"/>
        <v>0.17519717519717518</v>
      </c>
    </row>
    <row r="79" spans="1:14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G79">
        <f t="shared" si="12"/>
        <v>0.18216318216318217</v>
      </c>
      <c r="I79">
        <f t="shared" si="7"/>
        <v>7.2904999999999989</v>
      </c>
      <c r="J79">
        <f t="shared" si="8"/>
        <v>-9.2156901541862624E-2</v>
      </c>
      <c r="K79">
        <f t="shared" si="9"/>
        <v>-0.30000000000000071</v>
      </c>
      <c r="L79">
        <f t="shared" si="10"/>
        <v>6.893090155070249</v>
      </c>
      <c r="N79">
        <f t="shared" si="11"/>
        <v>0.18216318216318217</v>
      </c>
    </row>
    <row r="80" spans="1:14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G80">
        <f t="shared" si="12"/>
        <v>0.17678417678417693</v>
      </c>
      <c r="I80">
        <f t="shared" si="7"/>
        <v>7.2904999999999989</v>
      </c>
      <c r="J80">
        <f t="shared" si="8"/>
        <v>-9.2156901541862624E-2</v>
      </c>
      <c r="K80">
        <f t="shared" si="9"/>
        <v>-0.30000000000000071</v>
      </c>
      <c r="L80">
        <f t="shared" si="10"/>
        <v>6.893090155070249</v>
      </c>
      <c r="N80">
        <f t="shared" si="11"/>
        <v>0.17678417678417693</v>
      </c>
    </row>
    <row r="81" spans="1:14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G81">
        <f t="shared" si="12"/>
        <v>0.248886248886249</v>
      </c>
      <c r="I81">
        <f t="shared" si="7"/>
        <v>7.2904999999999989</v>
      </c>
      <c r="J81">
        <f t="shared" si="8"/>
        <v>-9.2156901541862624E-2</v>
      </c>
      <c r="K81">
        <f t="shared" si="9"/>
        <v>-0.30000000000000071</v>
      </c>
      <c r="L81">
        <f t="shared" si="10"/>
        <v>6.893090155070249</v>
      </c>
      <c r="N81">
        <f t="shared" si="11"/>
        <v>0.248886248886249</v>
      </c>
    </row>
    <row r="82" spans="1:14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G82">
        <f t="shared" si="12"/>
        <v>0.23805023805023809</v>
      </c>
      <c r="I82">
        <f t="shared" si="7"/>
        <v>7.2904999999999989</v>
      </c>
      <c r="J82">
        <f t="shared" si="8"/>
        <v>-9.2156901541862624E-2</v>
      </c>
      <c r="K82">
        <f t="shared" si="9"/>
        <v>-0.30000000000000071</v>
      </c>
      <c r="L82">
        <f t="shared" si="10"/>
        <v>6.893090155070249</v>
      </c>
      <c r="N82">
        <f t="shared" si="11"/>
        <v>0.23805023805023809</v>
      </c>
    </row>
    <row r="83" spans="1:14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G83">
        <f t="shared" si="12"/>
        <v>7.0302070302070377E-2</v>
      </c>
      <c r="I83">
        <f t="shared" si="7"/>
        <v>6.9999999999999958E-3</v>
      </c>
      <c r="J83">
        <f t="shared" si="8"/>
        <v>0.35585504129813117</v>
      </c>
      <c r="K83">
        <f t="shared" si="9"/>
        <v>-0.30000000000000071</v>
      </c>
      <c r="L83">
        <f t="shared" si="10"/>
        <v>8.313877865212399E-2</v>
      </c>
      <c r="N83">
        <f t="shared" si="11"/>
        <v>7.0302070302070377E-2</v>
      </c>
    </row>
    <row r="84" spans="1:14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G84">
        <f t="shared" si="12"/>
        <v>7.7016077016077086E-2</v>
      </c>
      <c r="I84">
        <f t="shared" si="7"/>
        <v>6.9999999999999958E-3</v>
      </c>
      <c r="J84">
        <f t="shared" si="8"/>
        <v>0.35585504129813117</v>
      </c>
      <c r="K84">
        <f t="shared" si="9"/>
        <v>-0.30000000000000071</v>
      </c>
      <c r="L84">
        <f t="shared" si="10"/>
        <v>8.313877865212399E-2</v>
      </c>
      <c r="N84">
        <f t="shared" ref="N84:N133" si="13">G84</f>
        <v>7.7016077016077086E-2</v>
      </c>
    </row>
    <row r="85" spans="1:14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G85">
        <f t="shared" si="12"/>
        <v>0.15660015660015672</v>
      </c>
      <c r="I85">
        <f t="shared" si="7"/>
        <v>6.9999999999999958E-3</v>
      </c>
      <c r="J85">
        <f t="shared" si="8"/>
        <v>0.35585504129813117</v>
      </c>
      <c r="K85">
        <f t="shared" si="9"/>
        <v>-0.30000000000000071</v>
      </c>
      <c r="L85">
        <f t="shared" si="10"/>
        <v>8.313877865212399E-2</v>
      </c>
      <c r="N85">
        <f t="shared" si="13"/>
        <v>0.15660015660015672</v>
      </c>
    </row>
    <row r="86" spans="1:14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G86">
        <f t="shared" si="12"/>
        <v>8.8863088863088968E-2</v>
      </c>
      <c r="I86">
        <f t="shared" si="7"/>
        <v>6.9999999999999958E-3</v>
      </c>
      <c r="J86">
        <f t="shared" si="8"/>
        <v>0.35585504129813117</v>
      </c>
      <c r="K86">
        <f t="shared" si="9"/>
        <v>-0.30000000000000071</v>
      </c>
      <c r="L86">
        <f t="shared" si="10"/>
        <v>8.313877865212399E-2</v>
      </c>
      <c r="N86">
        <f t="shared" si="13"/>
        <v>8.8863088863088968E-2</v>
      </c>
    </row>
    <row r="87" spans="1:14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G87">
        <f t="shared" si="12"/>
        <v>0.15013815013815027</v>
      </c>
      <c r="I87">
        <f t="shared" si="7"/>
        <v>6.9999999999999958E-3</v>
      </c>
      <c r="J87">
        <f t="shared" si="8"/>
        <v>0.35585504129813117</v>
      </c>
      <c r="K87">
        <f t="shared" si="9"/>
        <v>-0.30000000000000071</v>
      </c>
      <c r="L87">
        <f t="shared" si="10"/>
        <v>8.313877865212399E-2</v>
      </c>
      <c r="N87">
        <f t="shared" si="13"/>
        <v>0.15013815013815027</v>
      </c>
    </row>
    <row r="88" spans="1:14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G88">
        <f t="shared" si="12"/>
        <v>0.19714519714519724</v>
      </c>
      <c r="I88">
        <f t="shared" si="7"/>
        <v>6.9999999999999958E-3</v>
      </c>
      <c r="J88">
        <f t="shared" si="8"/>
        <v>0.35585504129813117</v>
      </c>
      <c r="K88">
        <f t="shared" si="9"/>
        <v>-0.30000000000000071</v>
      </c>
      <c r="L88">
        <f t="shared" si="10"/>
        <v>8.313877865212399E-2</v>
      </c>
      <c r="N88">
        <f t="shared" si="13"/>
        <v>0.19714519714519724</v>
      </c>
    </row>
    <row r="89" spans="1:14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G89">
        <f t="shared" si="12"/>
        <v>3.9420039420039549E-2</v>
      </c>
      <c r="I89">
        <f t="shared" si="7"/>
        <v>6.9999999999999958E-3</v>
      </c>
      <c r="J89">
        <f t="shared" si="8"/>
        <v>0.35585504129813117</v>
      </c>
      <c r="K89">
        <f t="shared" si="9"/>
        <v>-0.30000000000000071</v>
      </c>
      <c r="L89">
        <f t="shared" si="10"/>
        <v>8.313877865212399E-2</v>
      </c>
      <c r="N89">
        <f t="shared" si="13"/>
        <v>3.9420039420039549E-2</v>
      </c>
    </row>
    <row r="90" spans="1:14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G90">
        <f t="shared" si="12"/>
        <v>7.8120078120078179E-2</v>
      </c>
      <c r="I90">
        <f t="shared" si="7"/>
        <v>6.9999999999999958E-3</v>
      </c>
      <c r="J90">
        <f t="shared" si="8"/>
        <v>0.35585504129813117</v>
      </c>
      <c r="K90">
        <f t="shared" si="9"/>
        <v>-0.30000000000000071</v>
      </c>
      <c r="L90">
        <f t="shared" si="10"/>
        <v>8.313877865212399E-2</v>
      </c>
      <c r="N90">
        <f t="shared" si="13"/>
        <v>7.8120078120078179E-2</v>
      </c>
    </row>
    <row r="91" spans="1:14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G91">
        <f t="shared" si="12"/>
        <v>0.22653322653322658</v>
      </c>
      <c r="I91">
        <f t="shared" si="7"/>
        <v>6.9999999999999958E-3</v>
      </c>
      <c r="J91">
        <f t="shared" si="8"/>
        <v>0.35585504129813117</v>
      </c>
      <c r="K91">
        <f t="shared" si="9"/>
        <v>-0.30000000000000071</v>
      </c>
      <c r="L91">
        <f t="shared" si="10"/>
        <v>8.313877865212399E-2</v>
      </c>
      <c r="N91">
        <f t="shared" si="13"/>
        <v>0.22653322653322658</v>
      </c>
    </row>
    <row r="92" spans="1:14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G92">
        <f t="shared" si="12"/>
        <v>0.17335217335217348</v>
      </c>
      <c r="I92">
        <f t="shared" si="7"/>
        <v>6.9999999999999958E-3</v>
      </c>
      <c r="J92">
        <f t="shared" si="8"/>
        <v>0.35585504129813117</v>
      </c>
      <c r="K92">
        <f t="shared" si="9"/>
        <v>-0.30000000000000071</v>
      </c>
      <c r="L92">
        <f t="shared" si="10"/>
        <v>8.313877865212399E-2</v>
      </c>
      <c r="N92">
        <f t="shared" si="13"/>
        <v>0.17335217335217348</v>
      </c>
    </row>
    <row r="93" spans="1:14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G93">
        <f t="shared" si="12"/>
        <v>7.6245076245076301E-2</v>
      </c>
      <c r="I93">
        <f t="shared" si="7"/>
        <v>6.9999999999999958E-3</v>
      </c>
      <c r="J93">
        <f t="shared" si="8"/>
        <v>0.35585504129813117</v>
      </c>
      <c r="K93">
        <f t="shared" si="9"/>
        <v>-0.30000000000000071</v>
      </c>
      <c r="L93">
        <f t="shared" si="10"/>
        <v>8.313877865212399E-2</v>
      </c>
      <c r="N93">
        <f t="shared" si="13"/>
        <v>7.6245076245076301E-2</v>
      </c>
    </row>
    <row r="94" spans="1:14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G94">
        <f t="shared" si="12"/>
        <v>0.11988011988011998</v>
      </c>
      <c r="I94">
        <f t="shared" si="7"/>
        <v>3.4999999999999931E-3</v>
      </c>
      <c r="J94">
        <f t="shared" si="8"/>
        <v>3.0103579775645528</v>
      </c>
      <c r="K94">
        <f t="shared" si="9"/>
        <v>-0.30000000000000071</v>
      </c>
      <c r="L94">
        <f t="shared" si="10"/>
        <v>2.8854483822857317</v>
      </c>
      <c r="N94">
        <f t="shared" si="13"/>
        <v>0.11988011988011998</v>
      </c>
    </row>
    <row r="95" spans="1:14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G95">
        <f t="shared" si="12"/>
        <v>9.9945099945100105E-2</v>
      </c>
      <c r="I95">
        <f t="shared" si="7"/>
        <v>3.4999999999999931E-3</v>
      </c>
      <c r="J95">
        <f t="shared" si="8"/>
        <v>3.0103579775645528</v>
      </c>
      <c r="K95">
        <f t="shared" si="9"/>
        <v>-0.30000000000000071</v>
      </c>
      <c r="L95">
        <f t="shared" si="10"/>
        <v>2.8854483822857317</v>
      </c>
      <c r="N95">
        <f t="shared" si="13"/>
        <v>9.9945099945100105E-2</v>
      </c>
    </row>
    <row r="96" spans="1:14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G96">
        <f t="shared" si="12"/>
        <v>2.6313026313026355E-2</v>
      </c>
      <c r="I96">
        <f t="shared" si="7"/>
        <v>3.4999999999999931E-3</v>
      </c>
      <c r="J96">
        <f t="shared" si="8"/>
        <v>3.0103579775645528</v>
      </c>
      <c r="K96">
        <f t="shared" si="9"/>
        <v>-0.30000000000000071</v>
      </c>
      <c r="L96">
        <f t="shared" si="10"/>
        <v>2.8854483822857317</v>
      </c>
      <c r="N96">
        <f t="shared" si="13"/>
        <v>2.6313026313026355E-2</v>
      </c>
    </row>
    <row r="97" spans="1:14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G97">
        <f t="shared" si="12"/>
        <v>0.11459711459711462</v>
      </c>
      <c r="I97">
        <f t="shared" si="7"/>
        <v>3.4999999999999931E-3</v>
      </c>
      <c r="J97">
        <f t="shared" si="8"/>
        <v>3.0103579775645528</v>
      </c>
      <c r="K97">
        <f t="shared" si="9"/>
        <v>-0.30000000000000071</v>
      </c>
      <c r="L97">
        <f t="shared" si="10"/>
        <v>2.8854483822857317</v>
      </c>
      <c r="N97">
        <f t="shared" si="13"/>
        <v>0.11459711459711462</v>
      </c>
    </row>
    <row r="98" spans="1:14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G98">
        <f t="shared" si="12"/>
        <v>0.14822114822114832</v>
      </c>
      <c r="I98">
        <f t="shared" si="7"/>
        <v>3.4999999999999931E-3</v>
      </c>
      <c r="J98">
        <f t="shared" si="8"/>
        <v>3.0103579775645528</v>
      </c>
      <c r="K98">
        <f t="shared" si="9"/>
        <v>-0.30000000000000071</v>
      </c>
      <c r="L98">
        <f t="shared" si="10"/>
        <v>2.8854483822857317</v>
      </c>
      <c r="N98">
        <f t="shared" si="13"/>
        <v>0.14822114822114832</v>
      </c>
    </row>
    <row r="99" spans="1:14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G99">
        <f t="shared" si="12"/>
        <v>0.11827211827211837</v>
      </c>
      <c r="I99">
        <f t="shared" si="7"/>
        <v>3.4999999999999931E-3</v>
      </c>
      <c r="J99">
        <f t="shared" si="8"/>
        <v>3.0103579775645528</v>
      </c>
      <c r="K99">
        <f t="shared" si="9"/>
        <v>-0.30000000000000071</v>
      </c>
      <c r="L99">
        <f t="shared" si="10"/>
        <v>2.8854483822857317</v>
      </c>
      <c r="N99">
        <f t="shared" si="13"/>
        <v>0.11827211827211837</v>
      </c>
    </row>
    <row r="100" spans="1:14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G100">
        <f t="shared" si="12"/>
        <v>8.0295080295080423E-2</v>
      </c>
      <c r="I100">
        <f t="shared" si="7"/>
        <v>3.4999999999999931E-3</v>
      </c>
      <c r="J100">
        <f t="shared" si="8"/>
        <v>3.0103579775645528</v>
      </c>
      <c r="K100">
        <f t="shared" si="9"/>
        <v>-0.30000000000000071</v>
      </c>
      <c r="L100">
        <f t="shared" si="10"/>
        <v>2.8854483822857317</v>
      </c>
      <c r="N100">
        <f t="shared" si="13"/>
        <v>8.0295080295080423E-2</v>
      </c>
    </row>
    <row r="101" spans="1:14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G101">
        <f t="shared" si="12"/>
        <v>0.13963513963513968</v>
      </c>
      <c r="I101">
        <f t="shared" si="7"/>
        <v>3.4999999999999931E-3</v>
      </c>
      <c r="J101">
        <f t="shared" si="8"/>
        <v>3.0103579775645528</v>
      </c>
      <c r="K101">
        <f t="shared" si="9"/>
        <v>-0.30000000000000071</v>
      </c>
      <c r="L101">
        <f t="shared" si="10"/>
        <v>2.8854483822857317</v>
      </c>
      <c r="N101">
        <f t="shared" si="13"/>
        <v>0.13963513963513968</v>
      </c>
    </row>
    <row r="102" spans="1:14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G102">
        <f t="shared" si="12"/>
        <v>9.0018090018090094E-2</v>
      </c>
      <c r="I102">
        <f t="shared" si="7"/>
        <v>3.4999999999999931E-3</v>
      </c>
      <c r="J102">
        <f t="shared" si="8"/>
        <v>6.6365695458465197</v>
      </c>
      <c r="K102">
        <f t="shared" si="9"/>
        <v>-0.30000000000000071</v>
      </c>
      <c r="L102">
        <f t="shared" si="10"/>
        <v>6.7183540099597714</v>
      </c>
      <c r="N102">
        <f t="shared" si="13"/>
        <v>9.0018090018090094E-2</v>
      </c>
    </row>
    <row r="103" spans="1:14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G103">
        <f t="shared" si="12"/>
        <v>6.7830067830067869E-2</v>
      </c>
      <c r="I103">
        <f t="shared" si="7"/>
        <v>3.4999999999999931E-3</v>
      </c>
      <c r="J103">
        <f t="shared" si="8"/>
        <v>6.6365695458465197</v>
      </c>
      <c r="K103">
        <f t="shared" si="9"/>
        <v>-0.30000000000000071</v>
      </c>
      <c r="L103">
        <f t="shared" si="10"/>
        <v>6.7183540099597714</v>
      </c>
      <c r="N103">
        <f t="shared" si="13"/>
        <v>6.7830067830067869E-2</v>
      </c>
    </row>
    <row r="104" spans="1:14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G104">
        <f t="shared" si="12"/>
        <v>0.12582012582012597</v>
      </c>
      <c r="I104">
        <f t="shared" si="7"/>
        <v>3.4999999999999931E-3</v>
      </c>
      <c r="J104">
        <f t="shared" si="8"/>
        <v>6.6365695458465197</v>
      </c>
      <c r="K104">
        <f t="shared" si="9"/>
        <v>-0.30000000000000071</v>
      </c>
      <c r="L104">
        <f t="shared" si="10"/>
        <v>6.7183540099597714</v>
      </c>
      <c r="N104">
        <f t="shared" si="13"/>
        <v>0.12582012582012597</v>
      </c>
    </row>
    <row r="105" spans="1:14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G105">
        <f t="shared" si="12"/>
        <v>8.5638085638085781E-2</v>
      </c>
      <c r="I105">
        <f t="shared" si="7"/>
        <v>3.4999999999999931E-3</v>
      </c>
      <c r="J105">
        <f t="shared" si="8"/>
        <v>6.6365695458465197</v>
      </c>
      <c r="K105">
        <f t="shared" si="9"/>
        <v>-0.30000000000000071</v>
      </c>
      <c r="L105">
        <f t="shared" si="10"/>
        <v>6.7183540099597714</v>
      </c>
      <c r="N105">
        <f t="shared" si="13"/>
        <v>8.5638085638085781E-2</v>
      </c>
    </row>
    <row r="106" spans="1:14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G106">
        <f t="shared" si="12"/>
        <v>0.12505512505512506</v>
      </c>
      <c r="I106">
        <f t="shared" si="7"/>
        <v>3.4999999999999931E-3</v>
      </c>
      <c r="J106">
        <f t="shared" si="8"/>
        <v>6.6365695458465197</v>
      </c>
      <c r="K106">
        <f t="shared" si="9"/>
        <v>-0.30000000000000071</v>
      </c>
      <c r="L106">
        <f t="shared" si="10"/>
        <v>6.7183540099597714</v>
      </c>
      <c r="N106">
        <f t="shared" si="13"/>
        <v>0.12505512505512506</v>
      </c>
    </row>
    <row r="107" spans="1:14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G107">
        <f t="shared" si="12"/>
        <v>0.11157611157611159</v>
      </c>
      <c r="I107">
        <f t="shared" si="7"/>
        <v>3.4999999999999931E-3</v>
      </c>
      <c r="J107">
        <f t="shared" si="8"/>
        <v>6.6365695458465197</v>
      </c>
      <c r="K107">
        <f t="shared" si="9"/>
        <v>-0.30000000000000071</v>
      </c>
      <c r="L107">
        <f t="shared" si="10"/>
        <v>6.7183540099597714</v>
      </c>
      <c r="N107">
        <f t="shared" si="13"/>
        <v>0.11157611157611159</v>
      </c>
    </row>
    <row r="108" spans="1:14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G108">
        <f t="shared" si="12"/>
        <v>5.7864057864057891E-2</v>
      </c>
      <c r="I108">
        <f t="shared" si="7"/>
        <v>3.4999999999999931E-3</v>
      </c>
      <c r="J108">
        <f t="shared" si="8"/>
        <v>6.6365695458465197</v>
      </c>
      <c r="K108">
        <f t="shared" si="9"/>
        <v>-0.30000000000000071</v>
      </c>
      <c r="L108">
        <f t="shared" si="10"/>
        <v>6.7183540099597714</v>
      </c>
      <c r="N108">
        <f t="shared" si="13"/>
        <v>5.7864057864057891E-2</v>
      </c>
    </row>
    <row r="109" spans="1:14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G109">
        <f t="shared" si="12"/>
        <v>5.2425052425052486E-2</v>
      </c>
      <c r="I109">
        <f t="shared" si="7"/>
        <v>3.4999999999999931E-3</v>
      </c>
      <c r="J109">
        <f t="shared" si="8"/>
        <v>6.6365695458465197</v>
      </c>
      <c r="K109">
        <f t="shared" si="9"/>
        <v>-0.30000000000000071</v>
      </c>
      <c r="L109">
        <f t="shared" si="10"/>
        <v>6.7183540099597714</v>
      </c>
      <c r="N109">
        <f t="shared" si="13"/>
        <v>5.2425052425052486E-2</v>
      </c>
    </row>
    <row r="110" spans="1:14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G110">
        <f t="shared" si="12"/>
        <v>8.8752088752088759E-2</v>
      </c>
      <c r="I110">
        <f t="shared" si="7"/>
        <v>3.4999999999999931E-3</v>
      </c>
      <c r="J110">
        <f t="shared" si="8"/>
        <v>6.6365695458465197</v>
      </c>
      <c r="K110">
        <f t="shared" si="9"/>
        <v>-0.30000000000000071</v>
      </c>
      <c r="L110">
        <f t="shared" si="10"/>
        <v>6.7183540099597714</v>
      </c>
      <c r="N110">
        <f t="shared" si="13"/>
        <v>8.8752088752088759E-2</v>
      </c>
    </row>
    <row r="111" spans="1:14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G111">
        <f t="shared" si="12"/>
        <v>8.5953085953085984E-2</v>
      </c>
      <c r="I111">
        <f t="shared" si="7"/>
        <v>3.4999999999999931E-3</v>
      </c>
      <c r="J111">
        <f t="shared" si="8"/>
        <v>8.369906071570405</v>
      </c>
      <c r="K111">
        <f t="shared" si="9"/>
        <v>-0.30000000000000071</v>
      </c>
      <c r="L111">
        <f t="shared" si="10"/>
        <v>8.5504907176499199</v>
      </c>
      <c r="N111">
        <f t="shared" si="13"/>
        <v>8.5953085953085984E-2</v>
      </c>
    </row>
    <row r="112" spans="1:14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G112">
        <f t="shared" si="12"/>
        <v>0.17851217851217854</v>
      </c>
      <c r="I112">
        <f t="shared" si="7"/>
        <v>3.4999999999999931E-3</v>
      </c>
      <c r="J112">
        <f t="shared" si="8"/>
        <v>8.369906071570405</v>
      </c>
      <c r="K112">
        <f t="shared" si="9"/>
        <v>-0.30000000000000071</v>
      </c>
      <c r="L112">
        <f t="shared" si="10"/>
        <v>8.5504907176499199</v>
      </c>
      <c r="N112">
        <f t="shared" si="13"/>
        <v>0.17851217851217854</v>
      </c>
    </row>
    <row r="113" spans="1:14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G113">
        <f t="shared" si="12"/>
        <v>9.2046092046092085E-2</v>
      </c>
      <c r="I113">
        <f t="shared" si="7"/>
        <v>3.4999999999999931E-3</v>
      </c>
      <c r="J113">
        <f t="shared" si="8"/>
        <v>8.369906071570405</v>
      </c>
      <c r="K113">
        <f t="shared" si="9"/>
        <v>-0.30000000000000071</v>
      </c>
      <c r="L113">
        <f t="shared" si="10"/>
        <v>8.5504907176499199</v>
      </c>
      <c r="N113">
        <f t="shared" si="13"/>
        <v>9.2046092046092085E-2</v>
      </c>
    </row>
    <row r="114" spans="1:14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G114">
        <f t="shared" si="12"/>
        <v>0.22262722262722262</v>
      </c>
      <c r="I114">
        <f t="shared" si="7"/>
        <v>3.4999999999999931E-3</v>
      </c>
      <c r="J114">
        <f t="shared" si="8"/>
        <v>8.369906071570405</v>
      </c>
      <c r="K114">
        <f t="shared" si="9"/>
        <v>-0.30000000000000071</v>
      </c>
      <c r="L114">
        <f t="shared" si="10"/>
        <v>8.5504907176499199</v>
      </c>
      <c r="N114">
        <f t="shared" si="13"/>
        <v>0.22262722262722262</v>
      </c>
    </row>
    <row r="115" spans="1:14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G115">
        <f t="shared" si="12"/>
        <v>0.28587628587628594</v>
      </c>
      <c r="I115">
        <f t="shared" si="7"/>
        <v>3.4999999999999931E-3</v>
      </c>
      <c r="J115">
        <f t="shared" si="8"/>
        <v>8.369906071570405</v>
      </c>
      <c r="K115">
        <f t="shared" si="9"/>
        <v>-0.30000000000000071</v>
      </c>
      <c r="L115">
        <f t="shared" si="10"/>
        <v>8.5504907176499199</v>
      </c>
      <c r="N115">
        <f t="shared" si="13"/>
        <v>0.28587628587628594</v>
      </c>
    </row>
    <row r="116" spans="1:14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G116">
        <f t="shared" si="12"/>
        <v>0.36977136977136976</v>
      </c>
      <c r="I116">
        <f t="shared" si="7"/>
        <v>3.4999999999999931E-3</v>
      </c>
      <c r="J116">
        <f t="shared" si="8"/>
        <v>8.369906071570405</v>
      </c>
      <c r="K116">
        <f t="shared" si="9"/>
        <v>-0.30000000000000071</v>
      </c>
      <c r="L116">
        <f t="shared" si="10"/>
        <v>8.5504907176499199</v>
      </c>
      <c r="N116">
        <f t="shared" si="13"/>
        <v>0.36977136977136976</v>
      </c>
    </row>
    <row r="117" spans="1:14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G117">
        <f t="shared" si="12"/>
        <v>0.35826035826035829</v>
      </c>
      <c r="I117">
        <f t="shared" si="7"/>
        <v>3.4999999999999931E-3</v>
      </c>
      <c r="J117">
        <f t="shared" si="8"/>
        <v>8.369906071570405</v>
      </c>
      <c r="K117">
        <f t="shared" si="9"/>
        <v>-0.30000000000000071</v>
      </c>
      <c r="L117">
        <f t="shared" si="10"/>
        <v>8.5504907176499199</v>
      </c>
      <c r="N117">
        <f t="shared" si="13"/>
        <v>0.35826035826035829</v>
      </c>
    </row>
    <row r="118" spans="1:14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G118">
        <f t="shared" si="12"/>
        <v>0.30790230790230794</v>
      </c>
      <c r="I118">
        <f t="shared" si="7"/>
        <v>3.4999999999999931E-3</v>
      </c>
      <c r="J118">
        <f t="shared" si="8"/>
        <v>8.369906071570405</v>
      </c>
      <c r="K118">
        <f t="shared" si="9"/>
        <v>-0.30000000000000071</v>
      </c>
      <c r="L118">
        <f t="shared" si="10"/>
        <v>8.5504907176499199</v>
      </c>
      <c r="N118">
        <f t="shared" si="13"/>
        <v>0.30790230790230794</v>
      </c>
    </row>
    <row r="119" spans="1:14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G119">
        <f t="shared" si="12"/>
        <v>8.5824085824085836E-2</v>
      </c>
      <c r="I119">
        <f t="shared" si="7"/>
        <v>3.4999999999999931E-3</v>
      </c>
      <c r="J119">
        <f t="shared" si="8"/>
        <v>8.369906071570405</v>
      </c>
      <c r="K119">
        <f t="shared" si="9"/>
        <v>-0.30000000000000071</v>
      </c>
      <c r="L119">
        <f t="shared" si="10"/>
        <v>8.5504907176499199</v>
      </c>
      <c r="N119">
        <f t="shared" si="13"/>
        <v>8.5824085824085836E-2</v>
      </c>
    </row>
    <row r="120" spans="1:14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G120">
        <f t="shared" si="12"/>
        <v>0.12098412098412106</v>
      </c>
      <c r="I120">
        <f t="shared" si="7"/>
        <v>3.4999999999999931E-3</v>
      </c>
      <c r="J120">
        <f t="shared" si="8"/>
        <v>8.369906071570405</v>
      </c>
      <c r="K120">
        <f t="shared" si="9"/>
        <v>-0.30000000000000071</v>
      </c>
      <c r="L120">
        <f t="shared" si="10"/>
        <v>8.5504907176499199</v>
      </c>
      <c r="N120">
        <f t="shared" si="13"/>
        <v>0.12098412098412106</v>
      </c>
    </row>
    <row r="121" spans="1:14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G121">
        <f t="shared" si="12"/>
        <v>0.205854205854206</v>
      </c>
      <c r="I121">
        <f t="shared" si="7"/>
        <v>0</v>
      </c>
      <c r="J121">
        <f t="shared" si="8"/>
        <v>9.9352472759738824</v>
      </c>
      <c r="K121">
        <f t="shared" si="9"/>
        <v>-0.30000000000000071</v>
      </c>
      <c r="L121">
        <f t="shared" si="10"/>
        <v>10.201556370704395</v>
      </c>
      <c r="N121">
        <f t="shared" si="13"/>
        <v>0.205854205854206</v>
      </c>
    </row>
    <row r="122" spans="1:14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G122">
        <f t="shared" si="12"/>
        <v>0.17593517593517605</v>
      </c>
      <c r="I122">
        <f t="shared" si="7"/>
        <v>0</v>
      </c>
      <c r="J122">
        <f t="shared" si="8"/>
        <v>9.9352472759738824</v>
      </c>
      <c r="K122">
        <f t="shared" si="9"/>
        <v>-0.30000000000000071</v>
      </c>
      <c r="L122">
        <f t="shared" si="10"/>
        <v>10.201556370704395</v>
      </c>
      <c r="N122">
        <f t="shared" si="13"/>
        <v>0.17593517593517605</v>
      </c>
    </row>
    <row r="123" spans="1:14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G123">
        <f t="shared" si="12"/>
        <v>0.23281223281223293</v>
      </c>
      <c r="I123">
        <f t="shared" si="7"/>
        <v>0</v>
      </c>
      <c r="J123">
        <f t="shared" si="8"/>
        <v>9.9352472759738824</v>
      </c>
      <c r="K123">
        <f t="shared" si="9"/>
        <v>-0.30000000000000071</v>
      </c>
      <c r="L123">
        <f t="shared" si="10"/>
        <v>10.201556370704395</v>
      </c>
      <c r="N123">
        <f t="shared" si="13"/>
        <v>0.23281223281223293</v>
      </c>
    </row>
    <row r="124" spans="1:14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G124">
        <f t="shared" si="12"/>
        <v>0.1909771909771911</v>
      </c>
      <c r="I124">
        <f t="shared" si="7"/>
        <v>0</v>
      </c>
      <c r="J124">
        <f t="shared" si="8"/>
        <v>9.9352472759738824</v>
      </c>
      <c r="K124">
        <f t="shared" si="9"/>
        <v>-0.30000000000000071</v>
      </c>
      <c r="L124">
        <f t="shared" si="10"/>
        <v>10.201556370704395</v>
      </c>
      <c r="N124">
        <f t="shared" si="13"/>
        <v>0.1909771909771911</v>
      </c>
    </row>
    <row r="125" spans="1:14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G125">
        <f t="shared" si="12"/>
        <v>0.26901326901326916</v>
      </c>
      <c r="I125">
        <f t="shared" si="7"/>
        <v>0</v>
      </c>
      <c r="J125">
        <f t="shared" si="8"/>
        <v>9.9352472759738824</v>
      </c>
      <c r="K125">
        <f t="shared" si="9"/>
        <v>-0.30000000000000071</v>
      </c>
      <c r="L125">
        <f t="shared" si="10"/>
        <v>10.201556370704395</v>
      </c>
      <c r="N125">
        <f t="shared" si="13"/>
        <v>0.26901326901326916</v>
      </c>
    </row>
    <row r="126" spans="1:14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G126">
        <f t="shared" si="12"/>
        <v>0.14352014352014361</v>
      </c>
      <c r="I126">
        <f t="shared" si="7"/>
        <v>0</v>
      </c>
      <c r="J126">
        <f t="shared" si="8"/>
        <v>9.9352472759738824</v>
      </c>
      <c r="K126">
        <f t="shared" si="9"/>
        <v>-0.30000000000000071</v>
      </c>
      <c r="L126">
        <f t="shared" si="10"/>
        <v>10.201556370704395</v>
      </c>
      <c r="N126">
        <f t="shared" si="13"/>
        <v>0.14352014352014361</v>
      </c>
    </row>
    <row r="127" spans="1:14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G127">
        <f t="shared" si="12"/>
        <v>0.277023277023277</v>
      </c>
      <c r="I127">
        <f t="shared" si="7"/>
        <v>0</v>
      </c>
      <c r="J127">
        <f t="shared" si="8"/>
        <v>9.9352472759738824</v>
      </c>
      <c r="K127">
        <f t="shared" si="9"/>
        <v>-0.30000000000000071</v>
      </c>
      <c r="L127">
        <f t="shared" si="10"/>
        <v>10.201556370704395</v>
      </c>
      <c r="N127">
        <f t="shared" si="13"/>
        <v>0.277023277023277</v>
      </c>
    </row>
    <row r="128" spans="1:14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G128">
        <f t="shared" si="12"/>
        <v>0.23099423099423111</v>
      </c>
      <c r="I128">
        <f t="shared" si="7"/>
        <v>0</v>
      </c>
      <c r="J128">
        <f t="shared" si="8"/>
        <v>9.9352472759738824</v>
      </c>
      <c r="K128">
        <f t="shared" si="9"/>
        <v>-0.30000000000000071</v>
      </c>
      <c r="L128">
        <f t="shared" si="10"/>
        <v>10.201556370704395</v>
      </c>
      <c r="N128">
        <f t="shared" si="13"/>
        <v>0.23099423099423111</v>
      </c>
    </row>
    <row r="129" spans="1:14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G129">
        <f t="shared" si="12"/>
        <v>0.21545121545121546</v>
      </c>
      <c r="I129">
        <f t="shared" si="7"/>
        <v>0</v>
      </c>
      <c r="J129">
        <f t="shared" si="8"/>
        <v>9.9352472759738824</v>
      </c>
      <c r="K129">
        <f t="shared" si="9"/>
        <v>-0.30000000000000071</v>
      </c>
      <c r="L129">
        <f t="shared" si="10"/>
        <v>10.201556370704395</v>
      </c>
      <c r="N129">
        <f t="shared" si="13"/>
        <v>0.21545121545121546</v>
      </c>
    </row>
    <row r="130" spans="1:14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G130">
        <f t="shared" si="12"/>
        <v>0.23685023685023696</v>
      </c>
      <c r="I130">
        <f t="shared" ref="I130:I193" si="14">(E130-0.17)*$S$2</f>
        <v>0</v>
      </c>
      <c r="J130">
        <f t="shared" ref="J130:J193" si="15">(8-D130)*$S$4</f>
        <v>9.9352472759738824</v>
      </c>
      <c r="K130">
        <f t="shared" ref="K130:K193" si="16">(C130-20)*$S$3</f>
        <v>-0.30000000000000071</v>
      </c>
      <c r="L130">
        <f t="shared" ref="L130:L193" si="17">SUM(I130:K130)+($V$2*(J130*K130))</f>
        <v>10.201556370704395</v>
      </c>
      <c r="N130">
        <f t="shared" si="13"/>
        <v>0.23685023685023696</v>
      </c>
    </row>
    <row r="131" spans="1:14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G131">
        <f t="shared" ref="G131:G194" si="18">($F$343-F131)/$F$343</f>
        <v>0.24973524973524974</v>
      </c>
      <c r="I131">
        <f t="shared" si="14"/>
        <v>0</v>
      </c>
      <c r="J131">
        <f t="shared" si="15"/>
        <v>9.9352472759738824</v>
      </c>
      <c r="K131">
        <f t="shared" si="16"/>
        <v>-0.30000000000000071</v>
      </c>
      <c r="L131">
        <f t="shared" si="17"/>
        <v>10.201556370704395</v>
      </c>
      <c r="N131">
        <f t="shared" si="13"/>
        <v>0.24973524973524974</v>
      </c>
    </row>
    <row r="132" spans="1:14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G132">
        <f t="shared" si="18"/>
        <v>0.18558618558618564</v>
      </c>
      <c r="I132">
        <f t="shared" si="14"/>
        <v>0</v>
      </c>
      <c r="J132">
        <f t="shared" si="15"/>
        <v>9.9352472759738824</v>
      </c>
      <c r="K132">
        <f t="shared" si="16"/>
        <v>-0.30000000000000071</v>
      </c>
      <c r="L132">
        <f t="shared" si="17"/>
        <v>10.201556370704395</v>
      </c>
      <c r="N132">
        <f t="shared" si="13"/>
        <v>0.18558618558618564</v>
      </c>
    </row>
    <row r="133" spans="1:14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G133">
        <f t="shared" si="18"/>
        <v>0.28875328875328882</v>
      </c>
      <c r="I133">
        <f t="shared" si="14"/>
        <v>0</v>
      </c>
      <c r="J133">
        <f t="shared" si="15"/>
        <v>9.9352472759738824</v>
      </c>
      <c r="K133">
        <f t="shared" si="16"/>
        <v>-0.30000000000000071</v>
      </c>
      <c r="L133">
        <f t="shared" si="17"/>
        <v>10.201556370704395</v>
      </c>
      <c r="N133">
        <f t="shared" si="13"/>
        <v>0.28875328875328882</v>
      </c>
    </row>
    <row r="134" spans="1:14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G134">
        <f t="shared" si="18"/>
        <v>0.25128925128925139</v>
      </c>
      <c r="I134">
        <f t="shared" si="14"/>
        <v>0</v>
      </c>
      <c r="J134">
        <f t="shared" si="15"/>
        <v>9.9352472759738824</v>
      </c>
      <c r="K134">
        <f t="shared" si="16"/>
        <v>-0.30000000000000071</v>
      </c>
      <c r="L134">
        <f t="shared" si="17"/>
        <v>10.201556370704395</v>
      </c>
      <c r="N134">
        <f>G134</f>
        <v>0.25128925128925139</v>
      </c>
    </row>
    <row r="135" spans="1:14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G135">
        <f t="shared" si="18"/>
        <v>0.48698748698748695</v>
      </c>
      <c r="I135">
        <f t="shared" si="14"/>
        <v>3.4999999999999931E-3</v>
      </c>
      <c r="J135">
        <f t="shared" si="15"/>
        <v>-0.7334131170760827</v>
      </c>
      <c r="K135">
        <f t="shared" si="16"/>
        <v>-7.6999999999999993</v>
      </c>
      <c r="L135">
        <f t="shared" si="17"/>
        <v>-9.5028965073583898</v>
      </c>
      <c r="N135">
        <f>G135</f>
        <v>0.48698748698748695</v>
      </c>
    </row>
    <row r="136" spans="1:14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G136">
        <f t="shared" si="18"/>
        <v>0.42843642843642843</v>
      </c>
      <c r="I136">
        <f t="shared" si="14"/>
        <v>3.4999999999999931E-3</v>
      </c>
      <c r="J136">
        <f t="shared" si="15"/>
        <v>-0.7334131170760827</v>
      </c>
      <c r="K136">
        <f t="shared" si="16"/>
        <v>-7.6999999999999993</v>
      </c>
      <c r="L136">
        <f t="shared" si="17"/>
        <v>-9.5028965073583898</v>
      </c>
      <c r="N136">
        <f t="shared" ref="N136:N191" si="19">G136</f>
        <v>0.42843642843642843</v>
      </c>
    </row>
    <row r="137" spans="1:14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G137">
        <f t="shared" si="18"/>
        <v>0.4558984558984559</v>
      </c>
      <c r="I137">
        <f t="shared" si="14"/>
        <v>3.4999999999999931E-3</v>
      </c>
      <c r="J137">
        <f t="shared" si="15"/>
        <v>-0.7334131170760827</v>
      </c>
      <c r="K137">
        <f t="shared" si="16"/>
        <v>-7.6999999999999993</v>
      </c>
      <c r="L137">
        <f t="shared" si="17"/>
        <v>-9.5028965073583898</v>
      </c>
      <c r="N137">
        <f t="shared" si="19"/>
        <v>0.4558984558984559</v>
      </c>
    </row>
    <row r="138" spans="1:14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G138">
        <f t="shared" si="18"/>
        <v>0.41305241305241308</v>
      </c>
      <c r="I138">
        <f t="shared" si="14"/>
        <v>3.4999999999999931E-3</v>
      </c>
      <c r="J138">
        <f t="shared" si="15"/>
        <v>-0.7334131170760827</v>
      </c>
      <c r="K138">
        <f t="shared" si="16"/>
        <v>-7.6999999999999993</v>
      </c>
      <c r="L138">
        <f t="shared" si="17"/>
        <v>-9.5028965073583898</v>
      </c>
      <c r="N138">
        <f t="shared" si="19"/>
        <v>0.41305241305241308</v>
      </c>
    </row>
    <row r="139" spans="1:14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G139">
        <f t="shared" si="18"/>
        <v>0.42921342921342925</v>
      </c>
      <c r="I139">
        <f t="shared" si="14"/>
        <v>3.4999999999999931E-3</v>
      </c>
      <c r="J139">
        <f t="shared" si="15"/>
        <v>-0.7334131170760827</v>
      </c>
      <c r="K139">
        <f t="shared" si="16"/>
        <v>-7.6999999999999993</v>
      </c>
      <c r="L139">
        <f t="shared" si="17"/>
        <v>-9.5028965073583898</v>
      </c>
      <c r="N139">
        <f t="shared" si="19"/>
        <v>0.42921342921342925</v>
      </c>
    </row>
    <row r="140" spans="1:14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G140">
        <f t="shared" si="18"/>
        <v>0.46170346170346171</v>
      </c>
      <c r="I140">
        <f t="shared" si="14"/>
        <v>3.4999999999999931E-3</v>
      </c>
      <c r="J140">
        <f t="shared" si="15"/>
        <v>-0.7334131170760827</v>
      </c>
      <c r="K140">
        <f t="shared" si="16"/>
        <v>-7.6999999999999993</v>
      </c>
      <c r="L140">
        <f t="shared" si="17"/>
        <v>-9.5028965073583898</v>
      </c>
      <c r="N140">
        <f t="shared" si="19"/>
        <v>0.46170346170346171</v>
      </c>
    </row>
    <row r="141" spans="1:14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G141">
        <f t="shared" si="18"/>
        <v>0.40313740313740315</v>
      </c>
      <c r="I141">
        <f t="shared" si="14"/>
        <v>3.4999999999999931E-3</v>
      </c>
      <c r="J141">
        <f t="shared" si="15"/>
        <v>-0.7334131170760827</v>
      </c>
      <c r="K141">
        <f t="shared" si="16"/>
        <v>-7.6999999999999993</v>
      </c>
      <c r="L141">
        <f t="shared" si="17"/>
        <v>-9.5028965073583898</v>
      </c>
      <c r="N141">
        <f t="shared" si="19"/>
        <v>0.40313740313740315</v>
      </c>
    </row>
    <row r="142" spans="1:14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G142">
        <f t="shared" si="18"/>
        <v>0.40715440715440715</v>
      </c>
      <c r="I142">
        <f t="shared" si="14"/>
        <v>3.4999999999999931E-3</v>
      </c>
      <c r="J142">
        <f t="shared" si="15"/>
        <v>-0.7334131170760827</v>
      </c>
      <c r="K142">
        <f t="shared" si="16"/>
        <v>-7.6999999999999993</v>
      </c>
      <c r="L142">
        <f t="shared" si="17"/>
        <v>-9.5028965073583898</v>
      </c>
      <c r="N142">
        <f t="shared" si="19"/>
        <v>0.40715440715440715</v>
      </c>
    </row>
    <row r="143" spans="1:14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G143">
        <f t="shared" si="18"/>
        <v>0.44755544755544752</v>
      </c>
      <c r="I143">
        <f t="shared" si="14"/>
        <v>3.4999999999999931E-3</v>
      </c>
      <c r="J143">
        <f t="shared" si="15"/>
        <v>-0.7334131170760827</v>
      </c>
      <c r="K143">
        <f t="shared" si="16"/>
        <v>-7.6999999999999993</v>
      </c>
      <c r="L143">
        <f t="shared" si="17"/>
        <v>-9.5028965073583898</v>
      </c>
      <c r="N143">
        <f t="shared" si="19"/>
        <v>0.44755544755544752</v>
      </c>
    </row>
    <row r="144" spans="1:14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G144">
        <f t="shared" si="18"/>
        <v>0.47937647937647943</v>
      </c>
      <c r="I144">
        <f t="shared" si="14"/>
        <v>3.4999999999999931E-3</v>
      </c>
      <c r="J144">
        <f t="shared" si="15"/>
        <v>-0.7334131170760827</v>
      </c>
      <c r="K144">
        <f t="shared" si="16"/>
        <v>-7.6999999999999993</v>
      </c>
      <c r="L144">
        <f t="shared" si="17"/>
        <v>-9.5028965073583898</v>
      </c>
      <c r="N144">
        <f t="shared" si="19"/>
        <v>0.47937647937647943</v>
      </c>
    </row>
    <row r="145" spans="1:14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G145">
        <f t="shared" si="18"/>
        <v>0.4563994563994565</v>
      </c>
      <c r="I145">
        <f t="shared" si="14"/>
        <v>3.4999999999999931E-3</v>
      </c>
      <c r="J145">
        <f t="shared" si="15"/>
        <v>-0.7334131170760827</v>
      </c>
      <c r="K145">
        <f t="shared" si="16"/>
        <v>-7.6999999999999993</v>
      </c>
      <c r="L145">
        <f t="shared" si="17"/>
        <v>-9.5028965073583898</v>
      </c>
      <c r="N145">
        <f t="shared" si="19"/>
        <v>0.4563994563994565</v>
      </c>
    </row>
    <row r="146" spans="1:14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G146">
        <f t="shared" si="18"/>
        <v>0.45899145899145899</v>
      </c>
      <c r="I146">
        <f t="shared" si="14"/>
        <v>3.4999999999999931E-3</v>
      </c>
      <c r="J146">
        <f t="shared" si="15"/>
        <v>-0.7334131170760827</v>
      </c>
      <c r="K146">
        <f t="shared" si="16"/>
        <v>-7.6999999999999993</v>
      </c>
      <c r="L146">
        <f t="shared" si="17"/>
        <v>-9.5028965073583898</v>
      </c>
      <c r="N146">
        <f t="shared" si="19"/>
        <v>0.45899145899145899</v>
      </c>
    </row>
    <row r="147" spans="1:14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G147">
        <f t="shared" si="18"/>
        <v>0.10250410250410251</v>
      </c>
      <c r="I147">
        <f t="shared" si="14"/>
        <v>0</v>
      </c>
      <c r="J147">
        <f t="shared" si="15"/>
        <v>-0.15657827155401804</v>
      </c>
      <c r="K147">
        <f t="shared" si="16"/>
        <v>-4.0999999999999996</v>
      </c>
      <c r="L147">
        <f t="shared" si="17"/>
        <v>-4.3785527450945976</v>
      </c>
      <c r="N147">
        <f t="shared" si="19"/>
        <v>0.10250410250410251</v>
      </c>
    </row>
    <row r="148" spans="1:14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G148">
        <f t="shared" si="18"/>
        <v>6.3549063549063686E-2</v>
      </c>
      <c r="I148">
        <f t="shared" si="14"/>
        <v>0</v>
      </c>
      <c r="J148">
        <f t="shared" si="15"/>
        <v>-0.15657827155401804</v>
      </c>
      <c r="K148">
        <f t="shared" si="16"/>
        <v>-4.0999999999999996</v>
      </c>
      <c r="L148">
        <f t="shared" si="17"/>
        <v>-4.3785527450945976</v>
      </c>
      <c r="N148">
        <f t="shared" si="19"/>
        <v>6.3549063549063686E-2</v>
      </c>
    </row>
    <row r="149" spans="1:14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G149">
        <f t="shared" si="18"/>
        <v>4.2606042606042768E-2</v>
      </c>
      <c r="I149">
        <f t="shared" si="14"/>
        <v>0</v>
      </c>
      <c r="J149">
        <f t="shared" si="15"/>
        <v>-0.15657827155401804</v>
      </c>
      <c r="K149">
        <f t="shared" si="16"/>
        <v>-4.0999999999999996</v>
      </c>
      <c r="L149">
        <f t="shared" si="17"/>
        <v>-4.3785527450945976</v>
      </c>
      <c r="N149">
        <f t="shared" si="19"/>
        <v>4.2606042606042768E-2</v>
      </c>
    </row>
    <row r="150" spans="1:14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G150">
        <f t="shared" si="18"/>
        <v>0.12865212865212869</v>
      </c>
      <c r="I150">
        <f t="shared" si="14"/>
        <v>0</v>
      </c>
      <c r="J150">
        <f t="shared" si="15"/>
        <v>-0.15657827155401804</v>
      </c>
      <c r="K150">
        <f t="shared" si="16"/>
        <v>-4.0999999999999996</v>
      </c>
      <c r="L150">
        <f t="shared" si="17"/>
        <v>-4.3785527450945976</v>
      </c>
      <c r="N150">
        <f t="shared" si="19"/>
        <v>0.12865212865212869</v>
      </c>
    </row>
    <row r="151" spans="1:14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G151">
        <f t="shared" si="18"/>
        <v>9.0783090783090853E-2</v>
      </c>
      <c r="I151">
        <f t="shared" si="14"/>
        <v>0</v>
      </c>
      <c r="J151">
        <f t="shared" si="15"/>
        <v>-0.15657827155401804</v>
      </c>
      <c r="K151">
        <f t="shared" si="16"/>
        <v>-4.0999999999999996</v>
      </c>
      <c r="L151">
        <f t="shared" si="17"/>
        <v>-4.3785527450945976</v>
      </c>
      <c r="N151">
        <f t="shared" si="19"/>
        <v>9.0783090783090853E-2</v>
      </c>
    </row>
    <row r="152" spans="1:14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G152">
        <f t="shared" si="18"/>
        <v>6.9741069741069778E-2</v>
      </c>
      <c r="I152">
        <f t="shared" si="14"/>
        <v>0</v>
      </c>
      <c r="J152">
        <f t="shared" si="15"/>
        <v>-0.15657827155401804</v>
      </c>
      <c r="K152">
        <f t="shared" si="16"/>
        <v>-4.0999999999999996</v>
      </c>
      <c r="L152">
        <f t="shared" si="17"/>
        <v>-4.3785527450945976</v>
      </c>
      <c r="N152">
        <f t="shared" si="19"/>
        <v>6.9741069741069778E-2</v>
      </c>
    </row>
    <row r="153" spans="1:14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G153">
        <f t="shared" si="18"/>
        <v>3.6132036132036249E-2</v>
      </c>
      <c r="I153">
        <f t="shared" si="14"/>
        <v>0</v>
      </c>
      <c r="J153">
        <f t="shared" si="15"/>
        <v>-0.15657827155401804</v>
      </c>
      <c r="K153">
        <f t="shared" si="16"/>
        <v>-4.0999999999999996</v>
      </c>
      <c r="L153">
        <f t="shared" si="17"/>
        <v>-4.3785527450945976</v>
      </c>
      <c r="N153">
        <f t="shared" si="19"/>
        <v>3.6132036132036249E-2</v>
      </c>
    </row>
    <row r="154" spans="1:14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G154">
        <f t="shared" si="18"/>
        <v>0.18434718434718436</v>
      </c>
      <c r="I154">
        <f t="shared" si="14"/>
        <v>0</v>
      </c>
      <c r="J154">
        <f t="shared" si="15"/>
        <v>-0.15657827155401804</v>
      </c>
      <c r="K154">
        <f t="shared" si="16"/>
        <v>-4.0999999999999996</v>
      </c>
      <c r="L154">
        <f t="shared" si="17"/>
        <v>-4.3785527450945976</v>
      </c>
      <c r="N154">
        <f t="shared" si="19"/>
        <v>0.18434718434718436</v>
      </c>
    </row>
    <row r="155" spans="1:14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G155">
        <f t="shared" si="18"/>
        <v>3.4062034062034188E-2</v>
      </c>
      <c r="I155">
        <f t="shared" si="14"/>
        <v>0</v>
      </c>
      <c r="J155">
        <f t="shared" si="15"/>
        <v>-0.15657827155401804</v>
      </c>
      <c r="K155">
        <f t="shared" si="16"/>
        <v>-4.0999999999999996</v>
      </c>
      <c r="L155">
        <f t="shared" si="17"/>
        <v>-4.3785527450945976</v>
      </c>
      <c r="N155">
        <f t="shared" si="19"/>
        <v>3.4062034062034188E-2</v>
      </c>
    </row>
    <row r="156" spans="1:14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G156">
        <f t="shared" si="18"/>
        <v>0.10909510909510911</v>
      </c>
      <c r="I156">
        <f t="shared" si="14"/>
        <v>0</v>
      </c>
      <c r="J156">
        <f t="shared" si="15"/>
        <v>-0.15657827155401804</v>
      </c>
      <c r="K156">
        <f t="shared" si="16"/>
        <v>-4.0999999999999996</v>
      </c>
      <c r="L156">
        <f t="shared" si="17"/>
        <v>-4.3785527450945976</v>
      </c>
      <c r="N156">
        <f t="shared" si="19"/>
        <v>0.10909510909510911</v>
      </c>
    </row>
    <row r="157" spans="1:14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G157">
        <f t="shared" si="18"/>
        <v>0.12196512196512205</v>
      </c>
      <c r="I157">
        <f t="shared" si="14"/>
        <v>0</v>
      </c>
      <c r="J157">
        <f t="shared" si="15"/>
        <v>-0.15657827155401804</v>
      </c>
      <c r="K157">
        <f t="shared" si="16"/>
        <v>-4.0999999999999996</v>
      </c>
      <c r="L157">
        <f t="shared" si="17"/>
        <v>-4.3785527450945976</v>
      </c>
      <c r="N157">
        <f t="shared" si="19"/>
        <v>0.12196512196512205</v>
      </c>
    </row>
    <row r="158" spans="1:14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G158">
        <f t="shared" si="18"/>
        <v>9.5691095691095823E-2</v>
      </c>
      <c r="I158">
        <f t="shared" si="14"/>
        <v>0</v>
      </c>
      <c r="J158">
        <f t="shared" si="15"/>
        <v>-0.15657827155401804</v>
      </c>
      <c r="K158">
        <f t="shared" si="16"/>
        <v>-4.0999999999999996</v>
      </c>
      <c r="L158">
        <f t="shared" si="17"/>
        <v>-4.3785527450945976</v>
      </c>
      <c r="N158">
        <f t="shared" si="19"/>
        <v>9.5691095691095823E-2</v>
      </c>
    </row>
    <row r="159" spans="1:14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G159">
        <f t="shared" si="18"/>
        <v>0.1656691656691657</v>
      </c>
      <c r="I159">
        <f t="shared" si="14"/>
        <v>1.0499999999999999E-2</v>
      </c>
      <c r="J159">
        <f t="shared" si="15"/>
        <v>-0.36657332749237526</v>
      </c>
      <c r="K159">
        <f t="shared" si="16"/>
        <v>-0.30000000000000071</v>
      </c>
      <c r="L159">
        <f t="shared" si="17"/>
        <v>-0.6769680071594415</v>
      </c>
      <c r="N159">
        <f t="shared" si="19"/>
        <v>0.1656691656691657</v>
      </c>
    </row>
    <row r="160" spans="1:14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G160">
        <f t="shared" si="18"/>
        <v>0.11066111066111066</v>
      </c>
      <c r="I160">
        <f t="shared" si="14"/>
        <v>1.0499999999999999E-2</v>
      </c>
      <c r="J160">
        <f t="shared" si="15"/>
        <v>-0.36657332749237526</v>
      </c>
      <c r="K160">
        <f t="shared" si="16"/>
        <v>-0.30000000000000071</v>
      </c>
      <c r="L160">
        <f t="shared" si="17"/>
        <v>-0.6769680071594415</v>
      </c>
      <c r="N160">
        <f t="shared" si="19"/>
        <v>0.11066111066111066</v>
      </c>
    </row>
    <row r="161" spans="1:14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G161">
        <f t="shared" si="18"/>
        <v>8.7324087324087335E-2</v>
      </c>
      <c r="I161">
        <f t="shared" si="14"/>
        <v>1.0499999999999999E-2</v>
      </c>
      <c r="J161">
        <f t="shared" si="15"/>
        <v>-0.36657332749237526</v>
      </c>
      <c r="K161">
        <f t="shared" si="16"/>
        <v>-0.30000000000000071</v>
      </c>
      <c r="L161">
        <f t="shared" si="17"/>
        <v>-0.6769680071594415</v>
      </c>
      <c r="N161">
        <f t="shared" si="19"/>
        <v>8.7324087324087335E-2</v>
      </c>
    </row>
    <row r="162" spans="1:14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G162">
        <f t="shared" si="18"/>
        <v>0.13644313644313658</v>
      </c>
      <c r="I162">
        <f t="shared" si="14"/>
        <v>1.0499999999999999E-2</v>
      </c>
      <c r="J162">
        <f t="shared" si="15"/>
        <v>-0.36657332749237526</v>
      </c>
      <c r="K162">
        <f t="shared" si="16"/>
        <v>-0.30000000000000071</v>
      </c>
      <c r="L162">
        <f t="shared" si="17"/>
        <v>-0.6769680071594415</v>
      </c>
      <c r="N162">
        <f t="shared" si="19"/>
        <v>0.13644313644313658</v>
      </c>
    </row>
    <row r="163" spans="1:14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G163">
        <f t="shared" si="18"/>
        <v>3.3822033822033824E-2</v>
      </c>
      <c r="I163">
        <f t="shared" si="14"/>
        <v>1.0499999999999999E-2</v>
      </c>
      <c r="J163">
        <f t="shared" si="15"/>
        <v>-0.36657332749237526</v>
      </c>
      <c r="K163">
        <f t="shared" si="16"/>
        <v>-0.30000000000000071</v>
      </c>
      <c r="L163">
        <f t="shared" si="17"/>
        <v>-0.6769680071594415</v>
      </c>
      <c r="N163">
        <f t="shared" si="19"/>
        <v>3.3822033822033824E-2</v>
      </c>
    </row>
    <row r="164" spans="1:14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G164">
        <f t="shared" si="18"/>
        <v>0.14568314568314578</v>
      </c>
      <c r="I164">
        <f t="shared" si="14"/>
        <v>1.0499999999999999E-2</v>
      </c>
      <c r="J164">
        <f t="shared" si="15"/>
        <v>-0.36657332749237526</v>
      </c>
      <c r="K164">
        <f t="shared" si="16"/>
        <v>-0.30000000000000071</v>
      </c>
      <c r="L164">
        <f t="shared" si="17"/>
        <v>-0.6769680071594415</v>
      </c>
      <c r="N164">
        <f t="shared" si="19"/>
        <v>0.14568314568314578</v>
      </c>
    </row>
    <row r="165" spans="1:14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G165">
        <f t="shared" si="18"/>
        <v>8.9760089760089798E-2</v>
      </c>
      <c r="I165">
        <f t="shared" si="14"/>
        <v>1.0499999999999999E-2</v>
      </c>
      <c r="J165">
        <f t="shared" si="15"/>
        <v>-0.36657332749237526</v>
      </c>
      <c r="K165">
        <f t="shared" si="16"/>
        <v>-0.30000000000000071</v>
      </c>
      <c r="L165">
        <f t="shared" si="17"/>
        <v>-0.6769680071594415</v>
      </c>
      <c r="N165">
        <f t="shared" si="19"/>
        <v>8.9760089760089798E-2</v>
      </c>
    </row>
    <row r="166" spans="1:14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G166">
        <f t="shared" si="18"/>
        <v>0.13192213192213206</v>
      </c>
      <c r="I166">
        <f t="shared" si="14"/>
        <v>1.0499999999999999E-2</v>
      </c>
      <c r="J166">
        <f t="shared" si="15"/>
        <v>-0.36657332749237526</v>
      </c>
      <c r="K166">
        <f t="shared" si="16"/>
        <v>-0.30000000000000071</v>
      </c>
      <c r="L166">
        <f t="shared" si="17"/>
        <v>-0.6769680071594415</v>
      </c>
      <c r="N166">
        <f t="shared" si="19"/>
        <v>0.13192213192213206</v>
      </c>
    </row>
    <row r="167" spans="1:14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G167">
        <f t="shared" si="18"/>
        <v>0.1171411171411172</v>
      </c>
      <c r="I167">
        <f t="shared" si="14"/>
        <v>1.0499999999999999E-2</v>
      </c>
      <c r="J167">
        <f t="shared" si="15"/>
        <v>-0.36657332749237526</v>
      </c>
      <c r="K167">
        <f t="shared" si="16"/>
        <v>-0.30000000000000071</v>
      </c>
      <c r="L167">
        <f t="shared" si="17"/>
        <v>-0.6769680071594415</v>
      </c>
      <c r="N167">
        <f t="shared" si="19"/>
        <v>0.1171411171411172</v>
      </c>
    </row>
    <row r="168" spans="1:14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G168">
        <f t="shared" si="18"/>
        <v>9.7017097017097001E-2</v>
      </c>
      <c r="I168">
        <f t="shared" si="14"/>
        <v>1.0499999999999999E-2</v>
      </c>
      <c r="J168">
        <f t="shared" si="15"/>
        <v>-0.36657332749237526</v>
      </c>
      <c r="K168">
        <f t="shared" si="16"/>
        <v>-0.30000000000000071</v>
      </c>
      <c r="L168">
        <f t="shared" si="17"/>
        <v>-0.6769680071594415</v>
      </c>
      <c r="N168">
        <f t="shared" si="19"/>
        <v>9.7017097017097001E-2</v>
      </c>
    </row>
    <row r="169" spans="1:14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G169">
        <f t="shared" si="18"/>
        <v>0.1142911142911144</v>
      </c>
      <c r="I169">
        <f t="shared" si="14"/>
        <v>1.0499999999999999E-2</v>
      </c>
      <c r="J169">
        <f t="shared" si="15"/>
        <v>-0.36657332749237526</v>
      </c>
      <c r="K169">
        <f t="shared" si="16"/>
        <v>-0.30000000000000071</v>
      </c>
      <c r="L169">
        <f t="shared" si="17"/>
        <v>-0.6769680071594415</v>
      </c>
      <c r="N169">
        <f t="shared" si="19"/>
        <v>0.1142911142911144</v>
      </c>
    </row>
    <row r="170" spans="1:14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G170">
        <f t="shared" si="18"/>
        <v>0.11204411204411208</v>
      </c>
      <c r="I170">
        <f t="shared" si="14"/>
        <v>1.0499999999999999E-2</v>
      </c>
      <c r="J170">
        <f t="shared" si="15"/>
        <v>-0.36657332749237526</v>
      </c>
      <c r="K170">
        <f t="shared" si="16"/>
        <v>-0.30000000000000071</v>
      </c>
      <c r="L170">
        <f t="shared" si="17"/>
        <v>-0.6769680071594415</v>
      </c>
      <c r="N170">
        <f t="shared" si="19"/>
        <v>0.11204411204411208</v>
      </c>
    </row>
    <row r="171" spans="1:14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G171">
        <f t="shared" si="18"/>
        <v>0.12794112794112808</v>
      </c>
      <c r="I171">
        <f t="shared" si="14"/>
        <v>1.0499999999999999E-2</v>
      </c>
      <c r="J171">
        <f t="shared" si="15"/>
        <v>-0.36657332749237526</v>
      </c>
      <c r="K171">
        <f t="shared" si="16"/>
        <v>-0.30000000000000071</v>
      </c>
      <c r="L171">
        <f t="shared" si="17"/>
        <v>-0.6769680071594415</v>
      </c>
      <c r="N171">
        <f t="shared" si="19"/>
        <v>0.12794112794112808</v>
      </c>
    </row>
    <row r="172" spans="1:14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G172">
        <f t="shared" si="18"/>
        <v>3.9654039654039706E-2</v>
      </c>
      <c r="I172">
        <f t="shared" si="14"/>
        <v>1.0499999999999999E-2</v>
      </c>
      <c r="J172">
        <f t="shared" si="15"/>
        <v>-0.36657332749237526</v>
      </c>
      <c r="K172">
        <f t="shared" si="16"/>
        <v>-0.30000000000000071</v>
      </c>
      <c r="L172">
        <f t="shared" si="17"/>
        <v>-0.6769680071594415</v>
      </c>
      <c r="N172">
        <f t="shared" si="19"/>
        <v>3.9654039654039706E-2</v>
      </c>
    </row>
    <row r="173" spans="1:14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G173">
        <f t="shared" si="18"/>
        <v>9.6456096456096582E-2</v>
      </c>
      <c r="I173">
        <f t="shared" si="14"/>
        <v>1.0499999999999999E-2</v>
      </c>
      <c r="J173">
        <f t="shared" si="15"/>
        <v>-0.36657332749237526</v>
      </c>
      <c r="K173">
        <f t="shared" si="16"/>
        <v>-0.30000000000000071</v>
      </c>
      <c r="L173">
        <f t="shared" si="17"/>
        <v>-0.6769680071594415</v>
      </c>
      <c r="N173">
        <f t="shared" si="19"/>
        <v>9.6456096456096582E-2</v>
      </c>
    </row>
    <row r="174" spans="1:14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G174">
        <f t="shared" si="18"/>
        <v>8.4594084594084698E-2</v>
      </c>
      <c r="I174">
        <f t="shared" si="14"/>
        <v>1.0499999999999999E-2</v>
      </c>
      <c r="J174">
        <f t="shared" si="15"/>
        <v>-0.36657332749237526</v>
      </c>
      <c r="K174">
        <f t="shared" si="16"/>
        <v>-0.30000000000000071</v>
      </c>
      <c r="L174">
        <f t="shared" si="17"/>
        <v>-0.6769680071594415</v>
      </c>
      <c r="N174">
        <f t="shared" si="19"/>
        <v>8.4594084594084698E-2</v>
      </c>
    </row>
    <row r="175" spans="1:14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G175">
        <f t="shared" si="18"/>
        <v>0.23499323499323502</v>
      </c>
      <c r="I175">
        <f t="shared" si="14"/>
        <v>6.9999999999999958E-3</v>
      </c>
      <c r="J175">
        <f t="shared" si="15"/>
        <v>-0.11453858292379948</v>
      </c>
      <c r="K175">
        <f t="shared" si="16"/>
        <v>5.1000000000000014</v>
      </c>
      <c r="L175">
        <f t="shared" si="17"/>
        <v>5.1034493039293629</v>
      </c>
      <c r="N175">
        <f t="shared" si="19"/>
        <v>0.23499323499323502</v>
      </c>
    </row>
    <row r="176" spans="1:14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G176">
        <f t="shared" si="18"/>
        <v>0.10325710325710337</v>
      </c>
      <c r="I176">
        <f t="shared" si="14"/>
        <v>6.9999999999999958E-3</v>
      </c>
      <c r="J176">
        <f t="shared" si="15"/>
        <v>-0.11453858292379948</v>
      </c>
      <c r="K176">
        <f t="shared" si="16"/>
        <v>5.1000000000000014</v>
      </c>
      <c r="L176">
        <f t="shared" si="17"/>
        <v>5.1034493039293629</v>
      </c>
      <c r="N176">
        <f t="shared" si="19"/>
        <v>0.10325710325710337</v>
      </c>
    </row>
    <row r="177" spans="1:15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G177">
        <f t="shared" si="18"/>
        <v>0.21282921282921294</v>
      </c>
      <c r="I177">
        <f t="shared" si="14"/>
        <v>6.9999999999999958E-3</v>
      </c>
      <c r="J177">
        <f t="shared" si="15"/>
        <v>-0.11453858292379948</v>
      </c>
      <c r="K177">
        <f t="shared" si="16"/>
        <v>5.1000000000000014</v>
      </c>
      <c r="L177">
        <f t="shared" si="17"/>
        <v>5.1034493039293629</v>
      </c>
      <c r="N177">
        <f t="shared" si="19"/>
        <v>0.21282921282921294</v>
      </c>
    </row>
    <row r="178" spans="1:15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G178">
        <f t="shared" si="18"/>
        <v>0.12303012303012316</v>
      </c>
      <c r="I178">
        <f t="shared" si="14"/>
        <v>6.9999999999999958E-3</v>
      </c>
      <c r="J178">
        <f t="shared" si="15"/>
        <v>-0.11453858292379948</v>
      </c>
      <c r="K178">
        <f t="shared" si="16"/>
        <v>5.1000000000000014</v>
      </c>
      <c r="L178">
        <f t="shared" si="17"/>
        <v>5.1034493039293629</v>
      </c>
      <c r="N178">
        <f t="shared" si="19"/>
        <v>0.12303012303012316</v>
      </c>
    </row>
    <row r="179" spans="1:15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G179">
        <f t="shared" si="18"/>
        <v>0.17189717189717199</v>
      </c>
      <c r="I179">
        <f t="shared" si="14"/>
        <v>6.9999999999999958E-3</v>
      </c>
      <c r="J179">
        <f t="shared" si="15"/>
        <v>-0.11453858292379948</v>
      </c>
      <c r="K179">
        <f t="shared" si="16"/>
        <v>5.1000000000000014</v>
      </c>
      <c r="L179">
        <f t="shared" si="17"/>
        <v>5.1034493039293629</v>
      </c>
      <c r="N179">
        <f t="shared" si="19"/>
        <v>0.17189717189717199</v>
      </c>
    </row>
    <row r="180" spans="1:15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G180">
        <f t="shared" si="18"/>
        <v>0.1584421584421585</v>
      </c>
      <c r="I180">
        <f t="shared" si="14"/>
        <v>6.9999999999999958E-3</v>
      </c>
      <c r="J180">
        <f t="shared" si="15"/>
        <v>-0.11453858292379948</v>
      </c>
      <c r="K180">
        <f t="shared" si="16"/>
        <v>5.1000000000000014</v>
      </c>
      <c r="L180">
        <f t="shared" si="17"/>
        <v>5.1034493039293629</v>
      </c>
      <c r="N180">
        <f t="shared" si="19"/>
        <v>0.1584421584421585</v>
      </c>
    </row>
    <row r="181" spans="1:15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G181">
        <f t="shared" si="18"/>
        <v>7.83060783060784E-2</v>
      </c>
      <c r="I181">
        <f t="shared" si="14"/>
        <v>6.9999999999999958E-3</v>
      </c>
      <c r="J181">
        <f t="shared" si="15"/>
        <v>-0.11453858292379948</v>
      </c>
      <c r="K181">
        <f t="shared" si="16"/>
        <v>5.1000000000000014</v>
      </c>
      <c r="L181">
        <f t="shared" si="17"/>
        <v>5.1034493039293629</v>
      </c>
      <c r="N181">
        <f t="shared" si="19"/>
        <v>7.83060783060784E-2</v>
      </c>
    </row>
    <row r="182" spans="1:15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G182">
        <f t="shared" si="18"/>
        <v>0.11038811038811053</v>
      </c>
      <c r="I182">
        <f t="shared" si="14"/>
        <v>6.9999999999999958E-3</v>
      </c>
      <c r="J182">
        <f t="shared" si="15"/>
        <v>-0.11453858292379948</v>
      </c>
      <c r="K182">
        <f t="shared" si="16"/>
        <v>5.1000000000000014</v>
      </c>
      <c r="L182">
        <f t="shared" si="17"/>
        <v>5.1034493039293629</v>
      </c>
      <c r="N182">
        <f t="shared" si="19"/>
        <v>0.11038811038811053</v>
      </c>
    </row>
    <row r="183" spans="1:15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G183">
        <f t="shared" si="18"/>
        <v>9.659109659109659E-2</v>
      </c>
      <c r="I183">
        <f t="shared" si="14"/>
        <v>6.9999999999999958E-3</v>
      </c>
      <c r="J183">
        <f t="shared" si="15"/>
        <v>-0.11453858292379948</v>
      </c>
      <c r="K183">
        <f t="shared" si="16"/>
        <v>5.1000000000000014</v>
      </c>
      <c r="L183">
        <f t="shared" si="17"/>
        <v>5.1034493039293629</v>
      </c>
      <c r="N183">
        <f t="shared" si="19"/>
        <v>9.659109659109659E-2</v>
      </c>
    </row>
    <row r="184" spans="1:15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G184">
        <f t="shared" si="18"/>
        <v>0.17363417363417374</v>
      </c>
      <c r="I184">
        <f t="shared" si="14"/>
        <v>6.9999999999999958E-3</v>
      </c>
      <c r="J184">
        <f t="shared" si="15"/>
        <v>-0.11453858292379948</v>
      </c>
      <c r="K184">
        <f t="shared" si="16"/>
        <v>5.1000000000000014</v>
      </c>
      <c r="L184">
        <f t="shared" si="17"/>
        <v>5.1034493039293629</v>
      </c>
      <c r="N184">
        <f t="shared" si="19"/>
        <v>0.17363417363417374</v>
      </c>
    </row>
    <row r="185" spans="1:15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G185">
        <f t="shared" si="18"/>
        <v>0.32979932979932991</v>
      </c>
      <c r="I185">
        <f t="shared" si="14"/>
        <v>6.9999999999999958E-3</v>
      </c>
      <c r="J185">
        <f t="shared" si="15"/>
        <v>-1.2177648034845774</v>
      </c>
      <c r="K185">
        <f t="shared" si="16"/>
        <v>10.199999999999999</v>
      </c>
      <c r="L185">
        <f t="shared" si="17"/>
        <v>11.349263385668532</v>
      </c>
      <c r="N185">
        <f t="shared" si="19"/>
        <v>0.32979932979932991</v>
      </c>
    </row>
    <row r="186" spans="1:15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G186">
        <f t="shared" si="18"/>
        <v>0.31899931899931905</v>
      </c>
      <c r="I186">
        <f t="shared" si="14"/>
        <v>6.9999999999999958E-3</v>
      </c>
      <c r="J186">
        <f t="shared" si="15"/>
        <v>-1.2177648034845774</v>
      </c>
      <c r="K186">
        <f t="shared" si="16"/>
        <v>10.199999999999999</v>
      </c>
      <c r="L186">
        <f t="shared" si="17"/>
        <v>11.349263385668532</v>
      </c>
      <c r="N186">
        <f t="shared" si="19"/>
        <v>0.31899931899931905</v>
      </c>
    </row>
    <row r="187" spans="1:15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G187">
        <f t="shared" si="18"/>
        <v>0.3282993282993284</v>
      </c>
      <c r="I187">
        <f t="shared" si="14"/>
        <v>6.9999999999999958E-3</v>
      </c>
      <c r="J187">
        <f t="shared" si="15"/>
        <v>-1.2177648034845774</v>
      </c>
      <c r="K187">
        <f t="shared" si="16"/>
        <v>10.199999999999999</v>
      </c>
      <c r="L187">
        <f t="shared" si="17"/>
        <v>11.349263385668532</v>
      </c>
      <c r="N187">
        <f t="shared" si="19"/>
        <v>0.3282993282993284</v>
      </c>
    </row>
    <row r="188" spans="1:15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G188">
        <f t="shared" si="18"/>
        <v>0.21579921579921593</v>
      </c>
      <c r="I188">
        <f t="shared" si="14"/>
        <v>6.9999999999999958E-3</v>
      </c>
      <c r="J188">
        <f t="shared" si="15"/>
        <v>-1.2177648034845774</v>
      </c>
      <c r="K188">
        <f t="shared" si="16"/>
        <v>10.199999999999999</v>
      </c>
      <c r="L188">
        <f t="shared" si="17"/>
        <v>11.349263385668532</v>
      </c>
      <c r="N188">
        <f t="shared" si="19"/>
        <v>0.21579921579921593</v>
      </c>
    </row>
    <row r="189" spans="1:15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G189">
        <f t="shared" si="18"/>
        <v>0.12459912459912463</v>
      </c>
      <c r="I189">
        <f t="shared" si="14"/>
        <v>6.9999999999999958E-3</v>
      </c>
      <c r="J189">
        <f t="shared" si="15"/>
        <v>-1.2177648034845774</v>
      </c>
      <c r="K189">
        <f t="shared" si="16"/>
        <v>10.199999999999999</v>
      </c>
      <c r="L189">
        <f t="shared" si="17"/>
        <v>11.349263385668532</v>
      </c>
      <c r="N189">
        <f t="shared" si="19"/>
        <v>0.12459912459912463</v>
      </c>
    </row>
    <row r="190" spans="1:15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G190">
        <f t="shared" si="18"/>
        <v>0.29289929289929301</v>
      </c>
      <c r="I190">
        <f t="shared" si="14"/>
        <v>6.9999999999999958E-3</v>
      </c>
      <c r="J190">
        <f t="shared" si="15"/>
        <v>-1.2177648034845774</v>
      </c>
      <c r="K190">
        <f t="shared" si="16"/>
        <v>10.199999999999999</v>
      </c>
      <c r="L190">
        <f t="shared" si="17"/>
        <v>11.349263385668532</v>
      </c>
      <c r="N190">
        <f t="shared" si="19"/>
        <v>0.29289929289929301</v>
      </c>
    </row>
    <row r="191" spans="1:15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G191">
        <f t="shared" si="18"/>
        <v>0.11949911949911957</v>
      </c>
      <c r="I191">
        <f t="shared" si="14"/>
        <v>6.9999999999999958E-3</v>
      </c>
      <c r="J191">
        <f t="shared" si="15"/>
        <v>-1.2177648034845774</v>
      </c>
      <c r="K191">
        <f t="shared" si="16"/>
        <v>10.199999999999999</v>
      </c>
      <c r="L191">
        <f t="shared" si="17"/>
        <v>11.349263385668532</v>
      </c>
      <c r="N191">
        <f t="shared" si="19"/>
        <v>0.11949911949911957</v>
      </c>
    </row>
    <row r="192" spans="1:15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G192">
        <f t="shared" si="18"/>
        <v>0.25837825837825845</v>
      </c>
      <c r="I192">
        <f t="shared" si="14"/>
        <v>6.9999999999999958E-3</v>
      </c>
      <c r="J192">
        <f t="shared" si="15"/>
        <v>9.0631848720000114</v>
      </c>
      <c r="K192">
        <f t="shared" si="16"/>
        <v>0.5</v>
      </c>
      <c r="L192">
        <f t="shared" si="17"/>
        <v>8.7091823091600098</v>
      </c>
      <c r="O192">
        <f t="shared" ref="O192:O223" si="20">G192</f>
        <v>0.25837825837825845</v>
      </c>
    </row>
    <row r="193" spans="1:15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G193">
        <f t="shared" si="18"/>
        <v>0.36250536250536258</v>
      </c>
      <c r="I193">
        <f t="shared" si="14"/>
        <v>6.9999999999999958E-3</v>
      </c>
      <c r="J193">
        <f t="shared" si="15"/>
        <v>9.0631848720000114</v>
      </c>
      <c r="K193">
        <f t="shared" si="16"/>
        <v>0.5</v>
      </c>
      <c r="L193">
        <f t="shared" si="17"/>
        <v>8.7091823091600098</v>
      </c>
      <c r="O193">
        <f t="shared" si="20"/>
        <v>0.36250536250536258</v>
      </c>
    </row>
    <row r="194" spans="1:15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G194">
        <f t="shared" si="18"/>
        <v>0.22014622014622015</v>
      </c>
      <c r="I194">
        <f t="shared" ref="I194:I257" si="21">(E194-0.17)*$S$2</f>
        <v>6.9999999999999958E-3</v>
      </c>
      <c r="J194">
        <f t="shared" ref="J194:J257" si="22">(8-D194)*$S$4</f>
        <v>9.0631848720000114</v>
      </c>
      <c r="K194">
        <f t="shared" ref="K194:K257" si="23">(C194-20)*$S$3</f>
        <v>0.5</v>
      </c>
      <c r="L194">
        <f t="shared" ref="L194:L257" si="24">SUM(I194:K194)+($V$2*(J194*K194))</f>
        <v>8.7091823091600098</v>
      </c>
      <c r="O194">
        <f t="shared" si="20"/>
        <v>0.22014622014622015</v>
      </c>
    </row>
    <row r="195" spans="1:15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G195">
        <f t="shared" ref="G195:G258" si="25">($F$343-F195)/$F$343</f>
        <v>0.1317931317931319</v>
      </c>
      <c r="I195">
        <f t="shared" si="21"/>
        <v>6.9999999999999958E-3</v>
      </c>
      <c r="J195">
        <f t="shared" si="22"/>
        <v>9.0631848720000114</v>
      </c>
      <c r="K195">
        <f t="shared" si="23"/>
        <v>0.5</v>
      </c>
      <c r="L195">
        <f t="shared" si="24"/>
        <v>8.7091823091600098</v>
      </c>
      <c r="O195">
        <f t="shared" si="20"/>
        <v>0.1317931317931319</v>
      </c>
    </row>
    <row r="196" spans="1:15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G196">
        <f t="shared" si="25"/>
        <v>0.16340416340416344</v>
      </c>
      <c r="I196">
        <f t="shared" si="21"/>
        <v>6.9999999999999958E-3</v>
      </c>
      <c r="J196">
        <f t="shared" si="22"/>
        <v>9.0631848720000114</v>
      </c>
      <c r="K196">
        <f t="shared" si="23"/>
        <v>0.5</v>
      </c>
      <c r="L196">
        <f t="shared" si="24"/>
        <v>8.7091823091600098</v>
      </c>
      <c r="O196">
        <f t="shared" si="20"/>
        <v>0.16340416340416344</v>
      </c>
    </row>
    <row r="197" spans="1:15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G197">
        <f t="shared" si="25"/>
        <v>0.10337710337710337</v>
      </c>
      <c r="I197">
        <f t="shared" si="21"/>
        <v>6.9999999999999958E-3</v>
      </c>
      <c r="J197">
        <f t="shared" si="22"/>
        <v>9.0631848720000114</v>
      </c>
      <c r="K197">
        <f t="shared" si="23"/>
        <v>0.5</v>
      </c>
      <c r="L197">
        <f t="shared" si="24"/>
        <v>8.7091823091600098</v>
      </c>
      <c r="O197">
        <f t="shared" si="20"/>
        <v>0.10337710337710337</v>
      </c>
    </row>
    <row r="198" spans="1:15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G198">
        <f t="shared" si="25"/>
        <v>0.22258222258222263</v>
      </c>
      <c r="I198">
        <f t="shared" si="21"/>
        <v>6.9999999999999958E-3</v>
      </c>
      <c r="J198">
        <f t="shared" si="22"/>
        <v>9.0631848720000114</v>
      </c>
      <c r="K198">
        <f t="shared" si="23"/>
        <v>0.5</v>
      </c>
      <c r="L198">
        <f t="shared" si="24"/>
        <v>8.7091823091600098</v>
      </c>
      <c r="O198">
        <f t="shared" si="20"/>
        <v>0.22258222258222263</v>
      </c>
    </row>
    <row r="199" spans="1:15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G199">
        <f t="shared" si="25"/>
        <v>0.31978531978531982</v>
      </c>
      <c r="I199">
        <f t="shared" si="21"/>
        <v>6.9999999999999958E-3</v>
      </c>
      <c r="J199">
        <f t="shared" si="22"/>
        <v>9.0631848720000114</v>
      </c>
      <c r="K199">
        <f t="shared" si="23"/>
        <v>0.5</v>
      </c>
      <c r="L199">
        <f t="shared" si="24"/>
        <v>8.7091823091600098</v>
      </c>
      <c r="O199">
        <f t="shared" si="20"/>
        <v>0.31978531978531982</v>
      </c>
    </row>
    <row r="200" spans="1:15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G200">
        <f t="shared" si="25"/>
        <v>0.20973620973620982</v>
      </c>
      <c r="I200">
        <f t="shared" si="21"/>
        <v>6.9999999999999958E-3</v>
      </c>
      <c r="J200">
        <f t="shared" si="22"/>
        <v>9.0631848720000114</v>
      </c>
      <c r="K200">
        <f t="shared" si="23"/>
        <v>0.5</v>
      </c>
      <c r="L200">
        <f t="shared" si="24"/>
        <v>8.7091823091600098</v>
      </c>
      <c r="O200">
        <f t="shared" si="20"/>
        <v>0.20973620973620982</v>
      </c>
    </row>
    <row r="201" spans="1:15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G201">
        <f t="shared" si="25"/>
        <v>0.30717630717630728</v>
      </c>
      <c r="I201">
        <f t="shared" si="21"/>
        <v>6.9999999999999958E-3</v>
      </c>
      <c r="J201">
        <f t="shared" si="22"/>
        <v>9.0631848720000114</v>
      </c>
      <c r="K201">
        <f t="shared" si="23"/>
        <v>0.5</v>
      </c>
      <c r="L201">
        <f t="shared" si="24"/>
        <v>8.7091823091600098</v>
      </c>
      <c r="O201">
        <f t="shared" si="20"/>
        <v>0.30717630717630728</v>
      </c>
    </row>
    <row r="202" spans="1:15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G202">
        <f t="shared" si="25"/>
        <v>0.27905127905127919</v>
      </c>
      <c r="I202">
        <f t="shared" si="21"/>
        <v>6.9999999999999958E-3</v>
      </c>
      <c r="J202">
        <f t="shared" si="22"/>
        <v>9.0631848720000114</v>
      </c>
      <c r="K202">
        <f t="shared" si="23"/>
        <v>0.5</v>
      </c>
      <c r="L202">
        <f t="shared" si="24"/>
        <v>8.7091823091600098</v>
      </c>
      <c r="O202">
        <f t="shared" si="20"/>
        <v>0.27905127905127919</v>
      </c>
    </row>
    <row r="203" spans="1:15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G203">
        <f t="shared" si="25"/>
        <v>0.30697530697530706</v>
      </c>
      <c r="I203">
        <f t="shared" si="21"/>
        <v>3.4999999999999931E-3</v>
      </c>
      <c r="J203">
        <f t="shared" si="22"/>
        <v>9.0631848720000114</v>
      </c>
      <c r="K203">
        <f t="shared" si="23"/>
        <v>0.69999999999999929</v>
      </c>
      <c r="L203">
        <f t="shared" si="24"/>
        <v>8.5612812840240107</v>
      </c>
      <c r="O203">
        <f t="shared" si="20"/>
        <v>0.30697530697530706</v>
      </c>
    </row>
    <row r="204" spans="1:15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G204">
        <f t="shared" si="25"/>
        <v>0.13455913455913457</v>
      </c>
      <c r="I204">
        <f t="shared" si="21"/>
        <v>3.4999999999999931E-3</v>
      </c>
      <c r="J204">
        <f t="shared" si="22"/>
        <v>9.0631848720000114</v>
      </c>
      <c r="K204">
        <f t="shared" si="23"/>
        <v>0.69999999999999929</v>
      </c>
      <c r="L204">
        <f t="shared" si="24"/>
        <v>8.5612812840240107</v>
      </c>
      <c r="O204">
        <f t="shared" si="20"/>
        <v>0.13455913455913457</v>
      </c>
    </row>
    <row r="205" spans="1:15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G205">
        <f t="shared" si="25"/>
        <v>7.4910074910074981E-2</v>
      </c>
      <c r="I205">
        <f t="shared" si="21"/>
        <v>3.4999999999999931E-3</v>
      </c>
      <c r="J205">
        <f t="shared" si="22"/>
        <v>9.0631848720000114</v>
      </c>
      <c r="K205">
        <f t="shared" si="23"/>
        <v>0.69999999999999929</v>
      </c>
      <c r="L205">
        <f t="shared" si="24"/>
        <v>8.5612812840240107</v>
      </c>
      <c r="O205">
        <f t="shared" si="20"/>
        <v>7.4910074910074981E-2</v>
      </c>
    </row>
    <row r="206" spans="1:15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G206">
        <f t="shared" si="25"/>
        <v>0.16990816990816995</v>
      </c>
      <c r="I206">
        <f t="shared" si="21"/>
        <v>3.4999999999999931E-3</v>
      </c>
      <c r="J206">
        <f t="shared" si="22"/>
        <v>9.0631848720000114</v>
      </c>
      <c r="K206">
        <f t="shared" si="23"/>
        <v>0.69999999999999929</v>
      </c>
      <c r="L206">
        <f t="shared" si="24"/>
        <v>8.5612812840240107</v>
      </c>
      <c r="O206">
        <f t="shared" si="20"/>
        <v>0.16990816990816995</v>
      </c>
    </row>
    <row r="207" spans="1:15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G207">
        <f t="shared" si="25"/>
        <v>0.26257226257226257</v>
      </c>
      <c r="I207">
        <f t="shared" si="21"/>
        <v>2.3904999999999998</v>
      </c>
      <c r="J207">
        <f t="shared" si="22"/>
        <v>0.88175334799999305</v>
      </c>
      <c r="K207">
        <f t="shared" si="23"/>
        <v>0.60000000000000142</v>
      </c>
      <c r="L207">
        <f t="shared" si="24"/>
        <v>3.7717334663279951</v>
      </c>
      <c r="O207">
        <f t="shared" si="20"/>
        <v>0.26257226257226257</v>
      </c>
    </row>
    <row r="208" spans="1:15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G208">
        <f t="shared" si="25"/>
        <v>0.17667617667617683</v>
      </c>
      <c r="I208">
        <f t="shared" si="21"/>
        <v>2.3904999999999998</v>
      </c>
      <c r="J208">
        <f t="shared" si="22"/>
        <v>0.88175334799999305</v>
      </c>
      <c r="K208">
        <f t="shared" si="23"/>
        <v>0.60000000000000142</v>
      </c>
      <c r="L208">
        <f t="shared" si="24"/>
        <v>3.7717334663279951</v>
      </c>
      <c r="O208">
        <f t="shared" si="20"/>
        <v>0.17667617667617683</v>
      </c>
    </row>
    <row r="209" spans="1:15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G209">
        <f t="shared" si="25"/>
        <v>0.33030033030033035</v>
      </c>
      <c r="I209">
        <f t="shared" si="21"/>
        <v>2.3904999999999998</v>
      </c>
      <c r="J209">
        <f t="shared" si="22"/>
        <v>0.88175334799999305</v>
      </c>
      <c r="K209">
        <f t="shared" si="23"/>
        <v>0.60000000000000142</v>
      </c>
      <c r="L209">
        <f t="shared" si="24"/>
        <v>3.7717334663279951</v>
      </c>
      <c r="O209">
        <f t="shared" si="20"/>
        <v>0.33030033030033035</v>
      </c>
    </row>
    <row r="210" spans="1:15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G210">
        <f t="shared" si="25"/>
        <v>0.12861312861312871</v>
      </c>
      <c r="I210">
        <f t="shared" si="21"/>
        <v>2.3904999999999998</v>
      </c>
      <c r="J210">
        <f t="shared" si="22"/>
        <v>0.88175334799999305</v>
      </c>
      <c r="K210">
        <f t="shared" si="23"/>
        <v>0.60000000000000142</v>
      </c>
      <c r="L210">
        <f t="shared" si="24"/>
        <v>3.7717334663279951</v>
      </c>
      <c r="O210">
        <f t="shared" si="20"/>
        <v>0.12861312861312871</v>
      </c>
    </row>
    <row r="211" spans="1:15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G211">
        <f t="shared" si="25"/>
        <v>0.11312111312111327</v>
      </c>
      <c r="I211">
        <f t="shared" si="21"/>
        <v>2.3904999999999998</v>
      </c>
      <c r="J211">
        <f t="shared" si="22"/>
        <v>0.88175334799999305</v>
      </c>
      <c r="K211">
        <f t="shared" si="23"/>
        <v>0.60000000000000142</v>
      </c>
      <c r="L211">
        <f t="shared" si="24"/>
        <v>3.7717334663279951</v>
      </c>
      <c r="O211">
        <f t="shared" si="20"/>
        <v>0.11312111312111327</v>
      </c>
    </row>
    <row r="212" spans="1:15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G212">
        <f t="shared" si="25"/>
        <v>0.10810510810510818</v>
      </c>
      <c r="I212">
        <f t="shared" si="21"/>
        <v>2.3904999999999998</v>
      </c>
      <c r="J212">
        <f t="shared" si="22"/>
        <v>0.88175334799999305</v>
      </c>
      <c r="K212">
        <f t="shared" si="23"/>
        <v>0.60000000000000142</v>
      </c>
      <c r="L212">
        <f t="shared" si="24"/>
        <v>3.7717334663279951</v>
      </c>
      <c r="O212">
        <f t="shared" si="20"/>
        <v>0.10810510810510818</v>
      </c>
    </row>
    <row r="213" spans="1:15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G213">
        <f t="shared" si="25"/>
        <v>0.17821217821217836</v>
      </c>
      <c r="I213">
        <f t="shared" si="21"/>
        <v>2.3904999999999998</v>
      </c>
      <c r="J213">
        <f t="shared" si="22"/>
        <v>0.88175334799999305</v>
      </c>
      <c r="K213">
        <f t="shared" si="23"/>
        <v>0.60000000000000142</v>
      </c>
      <c r="L213">
        <f t="shared" si="24"/>
        <v>3.7717334663279951</v>
      </c>
      <c r="O213">
        <f t="shared" si="20"/>
        <v>0.17821217821217836</v>
      </c>
    </row>
    <row r="214" spans="1:15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G214">
        <f t="shared" si="25"/>
        <v>0.23441423441423451</v>
      </c>
      <c r="I214">
        <f t="shared" si="21"/>
        <v>2.3904999999999998</v>
      </c>
      <c r="J214">
        <f t="shared" si="22"/>
        <v>0.88175334799999305</v>
      </c>
      <c r="K214">
        <f t="shared" si="23"/>
        <v>0.60000000000000142</v>
      </c>
      <c r="L214">
        <f t="shared" si="24"/>
        <v>3.7717334663279951</v>
      </c>
      <c r="O214">
        <f t="shared" si="20"/>
        <v>0.23441423441423451</v>
      </c>
    </row>
    <row r="215" spans="1:15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G215">
        <f t="shared" si="25"/>
        <v>0.22345222345222354</v>
      </c>
      <c r="I215">
        <f t="shared" si="21"/>
        <v>2.3904999999999998</v>
      </c>
      <c r="J215">
        <f t="shared" si="22"/>
        <v>0.88175334799999305</v>
      </c>
      <c r="K215">
        <f t="shared" si="23"/>
        <v>0.60000000000000142</v>
      </c>
      <c r="L215">
        <f t="shared" si="24"/>
        <v>3.7717334663279951</v>
      </c>
      <c r="O215">
        <f t="shared" si="20"/>
        <v>0.22345222345222354</v>
      </c>
    </row>
    <row r="216" spans="1:15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G216">
        <f t="shared" si="25"/>
        <v>0.32388632388632399</v>
      </c>
      <c r="I216">
        <f t="shared" si="21"/>
        <v>2.3904999999999998</v>
      </c>
      <c r="J216">
        <f t="shared" si="22"/>
        <v>0.88175334799999305</v>
      </c>
      <c r="K216">
        <f t="shared" si="23"/>
        <v>0.60000000000000142</v>
      </c>
      <c r="L216">
        <f t="shared" si="24"/>
        <v>3.7717334663279951</v>
      </c>
      <c r="O216">
        <f t="shared" si="20"/>
        <v>0.32388632388632399</v>
      </c>
    </row>
    <row r="217" spans="1:15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G217">
        <f t="shared" si="25"/>
        <v>0.14104214104214105</v>
      </c>
      <c r="I217">
        <f t="shared" si="21"/>
        <v>2.7404999999999999</v>
      </c>
      <c r="J217">
        <f t="shared" si="22"/>
        <v>0.88175334799999305</v>
      </c>
      <c r="K217">
        <f t="shared" si="23"/>
        <v>0.5</v>
      </c>
      <c r="L217">
        <f t="shared" si="24"/>
        <v>4.0384867799399933</v>
      </c>
      <c r="O217">
        <f t="shared" si="20"/>
        <v>0.14104214104214105</v>
      </c>
    </row>
    <row r="218" spans="1:15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G218">
        <f t="shared" si="25"/>
        <v>0.11504111504111514</v>
      </c>
      <c r="I218">
        <f t="shared" si="21"/>
        <v>2.7404999999999999</v>
      </c>
      <c r="J218">
        <f t="shared" si="22"/>
        <v>0.88175334799999305</v>
      </c>
      <c r="K218">
        <f t="shared" si="23"/>
        <v>0.5</v>
      </c>
      <c r="L218">
        <f t="shared" si="24"/>
        <v>4.0384867799399933</v>
      </c>
      <c r="O218">
        <f t="shared" si="20"/>
        <v>0.11504111504111514</v>
      </c>
    </row>
    <row r="219" spans="1:15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G219">
        <f t="shared" si="25"/>
        <v>0.20247320247320258</v>
      </c>
      <c r="I219">
        <f t="shared" si="21"/>
        <v>2.7404999999999999</v>
      </c>
      <c r="J219">
        <f t="shared" si="22"/>
        <v>0.88175334799999305</v>
      </c>
      <c r="K219">
        <f t="shared" si="23"/>
        <v>0.5</v>
      </c>
      <c r="L219">
        <f t="shared" si="24"/>
        <v>4.0384867799399933</v>
      </c>
      <c r="O219">
        <f t="shared" si="20"/>
        <v>0.20247320247320258</v>
      </c>
    </row>
    <row r="220" spans="1:15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G220">
        <f t="shared" si="25"/>
        <v>0.18697818697818702</v>
      </c>
      <c r="I220">
        <f t="shared" si="21"/>
        <v>2.7404999999999999</v>
      </c>
      <c r="J220">
        <f t="shared" si="22"/>
        <v>0.88175334799999305</v>
      </c>
      <c r="K220">
        <f t="shared" si="23"/>
        <v>0.5</v>
      </c>
      <c r="L220">
        <f t="shared" si="24"/>
        <v>4.0384867799399933</v>
      </c>
      <c r="O220">
        <f t="shared" si="20"/>
        <v>0.18697818697818702</v>
      </c>
    </row>
    <row r="221" spans="1:15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G221">
        <f t="shared" si="25"/>
        <v>0.13763113763113766</v>
      </c>
      <c r="I221">
        <f t="shared" si="21"/>
        <v>2.7404999999999999</v>
      </c>
      <c r="J221">
        <f t="shared" si="22"/>
        <v>0.88175334799999305</v>
      </c>
      <c r="K221">
        <f t="shared" si="23"/>
        <v>0.5</v>
      </c>
      <c r="L221">
        <f t="shared" si="24"/>
        <v>4.0384867799399933</v>
      </c>
      <c r="O221">
        <f t="shared" si="20"/>
        <v>0.13763113763113766</v>
      </c>
    </row>
    <row r="222" spans="1:15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G222">
        <f t="shared" si="25"/>
        <v>7.3737073737073749E-2</v>
      </c>
      <c r="I222">
        <f t="shared" si="21"/>
        <v>2.7404999999999999</v>
      </c>
      <c r="J222">
        <f t="shared" si="22"/>
        <v>0.88175334799999305</v>
      </c>
      <c r="K222">
        <f t="shared" si="23"/>
        <v>0.5</v>
      </c>
      <c r="L222">
        <f t="shared" si="24"/>
        <v>4.0384867799399933</v>
      </c>
      <c r="O222">
        <f t="shared" si="20"/>
        <v>7.3737073737073749E-2</v>
      </c>
    </row>
    <row r="223" spans="1:15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G223">
        <f t="shared" si="25"/>
        <v>3.7203037203037234E-2</v>
      </c>
      <c r="I223">
        <f t="shared" si="21"/>
        <v>2.7404999999999999</v>
      </c>
      <c r="J223">
        <f t="shared" si="22"/>
        <v>0.88175334799999305</v>
      </c>
      <c r="K223">
        <f t="shared" si="23"/>
        <v>0.5</v>
      </c>
      <c r="L223">
        <f t="shared" si="24"/>
        <v>4.0384867799399933</v>
      </c>
      <c r="O223">
        <f t="shared" si="20"/>
        <v>3.7203037203037234E-2</v>
      </c>
    </row>
    <row r="224" spans="1:15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G224">
        <f t="shared" si="25"/>
        <v>0.20415020415020416</v>
      </c>
      <c r="I224">
        <f t="shared" si="21"/>
        <v>2.7404999999999999</v>
      </c>
      <c r="J224">
        <f t="shared" si="22"/>
        <v>0.88175334799999305</v>
      </c>
      <c r="K224">
        <f t="shared" si="23"/>
        <v>0.5</v>
      </c>
      <c r="L224">
        <f t="shared" si="24"/>
        <v>4.0384867799399933</v>
      </c>
      <c r="O224">
        <f t="shared" ref="O224:O255" si="26">G224</f>
        <v>0.20415020415020416</v>
      </c>
    </row>
    <row r="225" spans="1:15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G225">
        <f t="shared" si="25"/>
        <v>0.19727719727719731</v>
      </c>
      <c r="I225">
        <f t="shared" si="21"/>
        <v>0</v>
      </c>
      <c r="J225">
        <f t="shared" si="22"/>
        <v>6.930171780000002</v>
      </c>
      <c r="K225">
        <f t="shared" si="23"/>
        <v>5.5</v>
      </c>
      <c r="L225">
        <f t="shared" si="24"/>
        <v>5.1881422698999993</v>
      </c>
      <c r="O225">
        <f t="shared" si="26"/>
        <v>0.19727719727719731</v>
      </c>
    </row>
    <row r="226" spans="1:15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G226">
        <f t="shared" si="25"/>
        <v>2.0073020073020163E-2</v>
      </c>
      <c r="I226">
        <f t="shared" si="21"/>
        <v>0</v>
      </c>
      <c r="J226">
        <f t="shared" si="22"/>
        <v>6.930171780000002</v>
      </c>
      <c r="K226">
        <f t="shared" si="23"/>
        <v>5.5</v>
      </c>
      <c r="L226">
        <f t="shared" si="24"/>
        <v>5.1881422698999993</v>
      </c>
      <c r="O226">
        <f t="shared" si="26"/>
        <v>2.0073020073020163E-2</v>
      </c>
    </row>
    <row r="227" spans="1:15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G227">
        <f t="shared" si="25"/>
        <v>0.13100113100113109</v>
      </c>
      <c r="I227">
        <f t="shared" si="21"/>
        <v>0</v>
      </c>
      <c r="J227">
        <f t="shared" si="22"/>
        <v>6.930171780000002</v>
      </c>
      <c r="K227">
        <f t="shared" si="23"/>
        <v>5.5</v>
      </c>
      <c r="L227">
        <f t="shared" si="24"/>
        <v>5.1881422698999993</v>
      </c>
      <c r="O227">
        <f t="shared" si="26"/>
        <v>0.13100113100113109</v>
      </c>
    </row>
    <row r="228" spans="1:15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G228">
        <f t="shared" si="25"/>
        <v>0.20960420960420975</v>
      </c>
      <c r="I228">
        <f t="shared" si="21"/>
        <v>0</v>
      </c>
      <c r="J228">
        <f t="shared" si="22"/>
        <v>6.930171780000002</v>
      </c>
      <c r="K228">
        <f t="shared" si="23"/>
        <v>5.5</v>
      </c>
      <c r="L228">
        <f t="shared" si="24"/>
        <v>5.1881422698999993</v>
      </c>
      <c r="O228">
        <f t="shared" si="26"/>
        <v>0.20960420960420975</v>
      </c>
    </row>
    <row r="229" spans="1:15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G229">
        <f t="shared" si="25"/>
        <v>9.6078096078096101E-2</v>
      </c>
      <c r="I229">
        <f t="shared" si="21"/>
        <v>0</v>
      </c>
      <c r="J229">
        <f t="shared" si="22"/>
        <v>6.930171780000002</v>
      </c>
      <c r="K229">
        <f t="shared" si="23"/>
        <v>5.5</v>
      </c>
      <c r="L229">
        <f t="shared" si="24"/>
        <v>5.1881422698999993</v>
      </c>
      <c r="O229">
        <f t="shared" si="26"/>
        <v>9.6078096078096101E-2</v>
      </c>
    </row>
    <row r="230" spans="1:15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G230">
        <f t="shared" si="25"/>
        <v>0.14110214110214123</v>
      </c>
      <c r="I230">
        <f t="shared" si="21"/>
        <v>0</v>
      </c>
      <c r="J230">
        <f t="shared" si="22"/>
        <v>6.930171780000002</v>
      </c>
      <c r="K230">
        <f t="shared" si="23"/>
        <v>5.5</v>
      </c>
      <c r="L230">
        <f t="shared" si="24"/>
        <v>5.1881422698999993</v>
      </c>
      <c r="O230">
        <f t="shared" si="26"/>
        <v>0.14110214110214123</v>
      </c>
    </row>
    <row r="231" spans="1:15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G231">
        <f t="shared" si="25"/>
        <v>1.4343014343014359E-2</v>
      </c>
      <c r="I231">
        <f t="shared" si="21"/>
        <v>0</v>
      </c>
      <c r="J231">
        <f t="shared" si="22"/>
        <v>6.930171780000002</v>
      </c>
      <c r="K231">
        <f t="shared" si="23"/>
        <v>5.5</v>
      </c>
      <c r="L231">
        <f t="shared" si="24"/>
        <v>5.1881422698999993</v>
      </c>
      <c r="O231">
        <f t="shared" si="26"/>
        <v>1.4343014343014359E-2</v>
      </c>
    </row>
    <row r="232" spans="1:15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G232">
        <f t="shared" si="25"/>
        <v>0.13047913047913062</v>
      </c>
      <c r="I232">
        <f t="shared" si="21"/>
        <v>0</v>
      </c>
      <c r="J232">
        <f t="shared" si="22"/>
        <v>6.930171780000002</v>
      </c>
      <c r="K232">
        <f t="shared" si="23"/>
        <v>5.5</v>
      </c>
      <c r="L232">
        <f t="shared" si="24"/>
        <v>5.1881422698999993</v>
      </c>
      <c r="O232">
        <f t="shared" si="26"/>
        <v>0.13047913047913062</v>
      </c>
    </row>
    <row r="233" spans="1:15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G233">
        <f t="shared" si="25"/>
        <v>6.0534060534060692E-2</v>
      </c>
      <c r="I233">
        <f t="shared" si="21"/>
        <v>0</v>
      </c>
      <c r="J233">
        <f t="shared" si="22"/>
        <v>6.930171780000002</v>
      </c>
      <c r="K233">
        <f t="shared" si="23"/>
        <v>5.5</v>
      </c>
      <c r="L233">
        <f t="shared" si="24"/>
        <v>5.1881422698999993</v>
      </c>
      <c r="O233">
        <f t="shared" si="26"/>
        <v>6.0534060534060692E-2</v>
      </c>
    </row>
    <row r="234" spans="1:15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G234">
        <f t="shared" si="25"/>
        <v>4.8807048807048822E-2</v>
      </c>
      <c r="I234">
        <f t="shared" si="21"/>
        <v>0</v>
      </c>
      <c r="J234">
        <f t="shared" si="22"/>
        <v>6.930171780000002</v>
      </c>
      <c r="K234">
        <f t="shared" si="23"/>
        <v>5.5</v>
      </c>
      <c r="L234">
        <f t="shared" si="24"/>
        <v>5.1881422698999993</v>
      </c>
      <c r="O234">
        <f t="shared" si="26"/>
        <v>4.8807048807048822E-2</v>
      </c>
    </row>
    <row r="235" spans="1:15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G235">
        <f t="shared" si="25"/>
        <v>0.1012471012471013</v>
      </c>
      <c r="I235">
        <f t="shared" si="21"/>
        <v>0</v>
      </c>
      <c r="J235">
        <f t="shared" si="22"/>
        <v>6.930171780000002</v>
      </c>
      <c r="K235">
        <f t="shared" si="23"/>
        <v>5.5</v>
      </c>
      <c r="L235">
        <f t="shared" si="24"/>
        <v>5.1881422698999993</v>
      </c>
      <c r="O235">
        <f t="shared" si="26"/>
        <v>0.1012471012471013</v>
      </c>
    </row>
    <row r="236" spans="1:15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G236">
        <f t="shared" si="25"/>
        <v>0.10315210315210319</v>
      </c>
      <c r="I236">
        <f t="shared" si="21"/>
        <v>0</v>
      </c>
      <c r="J236">
        <f t="shared" si="22"/>
        <v>6.930171780000002</v>
      </c>
      <c r="K236">
        <f t="shared" si="23"/>
        <v>5.5</v>
      </c>
      <c r="L236">
        <f t="shared" si="24"/>
        <v>5.1881422698999993</v>
      </c>
      <c r="O236">
        <f t="shared" si="26"/>
        <v>0.10315210315210319</v>
      </c>
    </row>
    <row r="237" spans="1:15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G237">
        <f t="shared" si="25"/>
        <v>0.17132117132117139</v>
      </c>
      <c r="I237">
        <f t="shared" si="21"/>
        <v>3.4999999999999931E-3</v>
      </c>
      <c r="J237">
        <f t="shared" si="22"/>
        <v>6.7434517080000056</v>
      </c>
      <c r="K237">
        <f t="shared" si="23"/>
        <v>5.3999999999999986</v>
      </c>
      <c r="L237">
        <f t="shared" si="24"/>
        <v>5.2281702555919995</v>
      </c>
      <c r="O237">
        <f t="shared" si="26"/>
        <v>0.17132117132117139</v>
      </c>
    </row>
    <row r="238" spans="1:15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G238">
        <f t="shared" si="25"/>
        <v>0.15905415905415912</v>
      </c>
      <c r="I238">
        <f t="shared" si="21"/>
        <v>3.4999999999999931E-3</v>
      </c>
      <c r="J238">
        <f t="shared" si="22"/>
        <v>6.7434517080000056</v>
      </c>
      <c r="K238">
        <f t="shared" si="23"/>
        <v>5.3999999999999986</v>
      </c>
      <c r="L238">
        <f t="shared" si="24"/>
        <v>5.2281702555919995</v>
      </c>
      <c r="O238">
        <f t="shared" si="26"/>
        <v>0.15905415905415912</v>
      </c>
    </row>
    <row r="239" spans="1:15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G239">
        <f t="shared" si="25"/>
        <v>5.6358056358056359E-2</v>
      </c>
      <c r="I239">
        <f t="shared" si="21"/>
        <v>3.4999999999999931E-3</v>
      </c>
      <c r="J239">
        <f t="shared" si="22"/>
        <v>6.7434517080000056</v>
      </c>
      <c r="K239">
        <f t="shared" si="23"/>
        <v>5.3999999999999986</v>
      </c>
      <c r="L239">
        <f t="shared" si="24"/>
        <v>5.2281702555919995</v>
      </c>
      <c r="O239">
        <f t="shared" si="26"/>
        <v>5.6358056358056359E-2</v>
      </c>
    </row>
    <row r="240" spans="1:15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G240">
        <f t="shared" si="25"/>
        <v>0.19703119703119709</v>
      </c>
      <c r="I240">
        <f t="shared" si="21"/>
        <v>3.4999999999999931E-3</v>
      </c>
      <c r="J240">
        <f t="shared" si="22"/>
        <v>6.7434517080000056</v>
      </c>
      <c r="K240">
        <f t="shared" si="23"/>
        <v>5.3999999999999986</v>
      </c>
      <c r="L240">
        <f t="shared" si="24"/>
        <v>5.2281702555919995</v>
      </c>
      <c r="O240">
        <f t="shared" si="26"/>
        <v>0.19703119703119709</v>
      </c>
    </row>
    <row r="241" spans="1:15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G241">
        <f t="shared" si="25"/>
        <v>0.15677415677415688</v>
      </c>
      <c r="I241">
        <f t="shared" si="21"/>
        <v>3.4999999999999931E-3</v>
      </c>
      <c r="J241">
        <f t="shared" si="22"/>
        <v>6.7434517080000056</v>
      </c>
      <c r="K241">
        <f t="shared" si="23"/>
        <v>5.3999999999999986</v>
      </c>
      <c r="L241">
        <f t="shared" si="24"/>
        <v>5.2281702555919995</v>
      </c>
      <c r="O241">
        <f t="shared" si="26"/>
        <v>0.15677415677415688</v>
      </c>
    </row>
    <row r="242" spans="1:15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G242">
        <f t="shared" si="25"/>
        <v>0.11691611691611702</v>
      </c>
      <c r="I242">
        <f t="shared" si="21"/>
        <v>3.4999999999999931E-3</v>
      </c>
      <c r="J242">
        <f t="shared" si="22"/>
        <v>6.7434517080000056</v>
      </c>
      <c r="K242">
        <f t="shared" si="23"/>
        <v>5.3999999999999986</v>
      </c>
      <c r="L242">
        <f t="shared" si="24"/>
        <v>5.2281702555919995</v>
      </c>
      <c r="O242">
        <f t="shared" si="26"/>
        <v>0.11691611691611702</v>
      </c>
    </row>
    <row r="243" spans="1:15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G243">
        <f t="shared" si="25"/>
        <v>0.14549114549114553</v>
      </c>
      <c r="I243">
        <f t="shared" si="21"/>
        <v>3.4999999999999931E-3</v>
      </c>
      <c r="J243">
        <f t="shared" si="22"/>
        <v>6.7434517080000056</v>
      </c>
      <c r="K243">
        <f t="shared" si="23"/>
        <v>5.3999999999999986</v>
      </c>
      <c r="L243">
        <f t="shared" si="24"/>
        <v>5.2281702555919995</v>
      </c>
      <c r="O243">
        <f t="shared" si="26"/>
        <v>0.14549114549114553</v>
      </c>
    </row>
    <row r="244" spans="1:15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G244">
        <f t="shared" si="25"/>
        <v>0.16092016092016104</v>
      </c>
      <c r="I244">
        <f t="shared" si="21"/>
        <v>3.4999999999999931E-3</v>
      </c>
      <c r="J244">
        <f t="shared" si="22"/>
        <v>6.7434517080000056</v>
      </c>
      <c r="K244">
        <f t="shared" si="23"/>
        <v>5.3999999999999986</v>
      </c>
      <c r="L244">
        <f t="shared" si="24"/>
        <v>5.2281702555919995</v>
      </c>
      <c r="O244">
        <f t="shared" si="26"/>
        <v>0.16092016092016104</v>
      </c>
    </row>
    <row r="245" spans="1:15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G245">
        <f t="shared" si="25"/>
        <v>0.12416112416112415</v>
      </c>
      <c r="I245">
        <f t="shared" si="21"/>
        <v>3.4999999999999931E-3</v>
      </c>
      <c r="J245">
        <f t="shared" si="22"/>
        <v>6.7434517080000056</v>
      </c>
      <c r="K245">
        <f t="shared" si="23"/>
        <v>5.3999999999999986</v>
      </c>
      <c r="L245">
        <f t="shared" si="24"/>
        <v>5.2281702555919995</v>
      </c>
      <c r="O245">
        <f t="shared" si="26"/>
        <v>0.12416112416112415</v>
      </c>
    </row>
    <row r="246" spans="1:15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G246">
        <f t="shared" si="25"/>
        <v>0.11270111270111272</v>
      </c>
      <c r="I246">
        <f t="shared" si="21"/>
        <v>3.4999999999999931E-3</v>
      </c>
      <c r="J246">
        <f t="shared" si="22"/>
        <v>6.7434517080000056</v>
      </c>
      <c r="K246">
        <f t="shared" si="23"/>
        <v>5.3999999999999986</v>
      </c>
      <c r="L246">
        <f t="shared" si="24"/>
        <v>5.2281702555919995</v>
      </c>
      <c r="O246">
        <f t="shared" si="26"/>
        <v>0.11270111270111272</v>
      </c>
    </row>
    <row r="247" spans="1:15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G247">
        <f t="shared" si="25"/>
        <v>0.14176814176814184</v>
      </c>
      <c r="I247">
        <f t="shared" si="21"/>
        <v>3.4999999999999931E-3</v>
      </c>
      <c r="J247">
        <f t="shared" si="22"/>
        <v>6.7434517080000056</v>
      </c>
      <c r="K247">
        <f t="shared" si="23"/>
        <v>5.3999999999999986</v>
      </c>
      <c r="L247">
        <f t="shared" si="24"/>
        <v>5.2281702555919995</v>
      </c>
      <c r="O247">
        <f t="shared" si="26"/>
        <v>0.14176814176814184</v>
      </c>
    </row>
    <row r="248" spans="1:15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G248">
        <f t="shared" si="25"/>
        <v>0.24393324393324403</v>
      </c>
      <c r="I248">
        <f t="shared" si="21"/>
        <v>3.4999999999999931E-3</v>
      </c>
      <c r="J248">
        <f t="shared" si="22"/>
        <v>6.7434517080000056</v>
      </c>
      <c r="K248">
        <f t="shared" si="23"/>
        <v>5.3999999999999986</v>
      </c>
      <c r="L248">
        <f t="shared" si="24"/>
        <v>5.2281702555919995</v>
      </c>
      <c r="O248">
        <f t="shared" si="26"/>
        <v>0.24393324393324403</v>
      </c>
    </row>
    <row r="249" spans="1:15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G249">
        <f t="shared" si="25"/>
        <v>7.855207855207863E-2</v>
      </c>
      <c r="I249">
        <f t="shared" si="21"/>
        <v>3.4999999999999931E-3</v>
      </c>
      <c r="J249">
        <f t="shared" si="22"/>
        <v>6.7434517080000056</v>
      </c>
      <c r="K249">
        <f t="shared" si="23"/>
        <v>5.3999999999999986</v>
      </c>
      <c r="L249">
        <f t="shared" si="24"/>
        <v>5.2281702555919995</v>
      </c>
      <c r="O249">
        <f t="shared" si="26"/>
        <v>7.855207855207863E-2</v>
      </c>
    </row>
    <row r="250" spans="1:15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G250">
        <f t="shared" si="25"/>
        <v>0.13231213231213243</v>
      </c>
      <c r="I250">
        <f t="shared" si="21"/>
        <v>3.4999999999999931E-3</v>
      </c>
      <c r="J250">
        <f t="shared" si="22"/>
        <v>6.7434517080000056</v>
      </c>
      <c r="K250">
        <f t="shared" si="23"/>
        <v>5.3999999999999986</v>
      </c>
      <c r="L250">
        <f t="shared" si="24"/>
        <v>5.2281702555919995</v>
      </c>
      <c r="O250">
        <f t="shared" si="26"/>
        <v>0.13231213231213243</v>
      </c>
    </row>
    <row r="251" spans="1:15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G251">
        <f t="shared" si="25"/>
        <v>8.1444081444081509E-2</v>
      </c>
      <c r="I251">
        <f t="shared" si="21"/>
        <v>3.4999999999999931E-3</v>
      </c>
      <c r="J251">
        <f t="shared" si="22"/>
        <v>6.7434517080000056</v>
      </c>
      <c r="K251">
        <f t="shared" si="23"/>
        <v>5.3999999999999986</v>
      </c>
      <c r="L251">
        <f t="shared" si="24"/>
        <v>5.2281702555919995</v>
      </c>
      <c r="O251">
        <f t="shared" si="26"/>
        <v>8.1444081444081509E-2</v>
      </c>
    </row>
    <row r="252" spans="1:15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G252">
        <f t="shared" si="25"/>
        <v>0.19050319050319059</v>
      </c>
      <c r="I252">
        <f t="shared" si="21"/>
        <v>2.3904999999999998</v>
      </c>
      <c r="J252">
        <f t="shared" si="22"/>
        <v>0.74961812800000871</v>
      </c>
      <c r="K252">
        <f t="shared" si="23"/>
        <v>5.3999999999999986</v>
      </c>
      <c r="L252">
        <f t="shared" si="24"/>
        <v>7.7710099286719982</v>
      </c>
      <c r="O252">
        <f t="shared" si="26"/>
        <v>0.19050319050319059</v>
      </c>
    </row>
    <row r="253" spans="1:15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G253">
        <f t="shared" si="25"/>
        <v>0.15411915411915425</v>
      </c>
      <c r="I253">
        <f t="shared" si="21"/>
        <v>2.3904999999999998</v>
      </c>
      <c r="J253">
        <f t="shared" si="22"/>
        <v>0.74961812800000871</v>
      </c>
      <c r="K253">
        <f t="shared" si="23"/>
        <v>5.3999999999999986</v>
      </c>
      <c r="L253">
        <f t="shared" si="24"/>
        <v>7.7710099286719982</v>
      </c>
      <c r="O253">
        <f t="shared" si="26"/>
        <v>0.15411915411915425</v>
      </c>
    </row>
    <row r="254" spans="1:15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G254">
        <f t="shared" si="25"/>
        <v>0.27693627693627693</v>
      </c>
      <c r="I254">
        <f t="shared" si="21"/>
        <v>2.3904999999999998</v>
      </c>
      <c r="J254">
        <f t="shared" si="22"/>
        <v>0.74961812800000871</v>
      </c>
      <c r="K254">
        <f t="shared" si="23"/>
        <v>5.3999999999999986</v>
      </c>
      <c r="L254">
        <f t="shared" si="24"/>
        <v>7.7710099286719982</v>
      </c>
      <c r="O254">
        <f t="shared" si="26"/>
        <v>0.27693627693627693</v>
      </c>
    </row>
    <row r="255" spans="1:15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G255">
        <f t="shared" si="25"/>
        <v>0.14572514572514586</v>
      </c>
      <c r="I255">
        <f t="shared" si="21"/>
        <v>2.3904999999999998</v>
      </c>
      <c r="J255">
        <f t="shared" si="22"/>
        <v>0.74961812800000871</v>
      </c>
      <c r="K255">
        <f t="shared" si="23"/>
        <v>5.3999999999999986</v>
      </c>
      <c r="L255">
        <f t="shared" si="24"/>
        <v>7.7710099286719982</v>
      </c>
      <c r="O255">
        <f t="shared" si="26"/>
        <v>0.14572514572514586</v>
      </c>
    </row>
    <row r="256" spans="1:15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G256">
        <f t="shared" si="25"/>
        <v>0.10215010215010217</v>
      </c>
      <c r="I256">
        <f t="shared" si="21"/>
        <v>2.3904999999999998</v>
      </c>
      <c r="J256">
        <f t="shared" si="22"/>
        <v>0.74961812800000871</v>
      </c>
      <c r="K256">
        <f t="shared" si="23"/>
        <v>5.3999999999999986</v>
      </c>
      <c r="L256">
        <f t="shared" si="24"/>
        <v>7.7710099286719982</v>
      </c>
      <c r="O256">
        <f t="shared" ref="O256:O287" si="27">G256</f>
        <v>0.10215010215010217</v>
      </c>
    </row>
    <row r="257" spans="1:15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G257">
        <f t="shared" si="25"/>
        <v>0.15085515085515092</v>
      </c>
      <c r="I257">
        <f t="shared" si="21"/>
        <v>2.3904999999999998</v>
      </c>
      <c r="J257">
        <f t="shared" si="22"/>
        <v>0.74961812800000871</v>
      </c>
      <c r="K257">
        <f t="shared" si="23"/>
        <v>5.3999999999999986</v>
      </c>
      <c r="L257">
        <f t="shared" si="24"/>
        <v>7.7710099286719982</v>
      </c>
      <c r="O257">
        <f t="shared" si="27"/>
        <v>0.15085515085515092</v>
      </c>
    </row>
    <row r="258" spans="1:15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G258">
        <f t="shared" si="25"/>
        <v>0.1175791175791177</v>
      </c>
      <c r="I258">
        <f t="shared" ref="I258:I321" si="28">(E258-0.17)*$S$2</f>
        <v>2.3904999999999998</v>
      </c>
      <c r="J258">
        <f t="shared" ref="J258:J321" si="29">(8-D258)*$S$4</f>
        <v>0.74961812800000871</v>
      </c>
      <c r="K258">
        <f t="shared" ref="K258:K321" si="30">(C258-20)*$S$3</f>
        <v>5.3999999999999986</v>
      </c>
      <c r="L258">
        <f t="shared" ref="L258:L321" si="31">SUM(I258:K258)+($V$2*(J258*K258))</f>
        <v>7.7710099286719982</v>
      </c>
      <c r="O258">
        <f t="shared" si="27"/>
        <v>0.1175791175791177</v>
      </c>
    </row>
    <row r="259" spans="1:15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G259">
        <f t="shared" ref="G259:G322" si="32">($F$343-F259)/$F$343</f>
        <v>0.18104718104718118</v>
      </c>
      <c r="I259">
        <f t="shared" si="28"/>
        <v>2.3904999999999998</v>
      </c>
      <c r="J259">
        <f t="shared" si="29"/>
        <v>0.74961812800000871</v>
      </c>
      <c r="K259">
        <f t="shared" si="30"/>
        <v>5.3999999999999986</v>
      </c>
      <c r="L259">
        <f t="shared" si="31"/>
        <v>7.7710099286719982</v>
      </c>
      <c r="O259">
        <f t="shared" si="27"/>
        <v>0.18104718104718118</v>
      </c>
    </row>
    <row r="260" spans="1:15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G260">
        <f t="shared" si="32"/>
        <v>7.0062070062070186E-2</v>
      </c>
      <c r="I260">
        <f t="shared" si="28"/>
        <v>2.3904999999999998</v>
      </c>
      <c r="J260">
        <f t="shared" si="29"/>
        <v>0.74961812800000871</v>
      </c>
      <c r="K260">
        <f t="shared" si="30"/>
        <v>5.3999999999999986</v>
      </c>
      <c r="L260">
        <f t="shared" si="31"/>
        <v>7.7710099286719982</v>
      </c>
      <c r="O260">
        <f t="shared" si="27"/>
        <v>7.0062070062070186E-2</v>
      </c>
    </row>
    <row r="261" spans="1:15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G261">
        <f t="shared" si="32"/>
        <v>7.4181074181074266E-2</v>
      </c>
      <c r="I261">
        <f t="shared" si="28"/>
        <v>2.3904999999999998</v>
      </c>
      <c r="J261">
        <f t="shared" si="29"/>
        <v>0.74961812800000871</v>
      </c>
      <c r="K261">
        <f t="shared" si="30"/>
        <v>5.3999999999999986</v>
      </c>
      <c r="L261">
        <f t="shared" si="31"/>
        <v>7.7710099286719982</v>
      </c>
      <c r="O261">
        <f t="shared" si="27"/>
        <v>7.4181074181074266E-2</v>
      </c>
    </row>
    <row r="262" spans="1:15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G262">
        <f t="shared" si="32"/>
        <v>0.14717714717714725</v>
      </c>
      <c r="I262">
        <f t="shared" si="28"/>
        <v>2.3904999999999998</v>
      </c>
      <c r="J262">
        <f t="shared" si="29"/>
        <v>0.74961812800000871</v>
      </c>
      <c r="K262">
        <f t="shared" si="30"/>
        <v>5.3999999999999986</v>
      </c>
      <c r="L262">
        <f t="shared" si="31"/>
        <v>7.7710099286719982</v>
      </c>
      <c r="O262">
        <f t="shared" si="27"/>
        <v>0.14717714717714725</v>
      </c>
    </row>
    <row r="263" spans="1:15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G263">
        <f t="shared" si="32"/>
        <v>7.3629073629073644E-2</v>
      </c>
      <c r="I263">
        <f t="shared" si="28"/>
        <v>2.3904999999999998</v>
      </c>
      <c r="J263">
        <f t="shared" si="29"/>
        <v>0.69536432000000659</v>
      </c>
      <c r="K263">
        <f t="shared" si="30"/>
        <v>5.3000000000000007</v>
      </c>
      <c r="L263">
        <f t="shared" si="31"/>
        <v>7.6856324497599999</v>
      </c>
      <c r="O263">
        <f t="shared" si="27"/>
        <v>7.3629073629073644E-2</v>
      </c>
    </row>
    <row r="264" spans="1:15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G264">
        <f t="shared" si="32"/>
        <v>0.13739713739713749</v>
      </c>
      <c r="I264">
        <f t="shared" si="28"/>
        <v>2.3904999999999998</v>
      </c>
      <c r="J264">
        <f t="shared" si="29"/>
        <v>0.69536432000000659</v>
      </c>
      <c r="K264">
        <f t="shared" si="30"/>
        <v>5.3000000000000007</v>
      </c>
      <c r="L264">
        <f t="shared" si="31"/>
        <v>7.6856324497599999</v>
      </c>
      <c r="O264">
        <f t="shared" si="27"/>
        <v>0.13739713739713749</v>
      </c>
    </row>
    <row r="265" spans="1:15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G265">
        <f t="shared" si="32"/>
        <v>8.94750894750896E-2</v>
      </c>
      <c r="I265">
        <f t="shared" si="28"/>
        <v>2.3904999999999998</v>
      </c>
      <c r="J265">
        <f t="shared" si="29"/>
        <v>0.69536432000000659</v>
      </c>
      <c r="K265">
        <f t="shared" si="30"/>
        <v>5.3000000000000007</v>
      </c>
      <c r="L265">
        <f t="shared" si="31"/>
        <v>7.6856324497599999</v>
      </c>
      <c r="O265">
        <f t="shared" si="27"/>
        <v>8.94750894750896E-2</v>
      </c>
    </row>
    <row r="266" spans="1:15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G266">
        <f t="shared" si="32"/>
        <v>0.12066312066312067</v>
      </c>
      <c r="I266">
        <f t="shared" si="28"/>
        <v>2.3904999999999998</v>
      </c>
      <c r="J266">
        <f t="shared" si="29"/>
        <v>0.69536432000000659</v>
      </c>
      <c r="K266">
        <f t="shared" si="30"/>
        <v>5.3000000000000007</v>
      </c>
      <c r="L266">
        <f t="shared" si="31"/>
        <v>7.6856324497599999</v>
      </c>
      <c r="O266">
        <f t="shared" si="27"/>
        <v>0.12066312066312067</v>
      </c>
    </row>
    <row r="267" spans="1:15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G267">
        <f t="shared" si="32"/>
        <v>0.2465672465672466</v>
      </c>
      <c r="I267">
        <f t="shared" si="28"/>
        <v>2.3904999999999998</v>
      </c>
      <c r="J267">
        <f t="shared" si="29"/>
        <v>0.69536432000000659</v>
      </c>
      <c r="K267">
        <f t="shared" si="30"/>
        <v>5.3000000000000007</v>
      </c>
      <c r="L267">
        <f t="shared" si="31"/>
        <v>7.6856324497599999</v>
      </c>
      <c r="O267">
        <f t="shared" si="27"/>
        <v>0.2465672465672466</v>
      </c>
    </row>
    <row r="268" spans="1:15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G268">
        <f t="shared" si="32"/>
        <v>0.15322815322815328</v>
      </c>
      <c r="I268">
        <f t="shared" si="28"/>
        <v>2.3904999999999998</v>
      </c>
      <c r="J268">
        <f t="shared" si="29"/>
        <v>0.69536432000000659</v>
      </c>
      <c r="K268">
        <f t="shared" si="30"/>
        <v>5.3000000000000007</v>
      </c>
      <c r="L268">
        <f t="shared" si="31"/>
        <v>7.6856324497599999</v>
      </c>
      <c r="O268">
        <f t="shared" si="27"/>
        <v>0.15322815322815328</v>
      </c>
    </row>
    <row r="269" spans="1:15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G269">
        <f t="shared" si="32"/>
        <v>0.26970926970926973</v>
      </c>
      <c r="I269">
        <f t="shared" si="28"/>
        <v>2.3904999999999998</v>
      </c>
      <c r="J269">
        <f t="shared" si="29"/>
        <v>0.69536432000000659</v>
      </c>
      <c r="K269">
        <f t="shared" si="30"/>
        <v>5.3000000000000007</v>
      </c>
      <c r="L269">
        <f t="shared" si="31"/>
        <v>7.6856324497599999</v>
      </c>
      <c r="O269">
        <f t="shared" si="27"/>
        <v>0.26970926970926973</v>
      </c>
    </row>
    <row r="270" spans="1:15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G270">
        <f t="shared" si="32"/>
        <v>0.15381915381915387</v>
      </c>
      <c r="I270">
        <f t="shared" si="28"/>
        <v>2.3904999999999998</v>
      </c>
      <c r="J270">
        <f t="shared" si="29"/>
        <v>0.69536432000000659</v>
      </c>
      <c r="K270">
        <f t="shared" si="30"/>
        <v>5.3000000000000007</v>
      </c>
      <c r="L270">
        <f t="shared" si="31"/>
        <v>7.6856324497599999</v>
      </c>
      <c r="O270">
        <f t="shared" si="27"/>
        <v>0.15381915381915387</v>
      </c>
    </row>
    <row r="271" spans="1:15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G271">
        <f t="shared" si="32"/>
        <v>0.25558525558525569</v>
      </c>
      <c r="I271">
        <f t="shared" si="28"/>
        <v>3.4999999999999931E-3</v>
      </c>
      <c r="J271">
        <f t="shared" si="29"/>
        <v>1.039270036000012</v>
      </c>
      <c r="K271">
        <f t="shared" si="30"/>
        <v>0.89999999999999858</v>
      </c>
      <c r="L271">
        <f t="shared" si="31"/>
        <v>1.7650548598440088</v>
      </c>
      <c r="O271">
        <f t="shared" si="27"/>
        <v>0.25558525558525569</v>
      </c>
    </row>
    <row r="272" spans="1:15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G272">
        <f t="shared" si="32"/>
        <v>0.23082323082323089</v>
      </c>
      <c r="I272">
        <f t="shared" si="28"/>
        <v>3.4999999999999931E-3</v>
      </c>
      <c r="J272">
        <f t="shared" si="29"/>
        <v>1.039270036000012</v>
      </c>
      <c r="K272">
        <f t="shared" si="30"/>
        <v>0.89999999999999858</v>
      </c>
      <c r="L272">
        <f t="shared" si="31"/>
        <v>1.7650548598440088</v>
      </c>
      <c r="O272">
        <f t="shared" si="27"/>
        <v>0.23082323082323089</v>
      </c>
    </row>
    <row r="273" spans="1:15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G273">
        <f t="shared" si="32"/>
        <v>0.20715320715320726</v>
      </c>
      <c r="I273">
        <f t="shared" si="28"/>
        <v>3.4999999999999931E-3</v>
      </c>
      <c r="J273">
        <f t="shared" si="29"/>
        <v>1.039270036000012</v>
      </c>
      <c r="K273">
        <f t="shared" si="30"/>
        <v>0.89999999999999858</v>
      </c>
      <c r="L273">
        <f t="shared" si="31"/>
        <v>1.7650548598440088</v>
      </c>
      <c r="O273">
        <f t="shared" si="27"/>
        <v>0.20715320715320726</v>
      </c>
    </row>
    <row r="274" spans="1:15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G274">
        <f t="shared" si="32"/>
        <v>0.22769122769122782</v>
      </c>
      <c r="I274">
        <f t="shared" si="28"/>
        <v>3.4999999999999931E-3</v>
      </c>
      <c r="J274">
        <f t="shared" si="29"/>
        <v>1.039270036000012</v>
      </c>
      <c r="K274">
        <f t="shared" si="30"/>
        <v>0.89999999999999858</v>
      </c>
      <c r="L274">
        <f t="shared" si="31"/>
        <v>1.7650548598440088</v>
      </c>
      <c r="O274">
        <f t="shared" si="27"/>
        <v>0.22769122769122782</v>
      </c>
    </row>
    <row r="275" spans="1:15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G275">
        <f t="shared" si="32"/>
        <v>0.22735822735822733</v>
      </c>
      <c r="I275">
        <f t="shared" si="28"/>
        <v>3.4999999999999931E-3</v>
      </c>
      <c r="J275">
        <f t="shared" si="29"/>
        <v>1.039270036000012</v>
      </c>
      <c r="K275">
        <f t="shared" si="30"/>
        <v>0.89999999999999858</v>
      </c>
      <c r="L275">
        <f t="shared" si="31"/>
        <v>1.7650548598440088</v>
      </c>
      <c r="O275">
        <f t="shared" si="27"/>
        <v>0.22735822735822733</v>
      </c>
    </row>
    <row r="276" spans="1:15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G276">
        <f t="shared" si="32"/>
        <v>0.22098022098022105</v>
      </c>
      <c r="I276">
        <f t="shared" si="28"/>
        <v>3.4999999999999931E-3</v>
      </c>
      <c r="J276">
        <f t="shared" si="29"/>
        <v>1.039270036000012</v>
      </c>
      <c r="K276">
        <f t="shared" si="30"/>
        <v>0.89999999999999858</v>
      </c>
      <c r="L276">
        <f t="shared" si="31"/>
        <v>1.7650548598440088</v>
      </c>
      <c r="O276">
        <f t="shared" si="27"/>
        <v>0.22098022098022105</v>
      </c>
    </row>
    <row r="277" spans="1:15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G277">
        <f t="shared" si="32"/>
        <v>0.23842223842223853</v>
      </c>
      <c r="I277">
        <f t="shared" si="28"/>
        <v>3.4999999999999931E-3</v>
      </c>
      <c r="J277">
        <f t="shared" si="29"/>
        <v>1.039270036000012</v>
      </c>
      <c r="K277">
        <f t="shared" si="30"/>
        <v>0.89999999999999858</v>
      </c>
      <c r="L277">
        <f t="shared" si="31"/>
        <v>1.7650548598440088</v>
      </c>
      <c r="O277">
        <f t="shared" si="27"/>
        <v>0.23842223842223853</v>
      </c>
    </row>
    <row r="278" spans="1:15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G278">
        <f t="shared" si="32"/>
        <v>0.22718122718122727</v>
      </c>
      <c r="I278">
        <f t="shared" si="28"/>
        <v>3.4999999999999931E-3</v>
      </c>
      <c r="J278">
        <f t="shared" si="29"/>
        <v>1.039270036000012</v>
      </c>
      <c r="K278">
        <f t="shared" si="30"/>
        <v>0.89999999999999858</v>
      </c>
      <c r="L278">
        <f t="shared" si="31"/>
        <v>1.7650548598440088</v>
      </c>
      <c r="O278">
        <f t="shared" si="27"/>
        <v>0.22718122718122727</v>
      </c>
    </row>
    <row r="279" spans="1:15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G279">
        <f t="shared" si="32"/>
        <v>0.2756972756972757</v>
      </c>
      <c r="I279">
        <f t="shared" si="28"/>
        <v>3.4999999999999931E-3</v>
      </c>
      <c r="J279">
        <f t="shared" si="29"/>
        <v>1.039270036000012</v>
      </c>
      <c r="K279">
        <f t="shared" si="30"/>
        <v>0.89999999999999858</v>
      </c>
      <c r="L279">
        <f t="shared" si="31"/>
        <v>1.7650548598440088</v>
      </c>
      <c r="O279">
        <f t="shared" si="27"/>
        <v>0.2756972756972757</v>
      </c>
    </row>
    <row r="280" spans="1:15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G280">
        <f t="shared" si="32"/>
        <v>0.11672411672411676</v>
      </c>
      <c r="I280">
        <f t="shared" si="28"/>
        <v>3.4999999999999931E-3</v>
      </c>
      <c r="J280">
        <f t="shared" si="29"/>
        <v>0.79619313199999198</v>
      </c>
      <c r="K280">
        <f t="shared" si="30"/>
        <v>0.69999999999999929</v>
      </c>
      <c r="L280">
        <f t="shared" si="31"/>
        <v>1.3937994454439924</v>
      </c>
      <c r="O280">
        <f t="shared" si="27"/>
        <v>0.11672411672411676</v>
      </c>
    </row>
    <row r="281" spans="1:15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G281">
        <f t="shared" si="32"/>
        <v>0.11248811248811259</v>
      </c>
      <c r="I281">
        <f t="shared" si="28"/>
        <v>3.4999999999999931E-3</v>
      </c>
      <c r="J281">
        <f t="shared" si="29"/>
        <v>0.79619313199999198</v>
      </c>
      <c r="K281">
        <f t="shared" si="30"/>
        <v>0.69999999999999929</v>
      </c>
      <c r="L281">
        <f t="shared" si="31"/>
        <v>1.3937994454439924</v>
      </c>
      <c r="O281">
        <f t="shared" si="27"/>
        <v>0.11248811248811259</v>
      </c>
    </row>
    <row r="282" spans="1:15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G282">
        <f t="shared" si="32"/>
        <v>0.10500610500610502</v>
      </c>
      <c r="I282">
        <f t="shared" si="28"/>
        <v>3.4999999999999931E-3</v>
      </c>
      <c r="J282">
        <f t="shared" si="29"/>
        <v>0.79619313199999198</v>
      </c>
      <c r="K282">
        <f t="shared" si="30"/>
        <v>0.69999999999999929</v>
      </c>
      <c r="L282">
        <f t="shared" si="31"/>
        <v>1.3937994454439924</v>
      </c>
      <c r="O282">
        <f t="shared" si="27"/>
        <v>0.10500610500610502</v>
      </c>
    </row>
    <row r="283" spans="1:15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G283">
        <f t="shared" si="32"/>
        <v>6.7614067614067644E-2</v>
      </c>
      <c r="I283">
        <f t="shared" si="28"/>
        <v>3.4999999999999931E-3</v>
      </c>
      <c r="J283">
        <f t="shared" si="29"/>
        <v>0.79619313199999198</v>
      </c>
      <c r="K283">
        <f t="shared" si="30"/>
        <v>0.69999999999999929</v>
      </c>
      <c r="L283">
        <f t="shared" si="31"/>
        <v>1.3937994454439924</v>
      </c>
      <c r="O283">
        <f t="shared" si="27"/>
        <v>6.7614067614067644E-2</v>
      </c>
    </row>
    <row r="284" spans="1:15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G284">
        <f t="shared" si="32"/>
        <v>9.0486090486090576E-2</v>
      </c>
      <c r="I284">
        <f t="shared" si="28"/>
        <v>3.4999999999999931E-3</v>
      </c>
      <c r="J284">
        <f t="shared" si="29"/>
        <v>0.79619313199999198</v>
      </c>
      <c r="K284">
        <f t="shared" si="30"/>
        <v>0.69999999999999929</v>
      </c>
      <c r="L284">
        <f t="shared" si="31"/>
        <v>1.3937994454439924</v>
      </c>
      <c r="O284">
        <f t="shared" si="27"/>
        <v>9.0486090486090576E-2</v>
      </c>
    </row>
    <row r="285" spans="1:15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G285">
        <f t="shared" si="32"/>
        <v>9.0402090402090435E-2</v>
      </c>
      <c r="I285">
        <f t="shared" si="28"/>
        <v>3.4999999999999931E-3</v>
      </c>
      <c r="J285">
        <f t="shared" si="29"/>
        <v>0.79619313199999198</v>
      </c>
      <c r="K285">
        <f t="shared" si="30"/>
        <v>0.69999999999999929</v>
      </c>
      <c r="L285">
        <f t="shared" si="31"/>
        <v>1.3937994454439924</v>
      </c>
      <c r="O285">
        <f t="shared" si="27"/>
        <v>9.0402090402090435E-2</v>
      </c>
    </row>
    <row r="286" spans="1:15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G286">
        <f t="shared" si="32"/>
        <v>0.14240414240414245</v>
      </c>
      <c r="I286">
        <f t="shared" si="28"/>
        <v>3.4999999999999931E-3</v>
      </c>
      <c r="J286">
        <f t="shared" si="29"/>
        <v>0.79619313199999198</v>
      </c>
      <c r="K286">
        <f t="shared" si="30"/>
        <v>0.69999999999999929</v>
      </c>
      <c r="L286">
        <f t="shared" si="31"/>
        <v>1.3937994454439924</v>
      </c>
      <c r="O286">
        <f t="shared" si="27"/>
        <v>0.14240414240414245</v>
      </c>
    </row>
    <row r="287" spans="1:15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G287">
        <f t="shared" si="32"/>
        <v>0.10371610371610372</v>
      </c>
      <c r="I287">
        <f t="shared" si="28"/>
        <v>3.4999999999999931E-3</v>
      </c>
      <c r="J287">
        <f t="shared" si="29"/>
        <v>0.79619313199999198</v>
      </c>
      <c r="K287">
        <f t="shared" si="30"/>
        <v>0.69999999999999929</v>
      </c>
      <c r="L287">
        <f t="shared" si="31"/>
        <v>1.3937994454439924</v>
      </c>
      <c r="O287">
        <f t="shared" si="27"/>
        <v>0.10371610371610372</v>
      </c>
    </row>
    <row r="288" spans="1:15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G288">
        <f t="shared" si="32"/>
        <v>8.8428088428088414E-2</v>
      </c>
      <c r="I288">
        <f t="shared" si="28"/>
        <v>3.4999999999999931E-3</v>
      </c>
      <c r="J288">
        <f t="shared" si="29"/>
        <v>0.79619313199999198</v>
      </c>
      <c r="K288">
        <f t="shared" si="30"/>
        <v>0.69999999999999929</v>
      </c>
      <c r="L288">
        <f t="shared" si="31"/>
        <v>1.3937994454439924</v>
      </c>
      <c r="O288">
        <f t="shared" ref="O288:O319" si="33">G288</f>
        <v>8.8428088428088414E-2</v>
      </c>
    </row>
    <row r="289" spans="1:15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G289">
        <f t="shared" si="32"/>
        <v>9.7842097842097936E-2</v>
      </c>
      <c r="I289">
        <f t="shared" si="28"/>
        <v>3.4999999999999931E-3</v>
      </c>
      <c r="J289">
        <f t="shared" si="29"/>
        <v>0.79619313199999198</v>
      </c>
      <c r="K289">
        <f t="shared" si="30"/>
        <v>0.69999999999999929</v>
      </c>
      <c r="L289">
        <f t="shared" si="31"/>
        <v>1.3937994454439924</v>
      </c>
      <c r="O289">
        <f t="shared" si="33"/>
        <v>9.7842097842097936E-2</v>
      </c>
    </row>
    <row r="290" spans="1:15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G290">
        <f t="shared" si="32"/>
        <v>0.20388920388920395</v>
      </c>
      <c r="I290">
        <f t="shared" si="28"/>
        <v>2.3904999999999998</v>
      </c>
      <c r="J290">
        <f t="shared" si="29"/>
        <v>8.9616326520000058</v>
      </c>
      <c r="K290">
        <f t="shared" si="30"/>
        <v>0.80000000000000071</v>
      </c>
      <c r="L290">
        <f t="shared" si="31"/>
        <v>10.789964488896004</v>
      </c>
      <c r="O290">
        <f t="shared" si="33"/>
        <v>0.20388920388920395</v>
      </c>
    </row>
    <row r="291" spans="1:15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G291">
        <f t="shared" si="32"/>
        <v>0.11933711933711949</v>
      </c>
      <c r="I291">
        <f t="shared" si="28"/>
        <v>2.3904999999999998</v>
      </c>
      <c r="J291">
        <f t="shared" si="29"/>
        <v>8.9616326520000058</v>
      </c>
      <c r="K291">
        <f t="shared" si="30"/>
        <v>0.80000000000000071</v>
      </c>
      <c r="L291">
        <f t="shared" si="31"/>
        <v>10.789964488896004</v>
      </c>
      <c r="O291">
        <f t="shared" si="33"/>
        <v>0.11933711933711949</v>
      </c>
    </row>
    <row r="292" spans="1:15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G292">
        <f t="shared" si="32"/>
        <v>0.14784014784014793</v>
      </c>
      <c r="I292">
        <f t="shared" si="28"/>
        <v>2.3904999999999998</v>
      </c>
      <c r="J292">
        <f t="shared" si="29"/>
        <v>8.9616326520000058</v>
      </c>
      <c r="K292">
        <f t="shared" si="30"/>
        <v>0.80000000000000071</v>
      </c>
      <c r="L292">
        <f t="shared" si="31"/>
        <v>10.789964488896004</v>
      </c>
      <c r="O292">
        <f t="shared" si="33"/>
        <v>0.14784014784014793</v>
      </c>
    </row>
    <row r="293" spans="1:15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G293">
        <f t="shared" si="32"/>
        <v>9.933009933009937E-2</v>
      </c>
      <c r="I293">
        <f t="shared" si="28"/>
        <v>2.3904999999999998</v>
      </c>
      <c r="J293">
        <f t="shared" si="29"/>
        <v>8.9616326520000058</v>
      </c>
      <c r="K293">
        <f t="shared" si="30"/>
        <v>0.80000000000000071</v>
      </c>
      <c r="L293">
        <f t="shared" si="31"/>
        <v>10.789964488896004</v>
      </c>
      <c r="O293">
        <f t="shared" si="33"/>
        <v>9.933009933009937E-2</v>
      </c>
    </row>
    <row r="294" spans="1:15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G294">
        <f t="shared" si="32"/>
        <v>6.1533061533061602E-2</v>
      </c>
      <c r="I294">
        <f t="shared" si="28"/>
        <v>2.3904999999999998</v>
      </c>
      <c r="J294">
        <f t="shared" si="29"/>
        <v>8.9616326520000058</v>
      </c>
      <c r="K294">
        <f t="shared" si="30"/>
        <v>0.80000000000000071</v>
      </c>
      <c r="L294">
        <f t="shared" si="31"/>
        <v>10.789964488896004</v>
      </c>
      <c r="O294">
        <f t="shared" si="33"/>
        <v>6.1533061533061602E-2</v>
      </c>
    </row>
    <row r="295" spans="1:15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G295">
        <f t="shared" si="32"/>
        <v>5.2374052374052453E-2</v>
      </c>
      <c r="I295">
        <f t="shared" si="28"/>
        <v>2.3904999999999998</v>
      </c>
      <c r="J295">
        <f t="shared" si="29"/>
        <v>8.9616326520000058</v>
      </c>
      <c r="K295">
        <f t="shared" si="30"/>
        <v>0.80000000000000071</v>
      </c>
      <c r="L295">
        <f t="shared" si="31"/>
        <v>10.789964488896004</v>
      </c>
      <c r="O295">
        <f t="shared" si="33"/>
        <v>5.2374052374052453E-2</v>
      </c>
    </row>
    <row r="296" spans="1:15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G296">
        <f t="shared" si="32"/>
        <v>0.11134211134211143</v>
      </c>
      <c r="I296">
        <f t="shared" si="28"/>
        <v>2.7404999999999999</v>
      </c>
      <c r="J296">
        <f t="shared" si="29"/>
        <v>8.9616326520000058</v>
      </c>
      <c r="K296">
        <f t="shared" si="30"/>
        <v>0.5</v>
      </c>
      <c r="L296">
        <f t="shared" si="31"/>
        <v>11.350777550060005</v>
      </c>
      <c r="O296">
        <f t="shared" si="33"/>
        <v>0.11134211134211143</v>
      </c>
    </row>
    <row r="297" spans="1:15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G297">
        <f t="shared" si="32"/>
        <v>0.10250410250410251</v>
      </c>
      <c r="I297">
        <f t="shared" si="28"/>
        <v>2.7404999999999999</v>
      </c>
      <c r="J297">
        <f t="shared" si="29"/>
        <v>8.9616326520000058</v>
      </c>
      <c r="K297">
        <f t="shared" si="30"/>
        <v>0.5</v>
      </c>
      <c r="L297">
        <f t="shared" si="31"/>
        <v>11.350777550060005</v>
      </c>
      <c r="O297">
        <f t="shared" si="33"/>
        <v>0.10250410250410251</v>
      </c>
    </row>
    <row r="298" spans="1:15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G298">
        <f t="shared" si="32"/>
        <v>0.18879918879918894</v>
      </c>
      <c r="I298">
        <f t="shared" si="28"/>
        <v>2.7404999999999999</v>
      </c>
      <c r="J298">
        <f t="shared" si="29"/>
        <v>8.9616326520000058</v>
      </c>
      <c r="K298">
        <f t="shared" si="30"/>
        <v>0.5</v>
      </c>
      <c r="L298">
        <f t="shared" si="31"/>
        <v>11.350777550060005</v>
      </c>
      <c r="O298">
        <f t="shared" si="33"/>
        <v>0.18879918879918894</v>
      </c>
    </row>
    <row r="299" spans="1:15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G299">
        <f t="shared" si="32"/>
        <v>0.22381822381822394</v>
      </c>
      <c r="I299">
        <f t="shared" si="28"/>
        <v>2.7404999999999999</v>
      </c>
      <c r="J299">
        <f t="shared" si="29"/>
        <v>8.9616326520000058</v>
      </c>
      <c r="K299">
        <f t="shared" si="30"/>
        <v>0.5</v>
      </c>
      <c r="L299">
        <f t="shared" si="31"/>
        <v>11.350777550060005</v>
      </c>
      <c r="O299">
        <f t="shared" si="33"/>
        <v>0.22381822381822394</v>
      </c>
    </row>
    <row r="300" spans="1:15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G300">
        <f t="shared" si="32"/>
        <v>0.18609018609018615</v>
      </c>
      <c r="I300">
        <f t="shared" si="28"/>
        <v>2.7404999999999999</v>
      </c>
      <c r="J300">
        <f t="shared" si="29"/>
        <v>8.9616326520000058</v>
      </c>
      <c r="K300">
        <f t="shared" si="30"/>
        <v>0.5</v>
      </c>
      <c r="L300">
        <f t="shared" si="31"/>
        <v>11.350777550060005</v>
      </c>
      <c r="O300">
        <f t="shared" si="33"/>
        <v>0.18609018609018615</v>
      </c>
    </row>
    <row r="301" spans="1:15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G301">
        <f t="shared" si="32"/>
        <v>0.21418221418221417</v>
      </c>
      <c r="I301">
        <f t="shared" si="28"/>
        <v>2.7404999999999999</v>
      </c>
      <c r="J301">
        <f t="shared" si="29"/>
        <v>8.9616326520000058</v>
      </c>
      <c r="K301">
        <f t="shared" si="30"/>
        <v>0.5</v>
      </c>
      <c r="L301">
        <f t="shared" si="31"/>
        <v>11.350777550060005</v>
      </c>
      <c r="O301">
        <f t="shared" si="33"/>
        <v>0.21418221418221417</v>
      </c>
    </row>
    <row r="302" spans="1:15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G302">
        <f t="shared" si="32"/>
        <v>7.2501072501072586E-2</v>
      </c>
      <c r="I302">
        <f t="shared" si="28"/>
        <v>2.7404999999999999</v>
      </c>
      <c r="J302">
        <f t="shared" si="29"/>
        <v>8.9616326520000058</v>
      </c>
      <c r="K302">
        <f t="shared" si="30"/>
        <v>0.5</v>
      </c>
      <c r="L302">
        <f t="shared" si="31"/>
        <v>11.350777550060005</v>
      </c>
      <c r="O302">
        <f t="shared" si="33"/>
        <v>7.2501072501072586E-2</v>
      </c>
    </row>
    <row r="303" spans="1:15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G303">
        <f t="shared" si="32"/>
        <v>2.9700029700043614E-4</v>
      </c>
      <c r="I303">
        <f t="shared" si="28"/>
        <v>3.4999999999999931E-3</v>
      </c>
      <c r="J303">
        <f t="shared" si="29"/>
        <v>0.87257195199999416</v>
      </c>
      <c r="K303">
        <f t="shared" si="30"/>
        <v>5.5</v>
      </c>
      <c r="L303">
        <f t="shared" si="31"/>
        <v>5.4642342621599997</v>
      </c>
      <c r="O303">
        <f t="shared" si="33"/>
        <v>2.9700029700043614E-4</v>
      </c>
    </row>
    <row r="304" spans="1:15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G304">
        <f t="shared" si="32"/>
        <v>4.6170046170047486E-3</v>
      </c>
      <c r="I304">
        <f t="shared" si="28"/>
        <v>3.4999999999999931E-3</v>
      </c>
      <c r="J304">
        <f t="shared" si="29"/>
        <v>0.87257195199999416</v>
      </c>
      <c r="K304">
        <f t="shared" si="30"/>
        <v>5.5</v>
      </c>
      <c r="L304">
        <f t="shared" si="31"/>
        <v>5.4642342621599997</v>
      </c>
      <c r="O304">
        <f t="shared" si="33"/>
        <v>4.6170046170047486E-3</v>
      </c>
    </row>
    <row r="305" spans="1:15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G305">
        <f t="shared" si="32"/>
        <v>0.15562515562515561</v>
      </c>
      <c r="I305">
        <f t="shared" si="28"/>
        <v>3.4999999999999931E-3</v>
      </c>
      <c r="J305">
        <f t="shared" si="29"/>
        <v>0.87257195199999416</v>
      </c>
      <c r="K305">
        <f t="shared" si="30"/>
        <v>5.5</v>
      </c>
      <c r="L305">
        <f t="shared" si="31"/>
        <v>5.4642342621599997</v>
      </c>
      <c r="O305">
        <f t="shared" si="33"/>
        <v>0.15562515562515561</v>
      </c>
    </row>
    <row r="306" spans="1:15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G306">
        <f t="shared" si="32"/>
        <v>0.19969219969219973</v>
      </c>
      <c r="I306">
        <f t="shared" si="28"/>
        <v>3.4999999999999931E-3</v>
      </c>
      <c r="J306">
        <f t="shared" si="29"/>
        <v>0.87257195199999416</v>
      </c>
      <c r="K306">
        <f t="shared" si="30"/>
        <v>5.5</v>
      </c>
      <c r="L306">
        <f t="shared" si="31"/>
        <v>5.4642342621599997</v>
      </c>
      <c r="O306">
        <f t="shared" si="33"/>
        <v>0.19969219969219973</v>
      </c>
    </row>
    <row r="307" spans="1:15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G307">
        <f t="shared" si="32"/>
        <v>0.12656412656412669</v>
      </c>
      <c r="I307">
        <f t="shared" si="28"/>
        <v>3.4999999999999931E-3</v>
      </c>
      <c r="J307">
        <f t="shared" si="29"/>
        <v>0.87257195199999416</v>
      </c>
      <c r="K307">
        <f t="shared" si="30"/>
        <v>5.5</v>
      </c>
      <c r="L307">
        <f t="shared" si="31"/>
        <v>5.4642342621599997</v>
      </c>
      <c r="O307">
        <f t="shared" si="33"/>
        <v>0.12656412656412669</v>
      </c>
    </row>
    <row r="308" spans="1:15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G308">
        <f t="shared" si="32"/>
        <v>8.4090084090084172E-2</v>
      </c>
      <c r="I308">
        <f t="shared" si="28"/>
        <v>3.4999999999999931E-3</v>
      </c>
      <c r="J308">
        <f t="shared" si="29"/>
        <v>0.87257195199999416</v>
      </c>
      <c r="K308">
        <f t="shared" si="30"/>
        <v>5.5</v>
      </c>
      <c r="L308">
        <f t="shared" si="31"/>
        <v>5.4642342621599997</v>
      </c>
      <c r="O308">
        <f t="shared" si="33"/>
        <v>8.4090084090084172E-2</v>
      </c>
    </row>
    <row r="309" spans="1:15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G309">
        <f t="shared" si="32"/>
        <v>9.4743094743094794E-2</v>
      </c>
      <c r="I309">
        <f t="shared" si="28"/>
        <v>3.4999999999999931E-3</v>
      </c>
      <c r="J309">
        <f t="shared" si="29"/>
        <v>0.87257195199999416</v>
      </c>
      <c r="K309">
        <f t="shared" si="30"/>
        <v>5.5</v>
      </c>
      <c r="L309">
        <f t="shared" si="31"/>
        <v>5.4642342621599997</v>
      </c>
      <c r="O309">
        <f t="shared" si="33"/>
        <v>9.4743094743094794E-2</v>
      </c>
    </row>
    <row r="310" spans="1:15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G310">
        <f t="shared" si="32"/>
        <v>9.5298095298095353E-2</v>
      </c>
      <c r="I310">
        <f t="shared" si="28"/>
        <v>3.4999999999999931E-3</v>
      </c>
      <c r="J310">
        <f t="shared" si="29"/>
        <v>0.87257195199999416</v>
      </c>
      <c r="K310">
        <f t="shared" si="30"/>
        <v>5.5</v>
      </c>
      <c r="L310">
        <f t="shared" si="31"/>
        <v>5.4642342621599997</v>
      </c>
      <c r="O310">
        <f t="shared" si="33"/>
        <v>9.5298095298095353E-2</v>
      </c>
    </row>
    <row r="311" spans="1:15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G311">
        <f t="shared" si="32"/>
        <v>0</v>
      </c>
      <c r="I311">
        <f t="shared" si="28"/>
        <v>3.4999999999999931E-3</v>
      </c>
      <c r="J311">
        <f t="shared" si="29"/>
        <v>0.87257195199999416</v>
      </c>
      <c r="K311">
        <f t="shared" si="30"/>
        <v>5.5</v>
      </c>
      <c r="L311">
        <f t="shared" si="31"/>
        <v>5.4642342621599997</v>
      </c>
      <c r="O311">
        <f t="shared" si="33"/>
        <v>0</v>
      </c>
    </row>
    <row r="312" spans="1:15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G312">
        <f t="shared" si="32"/>
        <v>0.12028212028212043</v>
      </c>
      <c r="I312">
        <f t="shared" si="28"/>
        <v>3.4999999999999931E-3</v>
      </c>
      <c r="J312">
        <f t="shared" si="29"/>
        <v>0.87257195199999416</v>
      </c>
      <c r="K312">
        <f t="shared" si="30"/>
        <v>5.5</v>
      </c>
      <c r="L312">
        <f t="shared" si="31"/>
        <v>5.4642342621599997</v>
      </c>
      <c r="O312">
        <f t="shared" si="33"/>
        <v>0.12028212028212043</v>
      </c>
    </row>
    <row r="313" spans="1:15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G313">
        <f t="shared" si="32"/>
        <v>0.21714321714321722</v>
      </c>
      <c r="I313">
        <f t="shared" si="28"/>
        <v>3.4999999999999931E-3</v>
      </c>
      <c r="J313">
        <f t="shared" si="29"/>
        <v>1.0139420760000029</v>
      </c>
      <c r="K313">
        <f t="shared" si="30"/>
        <v>5.6000000000000014</v>
      </c>
      <c r="L313">
        <f t="shared" si="31"/>
        <v>5.5386077071360003</v>
      </c>
      <c r="O313">
        <f t="shared" si="33"/>
        <v>0.21714321714321722</v>
      </c>
    </row>
    <row r="314" spans="1:15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G314">
        <f t="shared" si="32"/>
        <v>0.15693315693315701</v>
      </c>
      <c r="I314">
        <f t="shared" si="28"/>
        <v>3.4999999999999931E-3</v>
      </c>
      <c r="J314">
        <f t="shared" si="29"/>
        <v>1.0139420760000029</v>
      </c>
      <c r="K314">
        <f t="shared" si="30"/>
        <v>5.6000000000000014</v>
      </c>
      <c r="L314">
        <f t="shared" si="31"/>
        <v>5.5386077071360003</v>
      </c>
      <c r="O314">
        <f t="shared" si="33"/>
        <v>0.15693315693315701</v>
      </c>
    </row>
    <row r="315" spans="1:15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G315">
        <f t="shared" si="32"/>
        <v>0.22968922968922981</v>
      </c>
      <c r="I315">
        <f t="shared" si="28"/>
        <v>3.4999999999999931E-3</v>
      </c>
      <c r="J315">
        <f t="shared" si="29"/>
        <v>1.0139420760000029</v>
      </c>
      <c r="K315">
        <f t="shared" si="30"/>
        <v>5.6000000000000014</v>
      </c>
      <c r="L315">
        <f t="shared" si="31"/>
        <v>5.5386077071360003</v>
      </c>
      <c r="O315">
        <f t="shared" si="33"/>
        <v>0.22968922968922981</v>
      </c>
    </row>
    <row r="316" spans="1:15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G316">
        <f t="shared" si="32"/>
        <v>0.17288717288717292</v>
      </c>
      <c r="I316">
        <f t="shared" si="28"/>
        <v>3.4999999999999931E-3</v>
      </c>
      <c r="J316">
        <f t="shared" si="29"/>
        <v>1.0139420760000029</v>
      </c>
      <c r="K316">
        <f t="shared" si="30"/>
        <v>5.6000000000000014</v>
      </c>
      <c r="L316">
        <f t="shared" si="31"/>
        <v>5.5386077071360003</v>
      </c>
      <c r="O316">
        <f t="shared" si="33"/>
        <v>0.17288717288717292</v>
      </c>
    </row>
    <row r="317" spans="1:15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G317">
        <f t="shared" si="32"/>
        <v>0.21685821685821685</v>
      </c>
      <c r="I317">
        <f t="shared" si="28"/>
        <v>3.4999999999999931E-3</v>
      </c>
      <c r="J317">
        <f t="shared" si="29"/>
        <v>1.0139420760000029</v>
      </c>
      <c r="K317">
        <f t="shared" si="30"/>
        <v>5.6000000000000014</v>
      </c>
      <c r="L317">
        <f t="shared" si="31"/>
        <v>5.5386077071360003</v>
      </c>
      <c r="O317">
        <f t="shared" si="33"/>
        <v>0.21685821685821685</v>
      </c>
    </row>
    <row r="318" spans="1:15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G318">
        <f t="shared" si="32"/>
        <v>0.18166818166818177</v>
      </c>
      <c r="I318">
        <f t="shared" si="28"/>
        <v>3.4999999999999931E-3</v>
      </c>
      <c r="J318">
        <f t="shared" si="29"/>
        <v>1.0139420760000029</v>
      </c>
      <c r="K318">
        <f t="shared" si="30"/>
        <v>5.6000000000000014</v>
      </c>
      <c r="L318">
        <f t="shared" si="31"/>
        <v>5.5386077071360003</v>
      </c>
      <c r="O318">
        <f t="shared" si="33"/>
        <v>0.18166818166818177</v>
      </c>
    </row>
    <row r="319" spans="1:15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G319">
        <f t="shared" si="32"/>
        <v>0.18460218460218472</v>
      </c>
      <c r="I319">
        <f t="shared" si="28"/>
        <v>3.4999999999999931E-3</v>
      </c>
      <c r="J319">
        <f t="shared" si="29"/>
        <v>1.0139420760000029</v>
      </c>
      <c r="K319">
        <f t="shared" si="30"/>
        <v>5.6000000000000014</v>
      </c>
      <c r="L319">
        <f t="shared" si="31"/>
        <v>5.5386077071360003</v>
      </c>
      <c r="O319">
        <f t="shared" si="33"/>
        <v>0.18460218460218472</v>
      </c>
    </row>
    <row r="320" spans="1:15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G320">
        <f t="shared" si="32"/>
        <v>0.16716016716016724</v>
      </c>
      <c r="I320">
        <f t="shared" si="28"/>
        <v>3.4999999999999931E-3</v>
      </c>
      <c r="J320">
        <f t="shared" si="29"/>
        <v>1.0139420760000029</v>
      </c>
      <c r="K320">
        <f t="shared" si="30"/>
        <v>5.6000000000000014</v>
      </c>
      <c r="L320">
        <f t="shared" si="31"/>
        <v>5.5386077071360003</v>
      </c>
      <c r="O320">
        <f t="shared" ref="O320:O340" si="34">G320</f>
        <v>0.16716016716016724</v>
      </c>
    </row>
    <row r="321" spans="1:15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G321">
        <f t="shared" si="32"/>
        <v>0.18667518667518673</v>
      </c>
      <c r="I321">
        <f t="shared" si="28"/>
        <v>3.4999999999999931E-3</v>
      </c>
      <c r="J321">
        <f t="shared" si="29"/>
        <v>1.0139420760000029</v>
      </c>
      <c r="K321">
        <f t="shared" si="30"/>
        <v>5.6000000000000014</v>
      </c>
      <c r="L321">
        <f t="shared" si="31"/>
        <v>5.5386077071360003</v>
      </c>
      <c r="O321">
        <f t="shared" si="34"/>
        <v>0.18667518667518673</v>
      </c>
    </row>
    <row r="322" spans="1:15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G322">
        <f t="shared" si="32"/>
        <v>0.15051915051915052</v>
      </c>
      <c r="I322">
        <f t="shared" ref="I322:I340" si="35">(E322-0.17)*$S$2</f>
        <v>3.4999999999999931E-3</v>
      </c>
      <c r="J322">
        <f t="shared" ref="J322:J340" si="36">(8-D322)*$S$4</f>
        <v>1.0139420760000029</v>
      </c>
      <c r="K322">
        <f t="shared" ref="K322:K340" si="37">(C322-20)*$S$3</f>
        <v>5.6000000000000014</v>
      </c>
      <c r="L322">
        <f t="shared" ref="L322:L340" si="38">SUM(I322:K322)+($V$2*(J322*K322))</f>
        <v>5.5386077071360003</v>
      </c>
      <c r="O322">
        <f t="shared" si="34"/>
        <v>0.15051915051915052</v>
      </c>
    </row>
    <row r="323" spans="1:15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G323">
        <f t="shared" ref="G323:G340" si="39">($F$343-F323)/$F$343</f>
        <v>0.1667881667881668</v>
      </c>
      <c r="I323">
        <f t="shared" si="35"/>
        <v>2.3904999999999998</v>
      </c>
      <c r="J323">
        <f t="shared" si="36"/>
        <v>6.6920391160000001</v>
      </c>
      <c r="K323">
        <f t="shared" si="37"/>
        <v>5.5</v>
      </c>
      <c r="L323">
        <f t="shared" si="38"/>
        <v>7.5893582397799992</v>
      </c>
      <c r="O323">
        <f t="shared" si="34"/>
        <v>0.1667881667881668</v>
      </c>
    </row>
    <row r="324" spans="1:15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G324">
        <f t="shared" si="39"/>
        <v>0.18057918057918068</v>
      </c>
      <c r="I324">
        <f t="shared" si="35"/>
        <v>2.3904999999999998</v>
      </c>
      <c r="J324">
        <f t="shared" si="36"/>
        <v>6.6920391160000001</v>
      </c>
      <c r="K324">
        <f t="shared" si="37"/>
        <v>5.5</v>
      </c>
      <c r="L324">
        <f t="shared" si="38"/>
        <v>7.5893582397799992</v>
      </c>
      <c r="O324">
        <f t="shared" si="34"/>
        <v>0.18057918057918068</v>
      </c>
    </row>
    <row r="325" spans="1:15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G325">
        <f t="shared" si="39"/>
        <v>0.16576516576516589</v>
      </c>
      <c r="I325">
        <f t="shared" si="35"/>
        <v>2.3904999999999998</v>
      </c>
      <c r="J325">
        <f t="shared" si="36"/>
        <v>6.6920391160000001</v>
      </c>
      <c r="K325">
        <f t="shared" si="37"/>
        <v>5.5</v>
      </c>
      <c r="L325">
        <f t="shared" si="38"/>
        <v>7.5893582397799992</v>
      </c>
      <c r="O325">
        <f t="shared" si="34"/>
        <v>0.16576516576516589</v>
      </c>
    </row>
    <row r="326" spans="1:15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G326">
        <f t="shared" si="39"/>
        <v>0.17192117192117196</v>
      </c>
      <c r="I326">
        <f t="shared" si="35"/>
        <v>2.3904999999999998</v>
      </c>
      <c r="J326">
        <f t="shared" si="36"/>
        <v>6.6920391160000001</v>
      </c>
      <c r="K326">
        <f t="shared" si="37"/>
        <v>5.5</v>
      </c>
      <c r="L326">
        <f t="shared" si="38"/>
        <v>7.5893582397799992</v>
      </c>
      <c r="O326">
        <f t="shared" si="34"/>
        <v>0.17192117192117196</v>
      </c>
    </row>
    <row r="327" spans="1:15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G327">
        <f t="shared" si="39"/>
        <v>0.14863514863514868</v>
      </c>
      <c r="I327">
        <f t="shared" si="35"/>
        <v>2.3904999999999998</v>
      </c>
      <c r="J327">
        <f t="shared" si="36"/>
        <v>6.6920391160000001</v>
      </c>
      <c r="K327">
        <f t="shared" si="37"/>
        <v>5.5</v>
      </c>
      <c r="L327">
        <f t="shared" si="38"/>
        <v>7.5893582397799992</v>
      </c>
      <c r="O327">
        <f t="shared" si="34"/>
        <v>0.14863514863514868</v>
      </c>
    </row>
    <row r="328" spans="1:15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G328">
        <f t="shared" si="39"/>
        <v>0.14769014769014774</v>
      </c>
      <c r="I328">
        <f t="shared" si="35"/>
        <v>2.3904999999999998</v>
      </c>
      <c r="J328">
        <f t="shared" si="36"/>
        <v>6.6920391160000001</v>
      </c>
      <c r="K328">
        <f t="shared" si="37"/>
        <v>5.5</v>
      </c>
      <c r="L328">
        <f t="shared" si="38"/>
        <v>7.5893582397799992</v>
      </c>
      <c r="O328">
        <f t="shared" si="34"/>
        <v>0.14769014769014774</v>
      </c>
    </row>
    <row r="329" spans="1:15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G329">
        <f t="shared" si="39"/>
        <v>0.1364881364881366</v>
      </c>
      <c r="I329">
        <f t="shared" si="35"/>
        <v>2.3904999999999998</v>
      </c>
      <c r="J329">
        <f t="shared" si="36"/>
        <v>6.6920391160000001</v>
      </c>
      <c r="K329">
        <f t="shared" si="37"/>
        <v>5.5</v>
      </c>
      <c r="L329">
        <f t="shared" si="38"/>
        <v>7.5893582397799992</v>
      </c>
      <c r="O329">
        <f t="shared" si="34"/>
        <v>0.1364881364881366</v>
      </c>
    </row>
    <row r="330" spans="1:15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G330">
        <f t="shared" si="39"/>
        <v>0.19389619389619389</v>
      </c>
      <c r="I330">
        <f t="shared" si="35"/>
        <v>2.3904999999999998</v>
      </c>
      <c r="J330">
        <f t="shared" si="36"/>
        <v>6.6920391160000001</v>
      </c>
      <c r="K330">
        <f t="shared" si="37"/>
        <v>5.5</v>
      </c>
      <c r="L330">
        <f t="shared" si="38"/>
        <v>7.5893582397799992</v>
      </c>
      <c r="O330">
        <f t="shared" si="34"/>
        <v>0.19389619389619389</v>
      </c>
    </row>
    <row r="331" spans="1:15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G331">
        <f t="shared" si="39"/>
        <v>0.17616017616017624</v>
      </c>
      <c r="I331">
        <f t="shared" si="35"/>
        <v>2.3904999999999998</v>
      </c>
      <c r="J331">
        <f t="shared" si="36"/>
        <v>6.6920391160000001</v>
      </c>
      <c r="K331">
        <f t="shared" si="37"/>
        <v>5.5</v>
      </c>
      <c r="L331">
        <f t="shared" si="38"/>
        <v>7.5893582397799992</v>
      </c>
      <c r="O331">
        <f t="shared" si="34"/>
        <v>0.17616017616017624</v>
      </c>
    </row>
    <row r="332" spans="1:15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G332">
        <f t="shared" si="39"/>
        <v>0.17464217464217463</v>
      </c>
      <c r="I332">
        <f t="shared" si="35"/>
        <v>2.3904999999999998</v>
      </c>
      <c r="J332">
        <f t="shared" si="36"/>
        <v>6.6920391160000001</v>
      </c>
      <c r="K332">
        <f t="shared" si="37"/>
        <v>5.5</v>
      </c>
      <c r="L332">
        <f t="shared" si="38"/>
        <v>7.5893582397799992</v>
      </c>
      <c r="O332">
        <f t="shared" si="34"/>
        <v>0.17464217464217463</v>
      </c>
    </row>
    <row r="333" spans="1:15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G333">
        <f t="shared" si="39"/>
        <v>0.18889218889218887</v>
      </c>
      <c r="I333">
        <f t="shared" si="35"/>
        <v>2.7404999999999999</v>
      </c>
      <c r="J333">
        <f t="shared" si="36"/>
        <v>6.9879633599999877</v>
      </c>
      <c r="K333">
        <f t="shared" si="37"/>
        <v>5.6000000000000014</v>
      </c>
      <c r="L333">
        <f t="shared" si="38"/>
        <v>7.8932703449600004</v>
      </c>
      <c r="O333">
        <f t="shared" si="34"/>
        <v>0.18889218889218887</v>
      </c>
    </row>
    <row r="334" spans="1:15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G334">
        <f t="shared" si="39"/>
        <v>0.1958071958071958</v>
      </c>
      <c r="I334">
        <f t="shared" si="35"/>
        <v>2.7404999999999999</v>
      </c>
      <c r="J334">
        <f t="shared" si="36"/>
        <v>6.9879633599999877</v>
      </c>
      <c r="K334">
        <f t="shared" si="37"/>
        <v>5.6000000000000014</v>
      </c>
      <c r="L334">
        <f t="shared" si="38"/>
        <v>7.8932703449600004</v>
      </c>
      <c r="O334">
        <f t="shared" si="34"/>
        <v>0.1958071958071958</v>
      </c>
    </row>
    <row r="335" spans="1:15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G335">
        <f t="shared" si="39"/>
        <v>4.8474048474048514E-2</v>
      </c>
      <c r="I335">
        <f t="shared" si="35"/>
        <v>2.7404999999999999</v>
      </c>
      <c r="J335">
        <f t="shared" si="36"/>
        <v>6.9879633599999877</v>
      </c>
      <c r="K335">
        <f t="shared" si="37"/>
        <v>5.6000000000000014</v>
      </c>
      <c r="L335">
        <f t="shared" si="38"/>
        <v>7.8932703449600004</v>
      </c>
      <c r="O335">
        <f t="shared" si="34"/>
        <v>4.8474048474048514E-2</v>
      </c>
    </row>
    <row r="336" spans="1:15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G336">
        <f t="shared" si="39"/>
        <v>0.18214518214518222</v>
      </c>
      <c r="I336">
        <f t="shared" si="35"/>
        <v>2.7404999999999999</v>
      </c>
      <c r="J336">
        <f t="shared" si="36"/>
        <v>6.9879633599999877</v>
      </c>
      <c r="K336">
        <f t="shared" si="37"/>
        <v>5.6000000000000014</v>
      </c>
      <c r="L336">
        <f t="shared" si="38"/>
        <v>7.8932703449600004</v>
      </c>
      <c r="O336">
        <f t="shared" si="34"/>
        <v>0.18214518214518222</v>
      </c>
    </row>
    <row r="337" spans="1:15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G337">
        <f t="shared" si="39"/>
        <v>0.19021519021519029</v>
      </c>
      <c r="I337">
        <f t="shared" si="35"/>
        <v>2.7404999999999999</v>
      </c>
      <c r="J337">
        <f t="shared" si="36"/>
        <v>6.9879633599999877</v>
      </c>
      <c r="K337">
        <f t="shared" si="37"/>
        <v>5.6000000000000014</v>
      </c>
      <c r="L337">
        <f t="shared" si="38"/>
        <v>7.8932703449600004</v>
      </c>
      <c r="O337">
        <f t="shared" si="34"/>
        <v>0.19021519021519029</v>
      </c>
    </row>
    <row r="338" spans="1:15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G338">
        <f t="shared" si="39"/>
        <v>0.26022326022326031</v>
      </c>
      <c r="I338">
        <f t="shared" si="35"/>
        <v>2.7404999999999999</v>
      </c>
      <c r="J338">
        <f t="shared" si="36"/>
        <v>6.9879633599999877</v>
      </c>
      <c r="K338">
        <f t="shared" si="37"/>
        <v>5.6000000000000014</v>
      </c>
      <c r="L338">
        <f t="shared" si="38"/>
        <v>7.8932703449600004</v>
      </c>
      <c r="O338">
        <f t="shared" si="34"/>
        <v>0.26022326022326031</v>
      </c>
    </row>
    <row r="339" spans="1:15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G339">
        <f t="shared" si="39"/>
        <v>0.14310614310614325</v>
      </c>
      <c r="I339">
        <f t="shared" si="35"/>
        <v>2.7404999999999999</v>
      </c>
      <c r="J339">
        <f t="shared" si="36"/>
        <v>6.9879633599999877</v>
      </c>
      <c r="K339">
        <f t="shared" si="37"/>
        <v>5.6000000000000014</v>
      </c>
      <c r="L339">
        <f t="shared" si="38"/>
        <v>7.8932703449600004</v>
      </c>
      <c r="O339">
        <f t="shared" si="34"/>
        <v>0.14310614310614325</v>
      </c>
    </row>
    <row r="340" spans="1:15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G340">
        <f t="shared" si="39"/>
        <v>0.22889722889722899</v>
      </c>
      <c r="I340">
        <f t="shared" si="35"/>
        <v>2.7404999999999999</v>
      </c>
      <c r="J340">
        <f t="shared" si="36"/>
        <v>6.9879633599999877</v>
      </c>
      <c r="K340">
        <f t="shared" si="37"/>
        <v>5.6000000000000014</v>
      </c>
      <c r="L340">
        <f t="shared" si="38"/>
        <v>7.8932703449600004</v>
      </c>
      <c r="O340">
        <f t="shared" si="34"/>
        <v>0.22889722889722899</v>
      </c>
    </row>
    <row r="343" spans="1:15" x14ac:dyDescent="0.2">
      <c r="A343" t="s">
        <v>13</v>
      </c>
      <c r="F343">
        <f>MAX(F2:F340)</f>
        <v>83.333250000000007</v>
      </c>
      <c r="G343">
        <f>MAX(G2:G340)</f>
        <v>0.48698748698748695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SICA_preadjustement</vt:lpstr>
      <vt:lpstr>SICA_adjusted</vt:lpstr>
      <vt:lpstr>SICA_adjusted (2)</vt:lpstr>
      <vt:lpstr>Performance curves</vt:lpstr>
      <vt:lpstr>Different mode of action</vt:lpstr>
      <vt:lpstr>SICA_adjusted (3)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Dupont</dc:creator>
  <cp:lastModifiedBy>Einar Pétur Jónsson - HAFRO</cp:lastModifiedBy>
  <dcterms:created xsi:type="dcterms:W3CDTF">2026-01-28T09:41:29Z</dcterms:created>
  <dcterms:modified xsi:type="dcterms:W3CDTF">2026-01-29T14:56:03Z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2026-01-29T11:32:32Z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c3717b9c-6a9e-4612-b7a1-d4680629ba03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</Properties>
</file>