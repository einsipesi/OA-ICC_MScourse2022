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administrationis-my.sharepoint.com/personal/einar_petur_jonsson_hafogvatn_is/Documents/Documents/surt/BOAT/monaco_multiple_drivers/scripts_data/rproject_final/OA-ICC_MScourse2022/writing_monaco/"/>
    </mc:Choice>
  </mc:AlternateContent>
  <xr:revisionPtr revIDLastSave="42" documentId="8_{3F1164C8-A18E-DA4C-AE93-A0D178ECC3DF}" xr6:coauthVersionLast="47" xr6:coauthVersionMax="47" xr10:uidLastSave="{61C0142E-276E-7C4F-BEAE-4F0891CA7B2F}"/>
  <bookViews>
    <workbookView xWindow="25680" yWindow="660" windowWidth="25360" windowHeight="27980" activeTab="2" xr2:uid="{B287A44A-3B4C-4827-937E-D3185F1472A0}"/>
  </bookViews>
  <sheets>
    <sheet name="SICA_preadjustement" sheetId="1" r:id="rId1"/>
    <sheet name="SICA_adjusted" sheetId="2" r:id="rId2"/>
    <sheet name="SICA_adjusted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3" i="3" l="1"/>
  <c r="G343" i="2"/>
  <c r="G343" i="1"/>
  <c r="L26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30" i="3"/>
  <c r="L242" i="3"/>
  <c r="L254" i="3"/>
  <c r="L266" i="3"/>
  <c r="L278" i="3"/>
  <c r="L290" i="3"/>
  <c r="L302" i="3"/>
  <c r="L314" i="3"/>
  <c r="L326" i="3"/>
  <c r="L338" i="3"/>
  <c r="F343" i="3"/>
  <c r="O340" i="3" s="1"/>
  <c r="K340" i="3"/>
  <c r="J340" i="3"/>
  <c r="I340" i="3"/>
  <c r="L340" i="3" s="1"/>
  <c r="K339" i="3"/>
  <c r="J339" i="3"/>
  <c r="I339" i="3"/>
  <c r="L339" i="3" s="1"/>
  <c r="K338" i="3"/>
  <c r="J338" i="3"/>
  <c r="I338" i="3"/>
  <c r="K337" i="3"/>
  <c r="J337" i="3"/>
  <c r="I337" i="3"/>
  <c r="L337" i="3" s="1"/>
  <c r="K336" i="3"/>
  <c r="J336" i="3"/>
  <c r="I336" i="3"/>
  <c r="L336" i="3" s="1"/>
  <c r="K335" i="3"/>
  <c r="J335" i="3"/>
  <c r="I335" i="3"/>
  <c r="L335" i="3" s="1"/>
  <c r="K334" i="3"/>
  <c r="J334" i="3"/>
  <c r="I334" i="3"/>
  <c r="L334" i="3" s="1"/>
  <c r="K333" i="3"/>
  <c r="J333" i="3"/>
  <c r="I333" i="3"/>
  <c r="L333" i="3" s="1"/>
  <c r="K332" i="3"/>
  <c r="J332" i="3"/>
  <c r="I332" i="3"/>
  <c r="L332" i="3" s="1"/>
  <c r="K331" i="3"/>
  <c r="J331" i="3"/>
  <c r="I331" i="3"/>
  <c r="L331" i="3" s="1"/>
  <c r="K330" i="3"/>
  <c r="J330" i="3"/>
  <c r="I330" i="3"/>
  <c r="L330" i="3" s="1"/>
  <c r="K329" i="3"/>
  <c r="J329" i="3"/>
  <c r="I329" i="3"/>
  <c r="L329" i="3" s="1"/>
  <c r="K328" i="3"/>
  <c r="J328" i="3"/>
  <c r="I328" i="3"/>
  <c r="L328" i="3" s="1"/>
  <c r="K327" i="3"/>
  <c r="J327" i="3"/>
  <c r="I327" i="3"/>
  <c r="L327" i="3" s="1"/>
  <c r="K326" i="3"/>
  <c r="J326" i="3"/>
  <c r="I326" i="3"/>
  <c r="K325" i="3"/>
  <c r="J325" i="3"/>
  <c r="I325" i="3"/>
  <c r="L325" i="3" s="1"/>
  <c r="K324" i="3"/>
  <c r="J324" i="3"/>
  <c r="I324" i="3"/>
  <c r="L324" i="3" s="1"/>
  <c r="K323" i="3"/>
  <c r="J323" i="3"/>
  <c r="I323" i="3"/>
  <c r="L323" i="3" s="1"/>
  <c r="K322" i="3"/>
  <c r="J322" i="3"/>
  <c r="I322" i="3"/>
  <c r="L322" i="3" s="1"/>
  <c r="K321" i="3"/>
  <c r="J321" i="3"/>
  <c r="I321" i="3"/>
  <c r="L321" i="3" s="1"/>
  <c r="K320" i="3"/>
  <c r="J320" i="3"/>
  <c r="I320" i="3"/>
  <c r="L320" i="3" s="1"/>
  <c r="K319" i="3"/>
  <c r="J319" i="3"/>
  <c r="I319" i="3"/>
  <c r="L319" i="3" s="1"/>
  <c r="K318" i="3"/>
  <c r="J318" i="3"/>
  <c r="I318" i="3"/>
  <c r="L318" i="3" s="1"/>
  <c r="K317" i="3"/>
  <c r="J317" i="3"/>
  <c r="I317" i="3"/>
  <c r="L317" i="3" s="1"/>
  <c r="K316" i="3"/>
  <c r="J316" i="3"/>
  <c r="I316" i="3"/>
  <c r="L316" i="3" s="1"/>
  <c r="K315" i="3"/>
  <c r="J315" i="3"/>
  <c r="I315" i="3"/>
  <c r="L315" i="3" s="1"/>
  <c r="K314" i="3"/>
  <c r="J314" i="3"/>
  <c r="I314" i="3"/>
  <c r="K313" i="3"/>
  <c r="J313" i="3"/>
  <c r="I313" i="3"/>
  <c r="L313" i="3" s="1"/>
  <c r="K312" i="3"/>
  <c r="J312" i="3"/>
  <c r="I312" i="3"/>
  <c r="L312" i="3" s="1"/>
  <c r="K311" i="3"/>
  <c r="J311" i="3"/>
  <c r="I311" i="3"/>
  <c r="L311" i="3" s="1"/>
  <c r="K310" i="3"/>
  <c r="J310" i="3"/>
  <c r="I310" i="3"/>
  <c r="L310" i="3" s="1"/>
  <c r="K309" i="3"/>
  <c r="J309" i="3"/>
  <c r="I309" i="3"/>
  <c r="L309" i="3" s="1"/>
  <c r="K308" i="3"/>
  <c r="J308" i="3"/>
  <c r="I308" i="3"/>
  <c r="L308" i="3" s="1"/>
  <c r="K307" i="3"/>
  <c r="J307" i="3"/>
  <c r="I307" i="3"/>
  <c r="L307" i="3" s="1"/>
  <c r="K306" i="3"/>
  <c r="J306" i="3"/>
  <c r="I306" i="3"/>
  <c r="L306" i="3" s="1"/>
  <c r="K305" i="3"/>
  <c r="J305" i="3"/>
  <c r="I305" i="3"/>
  <c r="L305" i="3" s="1"/>
  <c r="K304" i="3"/>
  <c r="J304" i="3"/>
  <c r="I304" i="3"/>
  <c r="L304" i="3" s="1"/>
  <c r="K303" i="3"/>
  <c r="J303" i="3"/>
  <c r="I303" i="3"/>
  <c r="L303" i="3" s="1"/>
  <c r="K302" i="3"/>
  <c r="J302" i="3"/>
  <c r="I302" i="3"/>
  <c r="K301" i="3"/>
  <c r="J301" i="3"/>
  <c r="I301" i="3"/>
  <c r="L301" i="3" s="1"/>
  <c r="K300" i="3"/>
  <c r="J300" i="3"/>
  <c r="I300" i="3"/>
  <c r="L300" i="3" s="1"/>
  <c r="K299" i="3"/>
  <c r="J299" i="3"/>
  <c r="I299" i="3"/>
  <c r="L299" i="3" s="1"/>
  <c r="K298" i="3"/>
  <c r="J298" i="3"/>
  <c r="I298" i="3"/>
  <c r="L298" i="3" s="1"/>
  <c r="K297" i="3"/>
  <c r="J297" i="3"/>
  <c r="I297" i="3"/>
  <c r="L297" i="3" s="1"/>
  <c r="K296" i="3"/>
  <c r="J296" i="3"/>
  <c r="I296" i="3"/>
  <c r="L296" i="3" s="1"/>
  <c r="K295" i="3"/>
  <c r="J295" i="3"/>
  <c r="I295" i="3"/>
  <c r="L295" i="3" s="1"/>
  <c r="K294" i="3"/>
  <c r="J294" i="3"/>
  <c r="I294" i="3"/>
  <c r="L294" i="3" s="1"/>
  <c r="K293" i="3"/>
  <c r="J293" i="3"/>
  <c r="I293" i="3"/>
  <c r="L293" i="3" s="1"/>
  <c r="K292" i="3"/>
  <c r="J292" i="3"/>
  <c r="I292" i="3"/>
  <c r="L292" i="3" s="1"/>
  <c r="K291" i="3"/>
  <c r="J291" i="3"/>
  <c r="I291" i="3"/>
  <c r="L291" i="3" s="1"/>
  <c r="K290" i="3"/>
  <c r="J290" i="3"/>
  <c r="I290" i="3"/>
  <c r="K289" i="3"/>
  <c r="J289" i="3"/>
  <c r="I289" i="3"/>
  <c r="L289" i="3" s="1"/>
  <c r="K288" i="3"/>
  <c r="J288" i="3"/>
  <c r="I288" i="3"/>
  <c r="L288" i="3" s="1"/>
  <c r="K287" i="3"/>
  <c r="J287" i="3"/>
  <c r="I287" i="3"/>
  <c r="L287" i="3" s="1"/>
  <c r="K286" i="3"/>
  <c r="J286" i="3"/>
  <c r="I286" i="3"/>
  <c r="L286" i="3" s="1"/>
  <c r="K285" i="3"/>
  <c r="J285" i="3"/>
  <c r="I285" i="3"/>
  <c r="L285" i="3" s="1"/>
  <c r="K284" i="3"/>
  <c r="J284" i="3"/>
  <c r="I284" i="3"/>
  <c r="L284" i="3" s="1"/>
  <c r="K283" i="3"/>
  <c r="J283" i="3"/>
  <c r="I283" i="3"/>
  <c r="L283" i="3" s="1"/>
  <c r="K282" i="3"/>
  <c r="J282" i="3"/>
  <c r="I282" i="3"/>
  <c r="L282" i="3" s="1"/>
  <c r="K281" i="3"/>
  <c r="J281" i="3"/>
  <c r="I281" i="3"/>
  <c r="L281" i="3" s="1"/>
  <c r="K280" i="3"/>
  <c r="J280" i="3"/>
  <c r="I280" i="3"/>
  <c r="L280" i="3" s="1"/>
  <c r="K279" i="3"/>
  <c r="J279" i="3"/>
  <c r="I279" i="3"/>
  <c r="L279" i="3" s="1"/>
  <c r="K278" i="3"/>
  <c r="J278" i="3"/>
  <c r="I278" i="3"/>
  <c r="K277" i="3"/>
  <c r="J277" i="3"/>
  <c r="I277" i="3"/>
  <c r="L277" i="3" s="1"/>
  <c r="K276" i="3"/>
  <c r="J276" i="3"/>
  <c r="I276" i="3"/>
  <c r="L276" i="3" s="1"/>
  <c r="K275" i="3"/>
  <c r="J275" i="3"/>
  <c r="I275" i="3"/>
  <c r="L275" i="3" s="1"/>
  <c r="K274" i="3"/>
  <c r="J274" i="3"/>
  <c r="I274" i="3"/>
  <c r="L274" i="3" s="1"/>
  <c r="K273" i="3"/>
  <c r="J273" i="3"/>
  <c r="I273" i="3"/>
  <c r="L273" i="3" s="1"/>
  <c r="K272" i="3"/>
  <c r="J272" i="3"/>
  <c r="I272" i="3"/>
  <c r="L272" i="3" s="1"/>
  <c r="K271" i="3"/>
  <c r="J271" i="3"/>
  <c r="I271" i="3"/>
  <c r="L271" i="3" s="1"/>
  <c r="K270" i="3"/>
  <c r="J270" i="3"/>
  <c r="I270" i="3"/>
  <c r="L270" i="3" s="1"/>
  <c r="K269" i="3"/>
  <c r="J269" i="3"/>
  <c r="I269" i="3"/>
  <c r="L269" i="3" s="1"/>
  <c r="K268" i="3"/>
  <c r="J268" i="3"/>
  <c r="I268" i="3"/>
  <c r="L268" i="3" s="1"/>
  <c r="K267" i="3"/>
  <c r="J267" i="3"/>
  <c r="I267" i="3"/>
  <c r="L267" i="3" s="1"/>
  <c r="K266" i="3"/>
  <c r="J266" i="3"/>
  <c r="I266" i="3"/>
  <c r="K265" i="3"/>
  <c r="J265" i="3"/>
  <c r="I265" i="3"/>
  <c r="L265" i="3" s="1"/>
  <c r="K264" i="3"/>
  <c r="J264" i="3"/>
  <c r="I264" i="3"/>
  <c r="L264" i="3" s="1"/>
  <c r="K263" i="3"/>
  <c r="J263" i="3"/>
  <c r="I263" i="3"/>
  <c r="L263" i="3" s="1"/>
  <c r="K262" i="3"/>
  <c r="J262" i="3"/>
  <c r="I262" i="3"/>
  <c r="L262" i="3" s="1"/>
  <c r="K261" i="3"/>
  <c r="J261" i="3"/>
  <c r="I261" i="3"/>
  <c r="L261" i="3" s="1"/>
  <c r="K260" i="3"/>
  <c r="J260" i="3"/>
  <c r="I260" i="3"/>
  <c r="L260" i="3" s="1"/>
  <c r="K259" i="3"/>
  <c r="J259" i="3"/>
  <c r="I259" i="3"/>
  <c r="L259" i="3" s="1"/>
  <c r="K258" i="3"/>
  <c r="J258" i="3"/>
  <c r="I258" i="3"/>
  <c r="L258" i="3" s="1"/>
  <c r="K257" i="3"/>
  <c r="J257" i="3"/>
  <c r="I257" i="3"/>
  <c r="L257" i="3" s="1"/>
  <c r="K256" i="3"/>
  <c r="J256" i="3"/>
  <c r="I256" i="3"/>
  <c r="L256" i="3" s="1"/>
  <c r="K255" i="3"/>
  <c r="J255" i="3"/>
  <c r="I255" i="3"/>
  <c r="L255" i="3" s="1"/>
  <c r="K254" i="3"/>
  <c r="J254" i="3"/>
  <c r="I254" i="3"/>
  <c r="K253" i="3"/>
  <c r="J253" i="3"/>
  <c r="I253" i="3"/>
  <c r="L253" i="3" s="1"/>
  <c r="K252" i="3"/>
  <c r="J252" i="3"/>
  <c r="I252" i="3"/>
  <c r="L252" i="3" s="1"/>
  <c r="K251" i="3"/>
  <c r="J251" i="3"/>
  <c r="I251" i="3"/>
  <c r="L251" i="3" s="1"/>
  <c r="K250" i="3"/>
  <c r="J250" i="3"/>
  <c r="I250" i="3"/>
  <c r="L250" i="3" s="1"/>
  <c r="K249" i="3"/>
  <c r="J249" i="3"/>
  <c r="I249" i="3"/>
  <c r="L249" i="3" s="1"/>
  <c r="K248" i="3"/>
  <c r="J248" i="3"/>
  <c r="I248" i="3"/>
  <c r="L248" i="3" s="1"/>
  <c r="K247" i="3"/>
  <c r="J247" i="3"/>
  <c r="I247" i="3"/>
  <c r="L247" i="3" s="1"/>
  <c r="K246" i="3"/>
  <c r="J246" i="3"/>
  <c r="I246" i="3"/>
  <c r="L246" i="3" s="1"/>
  <c r="K245" i="3"/>
  <c r="J245" i="3"/>
  <c r="I245" i="3"/>
  <c r="L245" i="3" s="1"/>
  <c r="K244" i="3"/>
  <c r="J244" i="3"/>
  <c r="I244" i="3"/>
  <c r="L244" i="3" s="1"/>
  <c r="K243" i="3"/>
  <c r="J243" i="3"/>
  <c r="I243" i="3"/>
  <c r="L243" i="3" s="1"/>
  <c r="K242" i="3"/>
  <c r="J242" i="3"/>
  <c r="I242" i="3"/>
  <c r="K241" i="3"/>
  <c r="J241" i="3"/>
  <c r="I241" i="3"/>
  <c r="L241" i="3" s="1"/>
  <c r="K240" i="3"/>
  <c r="J240" i="3"/>
  <c r="I240" i="3"/>
  <c r="L240" i="3" s="1"/>
  <c r="K239" i="3"/>
  <c r="J239" i="3"/>
  <c r="I239" i="3"/>
  <c r="L239" i="3" s="1"/>
  <c r="K238" i="3"/>
  <c r="J238" i="3"/>
  <c r="I238" i="3"/>
  <c r="L238" i="3" s="1"/>
  <c r="K237" i="3"/>
  <c r="J237" i="3"/>
  <c r="I237" i="3"/>
  <c r="L237" i="3" s="1"/>
  <c r="K236" i="3"/>
  <c r="J236" i="3"/>
  <c r="I236" i="3"/>
  <c r="L236" i="3" s="1"/>
  <c r="K235" i="3"/>
  <c r="J235" i="3"/>
  <c r="I235" i="3"/>
  <c r="L235" i="3" s="1"/>
  <c r="K234" i="3"/>
  <c r="J234" i="3"/>
  <c r="I234" i="3"/>
  <c r="L234" i="3" s="1"/>
  <c r="K233" i="3"/>
  <c r="J233" i="3"/>
  <c r="I233" i="3"/>
  <c r="L233" i="3" s="1"/>
  <c r="K232" i="3"/>
  <c r="J232" i="3"/>
  <c r="I232" i="3"/>
  <c r="L232" i="3" s="1"/>
  <c r="K231" i="3"/>
  <c r="J231" i="3"/>
  <c r="I231" i="3"/>
  <c r="L231" i="3" s="1"/>
  <c r="K230" i="3"/>
  <c r="J230" i="3"/>
  <c r="I230" i="3"/>
  <c r="K229" i="3"/>
  <c r="J229" i="3"/>
  <c r="I229" i="3"/>
  <c r="L229" i="3" s="1"/>
  <c r="K228" i="3"/>
  <c r="J228" i="3"/>
  <c r="I228" i="3"/>
  <c r="L228" i="3" s="1"/>
  <c r="K227" i="3"/>
  <c r="J227" i="3"/>
  <c r="I227" i="3"/>
  <c r="L227" i="3" s="1"/>
  <c r="K226" i="3"/>
  <c r="J226" i="3"/>
  <c r="I226" i="3"/>
  <c r="L226" i="3" s="1"/>
  <c r="K225" i="3"/>
  <c r="J225" i="3"/>
  <c r="I225" i="3"/>
  <c r="L225" i="3" s="1"/>
  <c r="K224" i="3"/>
  <c r="J224" i="3"/>
  <c r="I224" i="3"/>
  <c r="L224" i="3" s="1"/>
  <c r="K223" i="3"/>
  <c r="J223" i="3"/>
  <c r="I223" i="3"/>
  <c r="L223" i="3" s="1"/>
  <c r="K222" i="3"/>
  <c r="J222" i="3"/>
  <c r="I222" i="3"/>
  <c r="L222" i="3" s="1"/>
  <c r="K221" i="3"/>
  <c r="J221" i="3"/>
  <c r="I221" i="3"/>
  <c r="L221" i="3" s="1"/>
  <c r="K220" i="3"/>
  <c r="J220" i="3"/>
  <c r="I220" i="3"/>
  <c r="L220" i="3" s="1"/>
  <c r="K219" i="3"/>
  <c r="J219" i="3"/>
  <c r="I219" i="3"/>
  <c r="L219" i="3" s="1"/>
  <c r="K218" i="3"/>
  <c r="J218" i="3"/>
  <c r="I218" i="3"/>
  <c r="K217" i="3"/>
  <c r="J217" i="3"/>
  <c r="I217" i="3"/>
  <c r="L217" i="3" s="1"/>
  <c r="K216" i="3"/>
  <c r="J216" i="3"/>
  <c r="I216" i="3"/>
  <c r="L216" i="3" s="1"/>
  <c r="K215" i="3"/>
  <c r="J215" i="3"/>
  <c r="I215" i="3"/>
  <c r="L215" i="3" s="1"/>
  <c r="K214" i="3"/>
  <c r="J214" i="3"/>
  <c r="I214" i="3"/>
  <c r="L214" i="3" s="1"/>
  <c r="K213" i="3"/>
  <c r="J213" i="3"/>
  <c r="I213" i="3"/>
  <c r="L213" i="3" s="1"/>
  <c r="K212" i="3"/>
  <c r="J212" i="3"/>
  <c r="I212" i="3"/>
  <c r="L212" i="3" s="1"/>
  <c r="K211" i="3"/>
  <c r="J211" i="3"/>
  <c r="I211" i="3"/>
  <c r="L211" i="3" s="1"/>
  <c r="K210" i="3"/>
  <c r="J210" i="3"/>
  <c r="I210" i="3"/>
  <c r="L210" i="3" s="1"/>
  <c r="K209" i="3"/>
  <c r="J209" i="3"/>
  <c r="I209" i="3"/>
  <c r="L209" i="3" s="1"/>
  <c r="K208" i="3"/>
  <c r="J208" i="3"/>
  <c r="I208" i="3"/>
  <c r="L208" i="3" s="1"/>
  <c r="K207" i="3"/>
  <c r="J207" i="3"/>
  <c r="I207" i="3"/>
  <c r="L207" i="3" s="1"/>
  <c r="K206" i="3"/>
  <c r="J206" i="3"/>
  <c r="I206" i="3"/>
  <c r="K205" i="3"/>
  <c r="J205" i="3"/>
  <c r="I205" i="3"/>
  <c r="L205" i="3" s="1"/>
  <c r="K204" i="3"/>
  <c r="J204" i="3"/>
  <c r="I204" i="3"/>
  <c r="L204" i="3" s="1"/>
  <c r="K203" i="3"/>
  <c r="J203" i="3"/>
  <c r="I203" i="3"/>
  <c r="L203" i="3" s="1"/>
  <c r="K202" i="3"/>
  <c r="J202" i="3"/>
  <c r="I202" i="3"/>
  <c r="L202" i="3" s="1"/>
  <c r="K201" i="3"/>
  <c r="J201" i="3"/>
  <c r="I201" i="3"/>
  <c r="L201" i="3" s="1"/>
  <c r="K200" i="3"/>
  <c r="J200" i="3"/>
  <c r="I200" i="3"/>
  <c r="L200" i="3" s="1"/>
  <c r="K199" i="3"/>
  <c r="J199" i="3"/>
  <c r="I199" i="3"/>
  <c r="L199" i="3" s="1"/>
  <c r="K198" i="3"/>
  <c r="J198" i="3"/>
  <c r="I198" i="3"/>
  <c r="L198" i="3" s="1"/>
  <c r="K197" i="3"/>
  <c r="J197" i="3"/>
  <c r="I197" i="3"/>
  <c r="L197" i="3" s="1"/>
  <c r="K196" i="3"/>
  <c r="J196" i="3"/>
  <c r="I196" i="3"/>
  <c r="L196" i="3" s="1"/>
  <c r="K195" i="3"/>
  <c r="J195" i="3"/>
  <c r="I195" i="3"/>
  <c r="L195" i="3" s="1"/>
  <c r="K194" i="3"/>
  <c r="J194" i="3"/>
  <c r="I194" i="3"/>
  <c r="K193" i="3"/>
  <c r="J193" i="3"/>
  <c r="I193" i="3"/>
  <c r="L193" i="3" s="1"/>
  <c r="K192" i="3"/>
  <c r="J192" i="3"/>
  <c r="I192" i="3"/>
  <c r="L192" i="3" s="1"/>
  <c r="K191" i="3"/>
  <c r="J191" i="3"/>
  <c r="I191" i="3"/>
  <c r="L191" i="3" s="1"/>
  <c r="K190" i="3"/>
  <c r="J190" i="3"/>
  <c r="I190" i="3"/>
  <c r="L190" i="3" s="1"/>
  <c r="K189" i="3"/>
  <c r="J189" i="3"/>
  <c r="I189" i="3"/>
  <c r="L189" i="3" s="1"/>
  <c r="K188" i="3"/>
  <c r="J188" i="3"/>
  <c r="I188" i="3"/>
  <c r="L188" i="3" s="1"/>
  <c r="K187" i="3"/>
  <c r="J187" i="3"/>
  <c r="I187" i="3"/>
  <c r="L187" i="3" s="1"/>
  <c r="K186" i="3"/>
  <c r="J186" i="3"/>
  <c r="I186" i="3"/>
  <c r="L186" i="3" s="1"/>
  <c r="K185" i="3"/>
  <c r="J185" i="3"/>
  <c r="I185" i="3"/>
  <c r="L185" i="3" s="1"/>
  <c r="K184" i="3"/>
  <c r="J184" i="3"/>
  <c r="I184" i="3"/>
  <c r="L184" i="3" s="1"/>
  <c r="K183" i="3"/>
  <c r="J183" i="3"/>
  <c r="I183" i="3"/>
  <c r="L183" i="3" s="1"/>
  <c r="K182" i="3"/>
  <c r="J182" i="3"/>
  <c r="I182" i="3"/>
  <c r="K181" i="3"/>
  <c r="J181" i="3"/>
  <c r="I181" i="3"/>
  <c r="L181" i="3" s="1"/>
  <c r="K180" i="3"/>
  <c r="J180" i="3"/>
  <c r="I180" i="3"/>
  <c r="L180" i="3" s="1"/>
  <c r="K179" i="3"/>
  <c r="J179" i="3"/>
  <c r="I179" i="3"/>
  <c r="L179" i="3" s="1"/>
  <c r="K178" i="3"/>
  <c r="J178" i="3"/>
  <c r="I178" i="3"/>
  <c r="L178" i="3" s="1"/>
  <c r="K177" i="3"/>
  <c r="J177" i="3"/>
  <c r="I177" i="3"/>
  <c r="L177" i="3" s="1"/>
  <c r="K176" i="3"/>
  <c r="J176" i="3"/>
  <c r="I176" i="3"/>
  <c r="L176" i="3" s="1"/>
  <c r="K175" i="3"/>
  <c r="J175" i="3"/>
  <c r="I175" i="3"/>
  <c r="L175" i="3" s="1"/>
  <c r="K174" i="3"/>
  <c r="J174" i="3"/>
  <c r="I174" i="3"/>
  <c r="L174" i="3" s="1"/>
  <c r="K173" i="3"/>
  <c r="J173" i="3"/>
  <c r="I173" i="3"/>
  <c r="L173" i="3" s="1"/>
  <c r="K172" i="3"/>
  <c r="J172" i="3"/>
  <c r="I172" i="3"/>
  <c r="L172" i="3" s="1"/>
  <c r="K171" i="3"/>
  <c r="J171" i="3"/>
  <c r="I171" i="3"/>
  <c r="L171" i="3" s="1"/>
  <c r="K170" i="3"/>
  <c r="J170" i="3"/>
  <c r="I170" i="3"/>
  <c r="K169" i="3"/>
  <c r="J169" i="3"/>
  <c r="I169" i="3"/>
  <c r="L169" i="3" s="1"/>
  <c r="K168" i="3"/>
  <c r="J168" i="3"/>
  <c r="I168" i="3"/>
  <c r="L168" i="3" s="1"/>
  <c r="K167" i="3"/>
  <c r="J167" i="3"/>
  <c r="I167" i="3"/>
  <c r="L167" i="3" s="1"/>
  <c r="K166" i="3"/>
  <c r="J166" i="3"/>
  <c r="I166" i="3"/>
  <c r="L166" i="3" s="1"/>
  <c r="K165" i="3"/>
  <c r="J165" i="3"/>
  <c r="I165" i="3"/>
  <c r="L165" i="3" s="1"/>
  <c r="K164" i="3"/>
  <c r="J164" i="3"/>
  <c r="I164" i="3"/>
  <c r="L164" i="3" s="1"/>
  <c r="K163" i="3"/>
  <c r="J163" i="3"/>
  <c r="I163" i="3"/>
  <c r="L163" i="3" s="1"/>
  <c r="K162" i="3"/>
  <c r="J162" i="3"/>
  <c r="I162" i="3"/>
  <c r="L162" i="3" s="1"/>
  <c r="K161" i="3"/>
  <c r="J161" i="3"/>
  <c r="I161" i="3"/>
  <c r="L161" i="3" s="1"/>
  <c r="K160" i="3"/>
  <c r="J160" i="3"/>
  <c r="I160" i="3"/>
  <c r="L160" i="3" s="1"/>
  <c r="K159" i="3"/>
  <c r="J159" i="3"/>
  <c r="I159" i="3"/>
  <c r="L159" i="3" s="1"/>
  <c r="K158" i="3"/>
  <c r="J158" i="3"/>
  <c r="I158" i="3"/>
  <c r="K157" i="3"/>
  <c r="J157" i="3"/>
  <c r="I157" i="3"/>
  <c r="L157" i="3" s="1"/>
  <c r="K156" i="3"/>
  <c r="J156" i="3"/>
  <c r="I156" i="3"/>
  <c r="L156" i="3" s="1"/>
  <c r="K155" i="3"/>
  <c r="J155" i="3"/>
  <c r="I155" i="3"/>
  <c r="L155" i="3" s="1"/>
  <c r="K154" i="3"/>
  <c r="J154" i="3"/>
  <c r="I154" i="3"/>
  <c r="L154" i="3" s="1"/>
  <c r="K153" i="3"/>
  <c r="J153" i="3"/>
  <c r="I153" i="3"/>
  <c r="L153" i="3" s="1"/>
  <c r="K152" i="3"/>
  <c r="J152" i="3"/>
  <c r="I152" i="3"/>
  <c r="L152" i="3" s="1"/>
  <c r="K151" i="3"/>
  <c r="J151" i="3"/>
  <c r="I151" i="3"/>
  <c r="L151" i="3" s="1"/>
  <c r="K150" i="3"/>
  <c r="J150" i="3"/>
  <c r="I150" i="3"/>
  <c r="L150" i="3" s="1"/>
  <c r="K149" i="3"/>
  <c r="J149" i="3"/>
  <c r="I149" i="3"/>
  <c r="L149" i="3" s="1"/>
  <c r="K148" i="3"/>
  <c r="J148" i="3"/>
  <c r="I148" i="3"/>
  <c r="L148" i="3" s="1"/>
  <c r="K147" i="3"/>
  <c r="J147" i="3"/>
  <c r="I147" i="3"/>
  <c r="L147" i="3" s="1"/>
  <c r="K146" i="3"/>
  <c r="J146" i="3"/>
  <c r="I146" i="3"/>
  <c r="K145" i="3"/>
  <c r="J145" i="3"/>
  <c r="I145" i="3"/>
  <c r="L145" i="3" s="1"/>
  <c r="K144" i="3"/>
  <c r="J144" i="3"/>
  <c r="I144" i="3"/>
  <c r="L144" i="3" s="1"/>
  <c r="K143" i="3"/>
  <c r="J143" i="3"/>
  <c r="I143" i="3"/>
  <c r="L143" i="3" s="1"/>
  <c r="K142" i="3"/>
  <c r="J142" i="3"/>
  <c r="I142" i="3"/>
  <c r="L142" i="3" s="1"/>
  <c r="K141" i="3"/>
  <c r="J141" i="3"/>
  <c r="I141" i="3"/>
  <c r="L141" i="3" s="1"/>
  <c r="K140" i="3"/>
  <c r="J140" i="3"/>
  <c r="I140" i="3"/>
  <c r="L140" i="3" s="1"/>
  <c r="K139" i="3"/>
  <c r="J139" i="3"/>
  <c r="I139" i="3"/>
  <c r="L139" i="3" s="1"/>
  <c r="K138" i="3"/>
  <c r="J138" i="3"/>
  <c r="I138" i="3"/>
  <c r="L138" i="3" s="1"/>
  <c r="K137" i="3"/>
  <c r="J137" i="3"/>
  <c r="I137" i="3"/>
  <c r="L137" i="3" s="1"/>
  <c r="K136" i="3"/>
  <c r="J136" i="3"/>
  <c r="I136" i="3"/>
  <c r="L136" i="3" s="1"/>
  <c r="K135" i="3"/>
  <c r="J135" i="3"/>
  <c r="I135" i="3"/>
  <c r="L135" i="3" s="1"/>
  <c r="K134" i="3"/>
  <c r="J134" i="3"/>
  <c r="I134" i="3"/>
  <c r="K133" i="3"/>
  <c r="J133" i="3"/>
  <c r="I133" i="3"/>
  <c r="L133" i="3" s="1"/>
  <c r="K132" i="3"/>
  <c r="J132" i="3"/>
  <c r="I132" i="3"/>
  <c r="L132" i="3" s="1"/>
  <c r="K131" i="3"/>
  <c r="J131" i="3"/>
  <c r="I131" i="3"/>
  <c r="L131" i="3" s="1"/>
  <c r="K130" i="3"/>
  <c r="J130" i="3"/>
  <c r="I130" i="3"/>
  <c r="L130" i="3" s="1"/>
  <c r="K129" i="3"/>
  <c r="J129" i="3"/>
  <c r="I129" i="3"/>
  <c r="L129" i="3" s="1"/>
  <c r="K128" i="3"/>
  <c r="J128" i="3"/>
  <c r="I128" i="3"/>
  <c r="L128" i="3" s="1"/>
  <c r="K127" i="3"/>
  <c r="J127" i="3"/>
  <c r="I127" i="3"/>
  <c r="L127" i="3" s="1"/>
  <c r="K126" i="3"/>
  <c r="J126" i="3"/>
  <c r="I126" i="3"/>
  <c r="L126" i="3" s="1"/>
  <c r="K125" i="3"/>
  <c r="J125" i="3"/>
  <c r="I125" i="3"/>
  <c r="L125" i="3" s="1"/>
  <c r="K124" i="3"/>
  <c r="J124" i="3"/>
  <c r="I124" i="3"/>
  <c r="L124" i="3" s="1"/>
  <c r="K123" i="3"/>
  <c r="J123" i="3"/>
  <c r="I123" i="3"/>
  <c r="L123" i="3" s="1"/>
  <c r="K122" i="3"/>
  <c r="J122" i="3"/>
  <c r="I122" i="3"/>
  <c r="K121" i="3"/>
  <c r="J121" i="3"/>
  <c r="I121" i="3"/>
  <c r="L121" i="3" s="1"/>
  <c r="K120" i="3"/>
  <c r="J120" i="3"/>
  <c r="I120" i="3"/>
  <c r="L120" i="3" s="1"/>
  <c r="K119" i="3"/>
  <c r="J119" i="3"/>
  <c r="I119" i="3"/>
  <c r="L119" i="3" s="1"/>
  <c r="K118" i="3"/>
  <c r="J118" i="3"/>
  <c r="I118" i="3"/>
  <c r="L118" i="3" s="1"/>
  <c r="K117" i="3"/>
  <c r="J117" i="3"/>
  <c r="I117" i="3"/>
  <c r="L117" i="3" s="1"/>
  <c r="K116" i="3"/>
  <c r="J116" i="3"/>
  <c r="I116" i="3"/>
  <c r="L116" i="3" s="1"/>
  <c r="K115" i="3"/>
  <c r="J115" i="3"/>
  <c r="I115" i="3"/>
  <c r="L115" i="3" s="1"/>
  <c r="K114" i="3"/>
  <c r="J114" i="3"/>
  <c r="I114" i="3"/>
  <c r="L114" i="3" s="1"/>
  <c r="K113" i="3"/>
  <c r="J113" i="3"/>
  <c r="I113" i="3"/>
  <c r="L113" i="3" s="1"/>
  <c r="K112" i="3"/>
  <c r="J112" i="3"/>
  <c r="I112" i="3"/>
  <c r="L112" i="3" s="1"/>
  <c r="K111" i="3"/>
  <c r="J111" i="3"/>
  <c r="I111" i="3"/>
  <c r="L111" i="3" s="1"/>
  <c r="K110" i="3"/>
  <c r="J110" i="3"/>
  <c r="I110" i="3"/>
  <c r="K109" i="3"/>
  <c r="J109" i="3"/>
  <c r="I109" i="3"/>
  <c r="L109" i="3" s="1"/>
  <c r="K108" i="3"/>
  <c r="J108" i="3"/>
  <c r="I108" i="3"/>
  <c r="L108" i="3" s="1"/>
  <c r="K107" i="3"/>
  <c r="J107" i="3"/>
  <c r="I107" i="3"/>
  <c r="L107" i="3" s="1"/>
  <c r="K106" i="3"/>
  <c r="J106" i="3"/>
  <c r="I106" i="3"/>
  <c r="L106" i="3" s="1"/>
  <c r="K105" i="3"/>
  <c r="J105" i="3"/>
  <c r="I105" i="3"/>
  <c r="L105" i="3" s="1"/>
  <c r="K104" i="3"/>
  <c r="J104" i="3"/>
  <c r="I104" i="3"/>
  <c r="L104" i="3" s="1"/>
  <c r="K103" i="3"/>
  <c r="J103" i="3"/>
  <c r="I103" i="3"/>
  <c r="L103" i="3" s="1"/>
  <c r="K102" i="3"/>
  <c r="J102" i="3"/>
  <c r="I102" i="3"/>
  <c r="L102" i="3" s="1"/>
  <c r="K101" i="3"/>
  <c r="J101" i="3"/>
  <c r="I101" i="3"/>
  <c r="L101" i="3" s="1"/>
  <c r="K100" i="3"/>
  <c r="J100" i="3"/>
  <c r="I100" i="3"/>
  <c r="L100" i="3" s="1"/>
  <c r="K99" i="3"/>
  <c r="J99" i="3"/>
  <c r="I99" i="3"/>
  <c r="L99" i="3" s="1"/>
  <c r="K98" i="3"/>
  <c r="J98" i="3"/>
  <c r="I98" i="3"/>
  <c r="K97" i="3"/>
  <c r="J97" i="3"/>
  <c r="I97" i="3"/>
  <c r="L97" i="3" s="1"/>
  <c r="K96" i="3"/>
  <c r="J96" i="3"/>
  <c r="I96" i="3"/>
  <c r="L96" i="3" s="1"/>
  <c r="K95" i="3"/>
  <c r="J95" i="3"/>
  <c r="I95" i="3"/>
  <c r="L95" i="3" s="1"/>
  <c r="K94" i="3"/>
  <c r="J94" i="3"/>
  <c r="I94" i="3"/>
  <c r="L94" i="3" s="1"/>
  <c r="K93" i="3"/>
  <c r="J93" i="3"/>
  <c r="I93" i="3"/>
  <c r="L93" i="3" s="1"/>
  <c r="K92" i="3"/>
  <c r="J92" i="3"/>
  <c r="I92" i="3"/>
  <c r="L92" i="3" s="1"/>
  <c r="K91" i="3"/>
  <c r="J91" i="3"/>
  <c r="I91" i="3"/>
  <c r="L91" i="3" s="1"/>
  <c r="K90" i="3"/>
  <c r="J90" i="3"/>
  <c r="I90" i="3"/>
  <c r="L90" i="3" s="1"/>
  <c r="K89" i="3"/>
  <c r="J89" i="3"/>
  <c r="I89" i="3"/>
  <c r="L89" i="3" s="1"/>
  <c r="K88" i="3"/>
  <c r="J88" i="3"/>
  <c r="I88" i="3"/>
  <c r="L88" i="3" s="1"/>
  <c r="K87" i="3"/>
  <c r="J87" i="3"/>
  <c r="I87" i="3"/>
  <c r="L87" i="3" s="1"/>
  <c r="K86" i="3"/>
  <c r="J86" i="3"/>
  <c r="I86" i="3"/>
  <c r="K85" i="3"/>
  <c r="J85" i="3"/>
  <c r="I85" i="3"/>
  <c r="L85" i="3" s="1"/>
  <c r="K84" i="3"/>
  <c r="J84" i="3"/>
  <c r="I84" i="3"/>
  <c r="L84" i="3" s="1"/>
  <c r="K83" i="3"/>
  <c r="J83" i="3"/>
  <c r="I83" i="3"/>
  <c r="L83" i="3" s="1"/>
  <c r="K82" i="3"/>
  <c r="J82" i="3"/>
  <c r="I82" i="3"/>
  <c r="L82" i="3" s="1"/>
  <c r="K81" i="3"/>
  <c r="J81" i="3"/>
  <c r="I81" i="3"/>
  <c r="L81" i="3" s="1"/>
  <c r="K80" i="3"/>
  <c r="J80" i="3"/>
  <c r="I80" i="3"/>
  <c r="L80" i="3" s="1"/>
  <c r="K79" i="3"/>
  <c r="J79" i="3"/>
  <c r="I79" i="3"/>
  <c r="L79" i="3" s="1"/>
  <c r="K78" i="3"/>
  <c r="J78" i="3"/>
  <c r="I78" i="3"/>
  <c r="L78" i="3" s="1"/>
  <c r="K77" i="3"/>
  <c r="J77" i="3"/>
  <c r="I77" i="3"/>
  <c r="L77" i="3" s="1"/>
  <c r="K76" i="3"/>
  <c r="J76" i="3"/>
  <c r="I76" i="3"/>
  <c r="L76" i="3" s="1"/>
  <c r="K75" i="3"/>
  <c r="J75" i="3"/>
  <c r="I75" i="3"/>
  <c r="L75" i="3" s="1"/>
  <c r="K74" i="3"/>
  <c r="J74" i="3"/>
  <c r="I74" i="3"/>
  <c r="K73" i="3"/>
  <c r="J73" i="3"/>
  <c r="I73" i="3"/>
  <c r="L73" i="3" s="1"/>
  <c r="K72" i="3"/>
  <c r="J72" i="3"/>
  <c r="I72" i="3"/>
  <c r="L72" i="3" s="1"/>
  <c r="K71" i="3"/>
  <c r="J71" i="3"/>
  <c r="I71" i="3"/>
  <c r="L71" i="3" s="1"/>
  <c r="K70" i="3"/>
  <c r="J70" i="3"/>
  <c r="I70" i="3"/>
  <c r="L70" i="3" s="1"/>
  <c r="K69" i="3"/>
  <c r="J69" i="3"/>
  <c r="I69" i="3"/>
  <c r="L69" i="3" s="1"/>
  <c r="K68" i="3"/>
  <c r="J68" i="3"/>
  <c r="I68" i="3"/>
  <c r="L68" i="3" s="1"/>
  <c r="K67" i="3"/>
  <c r="J67" i="3"/>
  <c r="I67" i="3"/>
  <c r="L67" i="3" s="1"/>
  <c r="K66" i="3"/>
  <c r="J66" i="3"/>
  <c r="I66" i="3"/>
  <c r="L66" i="3" s="1"/>
  <c r="K65" i="3"/>
  <c r="J65" i="3"/>
  <c r="I65" i="3"/>
  <c r="L65" i="3" s="1"/>
  <c r="K64" i="3"/>
  <c r="J64" i="3"/>
  <c r="I64" i="3"/>
  <c r="L64" i="3" s="1"/>
  <c r="K63" i="3"/>
  <c r="J63" i="3"/>
  <c r="I63" i="3"/>
  <c r="L63" i="3" s="1"/>
  <c r="K62" i="3"/>
  <c r="J62" i="3"/>
  <c r="I62" i="3"/>
  <c r="K61" i="3"/>
  <c r="J61" i="3"/>
  <c r="I61" i="3"/>
  <c r="L61" i="3" s="1"/>
  <c r="K60" i="3"/>
  <c r="J60" i="3"/>
  <c r="I60" i="3"/>
  <c r="L60" i="3" s="1"/>
  <c r="K59" i="3"/>
  <c r="J59" i="3"/>
  <c r="I59" i="3"/>
  <c r="L59" i="3" s="1"/>
  <c r="K58" i="3"/>
  <c r="J58" i="3"/>
  <c r="I58" i="3"/>
  <c r="L58" i="3" s="1"/>
  <c r="K57" i="3"/>
  <c r="J57" i="3"/>
  <c r="I57" i="3"/>
  <c r="L57" i="3" s="1"/>
  <c r="K56" i="3"/>
  <c r="J56" i="3"/>
  <c r="I56" i="3"/>
  <c r="L56" i="3" s="1"/>
  <c r="K55" i="3"/>
  <c r="J55" i="3"/>
  <c r="I55" i="3"/>
  <c r="L55" i="3" s="1"/>
  <c r="K54" i="3"/>
  <c r="J54" i="3"/>
  <c r="I54" i="3"/>
  <c r="L54" i="3" s="1"/>
  <c r="K53" i="3"/>
  <c r="J53" i="3"/>
  <c r="I53" i="3"/>
  <c r="L53" i="3" s="1"/>
  <c r="K52" i="3"/>
  <c r="J52" i="3"/>
  <c r="I52" i="3"/>
  <c r="L52" i="3" s="1"/>
  <c r="K51" i="3"/>
  <c r="J51" i="3"/>
  <c r="I51" i="3"/>
  <c r="L51" i="3" s="1"/>
  <c r="K50" i="3"/>
  <c r="J50" i="3"/>
  <c r="I50" i="3"/>
  <c r="K49" i="3"/>
  <c r="J49" i="3"/>
  <c r="I49" i="3"/>
  <c r="L49" i="3" s="1"/>
  <c r="K48" i="3"/>
  <c r="J48" i="3"/>
  <c r="I48" i="3"/>
  <c r="L48" i="3" s="1"/>
  <c r="K47" i="3"/>
  <c r="J47" i="3"/>
  <c r="I47" i="3"/>
  <c r="L47" i="3" s="1"/>
  <c r="K46" i="3"/>
  <c r="J46" i="3"/>
  <c r="I46" i="3"/>
  <c r="L46" i="3" s="1"/>
  <c r="K45" i="3"/>
  <c r="J45" i="3"/>
  <c r="I45" i="3"/>
  <c r="L45" i="3" s="1"/>
  <c r="K44" i="3"/>
  <c r="J44" i="3"/>
  <c r="I44" i="3"/>
  <c r="L44" i="3" s="1"/>
  <c r="K43" i="3"/>
  <c r="J43" i="3"/>
  <c r="I43" i="3"/>
  <c r="L43" i="3" s="1"/>
  <c r="K42" i="3"/>
  <c r="J42" i="3"/>
  <c r="I42" i="3"/>
  <c r="L42" i="3" s="1"/>
  <c r="K41" i="3"/>
  <c r="J41" i="3"/>
  <c r="I41" i="3"/>
  <c r="L41" i="3" s="1"/>
  <c r="K40" i="3"/>
  <c r="J40" i="3"/>
  <c r="I40" i="3"/>
  <c r="L40" i="3" s="1"/>
  <c r="K39" i="3"/>
  <c r="J39" i="3"/>
  <c r="I39" i="3"/>
  <c r="L39" i="3" s="1"/>
  <c r="K38" i="3"/>
  <c r="J38" i="3"/>
  <c r="L38" i="3" s="1"/>
  <c r="I38" i="3"/>
  <c r="K37" i="3"/>
  <c r="J37" i="3"/>
  <c r="I37" i="3"/>
  <c r="L37" i="3" s="1"/>
  <c r="K36" i="3"/>
  <c r="J36" i="3"/>
  <c r="I36" i="3"/>
  <c r="L36" i="3" s="1"/>
  <c r="K35" i="3"/>
  <c r="J35" i="3"/>
  <c r="I35" i="3"/>
  <c r="L35" i="3" s="1"/>
  <c r="K34" i="3"/>
  <c r="J34" i="3"/>
  <c r="I34" i="3"/>
  <c r="L34" i="3" s="1"/>
  <c r="K33" i="3"/>
  <c r="J33" i="3"/>
  <c r="I33" i="3"/>
  <c r="L33" i="3" s="1"/>
  <c r="K32" i="3"/>
  <c r="J32" i="3"/>
  <c r="I32" i="3"/>
  <c r="L32" i="3" s="1"/>
  <c r="K31" i="3"/>
  <c r="J31" i="3"/>
  <c r="I31" i="3"/>
  <c r="L31" i="3" s="1"/>
  <c r="K30" i="3"/>
  <c r="J30" i="3"/>
  <c r="I30" i="3"/>
  <c r="L30" i="3" s="1"/>
  <c r="K29" i="3"/>
  <c r="J29" i="3"/>
  <c r="I29" i="3"/>
  <c r="L29" i="3" s="1"/>
  <c r="K28" i="3"/>
  <c r="J28" i="3"/>
  <c r="I28" i="3"/>
  <c r="L28" i="3" s="1"/>
  <c r="K27" i="3"/>
  <c r="J27" i="3"/>
  <c r="I27" i="3"/>
  <c r="L27" i="3" s="1"/>
  <c r="K26" i="3"/>
  <c r="J26" i="3"/>
  <c r="I26" i="3"/>
  <c r="K25" i="3"/>
  <c r="J25" i="3"/>
  <c r="I25" i="3"/>
  <c r="L25" i="3" s="1"/>
  <c r="K24" i="3"/>
  <c r="J24" i="3"/>
  <c r="I24" i="3"/>
  <c r="L24" i="3" s="1"/>
  <c r="K23" i="3"/>
  <c r="J23" i="3"/>
  <c r="I23" i="3"/>
  <c r="L23" i="3" s="1"/>
  <c r="K22" i="3"/>
  <c r="J22" i="3"/>
  <c r="I22" i="3"/>
  <c r="L22" i="3" s="1"/>
  <c r="K21" i="3"/>
  <c r="J21" i="3"/>
  <c r="I21" i="3"/>
  <c r="L21" i="3" s="1"/>
  <c r="K20" i="3"/>
  <c r="J20" i="3"/>
  <c r="I20" i="3"/>
  <c r="L20" i="3" s="1"/>
  <c r="K19" i="3"/>
  <c r="J19" i="3"/>
  <c r="I19" i="3"/>
  <c r="L19" i="3" s="1"/>
  <c r="K18" i="3"/>
  <c r="J18" i="3"/>
  <c r="I18" i="3"/>
  <c r="L18" i="3" s="1"/>
  <c r="K17" i="3"/>
  <c r="J17" i="3"/>
  <c r="I17" i="3"/>
  <c r="L17" i="3" s="1"/>
  <c r="K16" i="3"/>
  <c r="J16" i="3"/>
  <c r="I16" i="3"/>
  <c r="L16" i="3" s="1"/>
  <c r="K15" i="3"/>
  <c r="J15" i="3"/>
  <c r="I15" i="3"/>
  <c r="L15" i="3" s="1"/>
  <c r="K14" i="3"/>
  <c r="J14" i="3"/>
  <c r="L14" i="3" s="1"/>
  <c r="I14" i="3"/>
  <c r="K13" i="3"/>
  <c r="J13" i="3"/>
  <c r="I13" i="3"/>
  <c r="L13" i="3" s="1"/>
  <c r="K12" i="3"/>
  <c r="J12" i="3"/>
  <c r="I12" i="3"/>
  <c r="L12" i="3" s="1"/>
  <c r="K11" i="3"/>
  <c r="J11" i="3"/>
  <c r="I11" i="3"/>
  <c r="L11" i="3" s="1"/>
  <c r="K10" i="3"/>
  <c r="J10" i="3"/>
  <c r="I10" i="3"/>
  <c r="L10" i="3" s="1"/>
  <c r="K9" i="3"/>
  <c r="J9" i="3"/>
  <c r="I9" i="3"/>
  <c r="L9" i="3" s="1"/>
  <c r="K8" i="3"/>
  <c r="J8" i="3"/>
  <c r="I8" i="3"/>
  <c r="L8" i="3" s="1"/>
  <c r="K7" i="3"/>
  <c r="J7" i="3"/>
  <c r="I7" i="3"/>
  <c r="L7" i="3" s="1"/>
  <c r="K6" i="3"/>
  <c r="J6" i="3"/>
  <c r="I6" i="3"/>
  <c r="L6" i="3" s="1"/>
  <c r="K5" i="3"/>
  <c r="J5" i="3"/>
  <c r="I5" i="3"/>
  <c r="L5" i="3" s="1"/>
  <c r="K4" i="3"/>
  <c r="J4" i="3"/>
  <c r="I4" i="3"/>
  <c r="L4" i="3" s="1"/>
  <c r="K3" i="3"/>
  <c r="J3" i="3"/>
  <c r="I3" i="3"/>
  <c r="L3" i="3" s="1"/>
  <c r="K2" i="3"/>
  <c r="J2" i="3"/>
  <c r="I2" i="3"/>
  <c r="L2" i="3" s="1"/>
  <c r="F343" i="2"/>
  <c r="Q340" i="2" s="1"/>
  <c r="K340" i="2"/>
  <c r="J340" i="2"/>
  <c r="I340" i="2"/>
  <c r="L340" i="2" s="1"/>
  <c r="K339" i="2"/>
  <c r="J339" i="2"/>
  <c r="I339" i="2"/>
  <c r="Q339" i="2"/>
  <c r="K338" i="2"/>
  <c r="J338" i="2"/>
  <c r="I338" i="2"/>
  <c r="K337" i="2"/>
  <c r="J337" i="2"/>
  <c r="I337" i="2"/>
  <c r="L337" i="2" s="1"/>
  <c r="Q337" i="2"/>
  <c r="K336" i="2"/>
  <c r="J336" i="2"/>
  <c r="I336" i="2"/>
  <c r="K335" i="2"/>
  <c r="J335" i="2"/>
  <c r="I335" i="2"/>
  <c r="Q335" i="2"/>
  <c r="K334" i="2"/>
  <c r="J334" i="2"/>
  <c r="I334" i="2"/>
  <c r="K333" i="2"/>
  <c r="J333" i="2"/>
  <c r="I333" i="2"/>
  <c r="L333" i="2" s="1"/>
  <c r="Q333" i="2"/>
  <c r="K332" i="2"/>
  <c r="J332" i="2"/>
  <c r="I332" i="2"/>
  <c r="K331" i="2"/>
  <c r="J331" i="2"/>
  <c r="I331" i="2"/>
  <c r="Q331" i="2"/>
  <c r="K330" i="2"/>
  <c r="J330" i="2"/>
  <c r="I330" i="2"/>
  <c r="K329" i="2"/>
  <c r="J329" i="2"/>
  <c r="I329" i="2"/>
  <c r="Q329" i="2"/>
  <c r="K328" i="2"/>
  <c r="J328" i="2"/>
  <c r="I328" i="2"/>
  <c r="K327" i="2"/>
  <c r="J327" i="2"/>
  <c r="I327" i="2"/>
  <c r="Q327" i="2"/>
  <c r="K326" i="2"/>
  <c r="J326" i="2"/>
  <c r="I326" i="2"/>
  <c r="K325" i="2"/>
  <c r="J325" i="2"/>
  <c r="I325" i="2"/>
  <c r="Q325" i="2"/>
  <c r="K324" i="2"/>
  <c r="J324" i="2"/>
  <c r="I324" i="2"/>
  <c r="L324" i="2" s="1"/>
  <c r="K323" i="2"/>
  <c r="J323" i="2"/>
  <c r="I323" i="2"/>
  <c r="Q323" i="2"/>
  <c r="K322" i="2"/>
  <c r="J322" i="2"/>
  <c r="I322" i="2"/>
  <c r="K321" i="2"/>
  <c r="J321" i="2"/>
  <c r="I321" i="2"/>
  <c r="Q321" i="2"/>
  <c r="K320" i="2"/>
  <c r="J320" i="2"/>
  <c r="I320" i="2"/>
  <c r="L320" i="2" s="1"/>
  <c r="K319" i="2"/>
  <c r="J319" i="2"/>
  <c r="I319" i="2"/>
  <c r="Q319" i="2"/>
  <c r="K318" i="2"/>
  <c r="J318" i="2"/>
  <c r="I318" i="2"/>
  <c r="K317" i="2"/>
  <c r="J317" i="2"/>
  <c r="I317" i="2"/>
  <c r="L317" i="2" s="1"/>
  <c r="Q317" i="2"/>
  <c r="K316" i="2"/>
  <c r="J316" i="2"/>
  <c r="I316" i="2"/>
  <c r="L316" i="2" s="1"/>
  <c r="K315" i="2"/>
  <c r="J315" i="2"/>
  <c r="L315" i="2" s="1"/>
  <c r="I315" i="2"/>
  <c r="Q315" i="2"/>
  <c r="K314" i="2"/>
  <c r="J314" i="2"/>
  <c r="I314" i="2"/>
  <c r="K313" i="2"/>
  <c r="J313" i="2"/>
  <c r="I313" i="2"/>
  <c r="Q313" i="2"/>
  <c r="K312" i="2"/>
  <c r="J312" i="2"/>
  <c r="I312" i="2"/>
  <c r="K311" i="2"/>
  <c r="J311" i="2"/>
  <c r="I311" i="2"/>
  <c r="Q311" i="2"/>
  <c r="K310" i="2"/>
  <c r="J310" i="2"/>
  <c r="I310" i="2"/>
  <c r="K309" i="2"/>
  <c r="J309" i="2"/>
  <c r="I309" i="2"/>
  <c r="L309" i="2" s="1"/>
  <c r="Q309" i="2"/>
  <c r="K308" i="2"/>
  <c r="J308" i="2"/>
  <c r="I308" i="2"/>
  <c r="K307" i="2"/>
  <c r="J307" i="2"/>
  <c r="L307" i="2" s="1"/>
  <c r="I307" i="2"/>
  <c r="Q307" i="2"/>
  <c r="K306" i="2"/>
  <c r="J306" i="2"/>
  <c r="I306" i="2"/>
  <c r="K305" i="2"/>
  <c r="J305" i="2"/>
  <c r="I305" i="2"/>
  <c r="Q305" i="2"/>
  <c r="K304" i="2"/>
  <c r="J304" i="2"/>
  <c r="I304" i="2"/>
  <c r="K303" i="2"/>
  <c r="J303" i="2"/>
  <c r="I303" i="2"/>
  <c r="Q303" i="2"/>
  <c r="K302" i="2"/>
  <c r="J302" i="2"/>
  <c r="I302" i="2"/>
  <c r="K301" i="2"/>
  <c r="J301" i="2"/>
  <c r="I301" i="2"/>
  <c r="Q301" i="2"/>
  <c r="K300" i="2"/>
  <c r="J300" i="2"/>
  <c r="I300" i="2"/>
  <c r="L300" i="2" s="1"/>
  <c r="K299" i="2"/>
  <c r="J299" i="2"/>
  <c r="L299" i="2" s="1"/>
  <c r="I299" i="2"/>
  <c r="Q299" i="2"/>
  <c r="K298" i="2"/>
  <c r="J298" i="2"/>
  <c r="I298" i="2"/>
  <c r="K297" i="2"/>
  <c r="J297" i="2"/>
  <c r="I297" i="2"/>
  <c r="Q297" i="2"/>
  <c r="K296" i="2"/>
  <c r="J296" i="2"/>
  <c r="I296" i="2"/>
  <c r="L296" i="2" s="1"/>
  <c r="K295" i="2"/>
  <c r="J295" i="2"/>
  <c r="I295" i="2"/>
  <c r="Q295" i="2"/>
  <c r="K294" i="2"/>
  <c r="J294" i="2"/>
  <c r="I294" i="2"/>
  <c r="K293" i="2"/>
  <c r="J293" i="2"/>
  <c r="I293" i="2"/>
  <c r="Q293" i="2"/>
  <c r="K292" i="2"/>
  <c r="J292" i="2"/>
  <c r="I292" i="2"/>
  <c r="L292" i="2" s="1"/>
  <c r="K291" i="2"/>
  <c r="J291" i="2"/>
  <c r="I291" i="2"/>
  <c r="Q291" i="2"/>
  <c r="K290" i="2"/>
  <c r="J290" i="2"/>
  <c r="I290" i="2"/>
  <c r="K289" i="2"/>
  <c r="J289" i="2"/>
  <c r="I289" i="2"/>
  <c r="L289" i="2" s="1"/>
  <c r="Q289" i="2"/>
  <c r="K288" i="2"/>
  <c r="J288" i="2"/>
  <c r="I288" i="2"/>
  <c r="K287" i="2"/>
  <c r="L287" i="2" s="1"/>
  <c r="J287" i="2"/>
  <c r="I287" i="2"/>
  <c r="Q287" i="2"/>
  <c r="K286" i="2"/>
  <c r="J286" i="2"/>
  <c r="I286" i="2"/>
  <c r="K285" i="2"/>
  <c r="J285" i="2"/>
  <c r="I285" i="2"/>
  <c r="L285" i="2" s="1"/>
  <c r="Q285" i="2"/>
  <c r="K284" i="2"/>
  <c r="J284" i="2"/>
  <c r="I284" i="2"/>
  <c r="K283" i="2"/>
  <c r="J283" i="2"/>
  <c r="I283" i="2"/>
  <c r="Q283" i="2"/>
  <c r="K282" i="2"/>
  <c r="J282" i="2"/>
  <c r="I282" i="2"/>
  <c r="K281" i="2"/>
  <c r="J281" i="2"/>
  <c r="I281" i="2"/>
  <c r="Q281" i="2"/>
  <c r="K280" i="2"/>
  <c r="J280" i="2"/>
  <c r="I280" i="2"/>
  <c r="K279" i="2"/>
  <c r="J279" i="2"/>
  <c r="I279" i="2"/>
  <c r="Q279" i="2"/>
  <c r="K278" i="2"/>
  <c r="J278" i="2"/>
  <c r="I278" i="2"/>
  <c r="K277" i="2"/>
  <c r="J277" i="2"/>
  <c r="I277" i="2"/>
  <c r="Q277" i="2"/>
  <c r="K276" i="2"/>
  <c r="J276" i="2"/>
  <c r="I276" i="2"/>
  <c r="K275" i="2"/>
  <c r="J275" i="2"/>
  <c r="I275" i="2"/>
  <c r="Q275" i="2"/>
  <c r="K274" i="2"/>
  <c r="J274" i="2"/>
  <c r="I274" i="2"/>
  <c r="K273" i="2"/>
  <c r="J273" i="2"/>
  <c r="I273" i="2"/>
  <c r="Q273" i="2"/>
  <c r="K272" i="2"/>
  <c r="J272" i="2"/>
  <c r="I272" i="2"/>
  <c r="L272" i="2" s="1"/>
  <c r="K271" i="2"/>
  <c r="J271" i="2"/>
  <c r="L271" i="2" s="1"/>
  <c r="I271" i="2"/>
  <c r="Q271" i="2"/>
  <c r="K270" i="2"/>
  <c r="J270" i="2"/>
  <c r="I270" i="2"/>
  <c r="K269" i="2"/>
  <c r="J269" i="2"/>
  <c r="I269" i="2"/>
  <c r="L269" i="2" s="1"/>
  <c r="Q269" i="2"/>
  <c r="K268" i="2"/>
  <c r="J268" i="2"/>
  <c r="I268" i="2"/>
  <c r="L268" i="2" s="1"/>
  <c r="K267" i="2"/>
  <c r="J267" i="2"/>
  <c r="I267" i="2"/>
  <c r="Q267" i="2"/>
  <c r="K266" i="2"/>
  <c r="J266" i="2"/>
  <c r="I266" i="2"/>
  <c r="Q265" i="2"/>
  <c r="K265" i="2"/>
  <c r="J265" i="2"/>
  <c r="L265" i="2" s="1"/>
  <c r="I265" i="2"/>
  <c r="K264" i="2"/>
  <c r="J264" i="2"/>
  <c r="I264" i="2"/>
  <c r="Q263" i="2"/>
  <c r="K263" i="2"/>
  <c r="J263" i="2"/>
  <c r="I263" i="2"/>
  <c r="K262" i="2"/>
  <c r="J262" i="2"/>
  <c r="I262" i="2"/>
  <c r="K261" i="2"/>
  <c r="J261" i="2"/>
  <c r="I261" i="2"/>
  <c r="Q261" i="2"/>
  <c r="K260" i="2"/>
  <c r="J260" i="2"/>
  <c r="I260" i="2"/>
  <c r="K259" i="2"/>
  <c r="J259" i="2"/>
  <c r="L259" i="2" s="1"/>
  <c r="I259" i="2"/>
  <c r="Q259" i="2"/>
  <c r="K258" i="2"/>
  <c r="J258" i="2"/>
  <c r="I258" i="2"/>
  <c r="K257" i="2"/>
  <c r="J257" i="2"/>
  <c r="I257" i="2"/>
  <c r="Q257" i="2"/>
  <c r="K256" i="2"/>
  <c r="J256" i="2"/>
  <c r="I256" i="2"/>
  <c r="K255" i="2"/>
  <c r="J255" i="2"/>
  <c r="I255" i="2"/>
  <c r="Q255" i="2"/>
  <c r="K254" i="2"/>
  <c r="J254" i="2"/>
  <c r="I254" i="2"/>
  <c r="Q253" i="2"/>
  <c r="K253" i="2"/>
  <c r="J253" i="2"/>
  <c r="L253" i="2" s="1"/>
  <c r="I253" i="2"/>
  <c r="K252" i="2"/>
  <c r="J252" i="2"/>
  <c r="I252" i="2"/>
  <c r="Q251" i="2"/>
  <c r="K251" i="2"/>
  <c r="J251" i="2"/>
  <c r="I251" i="2"/>
  <c r="K250" i="2"/>
  <c r="J250" i="2"/>
  <c r="I250" i="2"/>
  <c r="K249" i="2"/>
  <c r="J249" i="2"/>
  <c r="I249" i="2"/>
  <c r="Q249" i="2"/>
  <c r="K248" i="2"/>
  <c r="J248" i="2"/>
  <c r="I248" i="2"/>
  <c r="K247" i="2"/>
  <c r="J247" i="2"/>
  <c r="L247" i="2" s="1"/>
  <c r="I247" i="2"/>
  <c r="Q247" i="2"/>
  <c r="K246" i="2"/>
  <c r="J246" i="2"/>
  <c r="I246" i="2"/>
  <c r="K245" i="2"/>
  <c r="J245" i="2"/>
  <c r="I245" i="2"/>
  <c r="Q245" i="2"/>
  <c r="K244" i="2"/>
  <c r="J244" i="2"/>
  <c r="I244" i="2"/>
  <c r="K243" i="2"/>
  <c r="J243" i="2"/>
  <c r="I243" i="2"/>
  <c r="Q243" i="2"/>
  <c r="K242" i="2"/>
  <c r="J242" i="2"/>
  <c r="I242" i="2"/>
  <c r="Q241" i="2"/>
  <c r="K241" i="2"/>
  <c r="J241" i="2"/>
  <c r="I241" i="2"/>
  <c r="K240" i="2"/>
  <c r="J240" i="2"/>
  <c r="I240" i="2"/>
  <c r="Q239" i="2"/>
  <c r="K239" i="2"/>
  <c r="J239" i="2"/>
  <c r="I239" i="2"/>
  <c r="K238" i="2"/>
  <c r="J238" i="2"/>
  <c r="L238" i="2" s="1"/>
  <c r="I238" i="2"/>
  <c r="Q237" i="2"/>
  <c r="K237" i="2"/>
  <c r="J237" i="2"/>
  <c r="I237" i="2"/>
  <c r="K236" i="2"/>
  <c r="J236" i="2"/>
  <c r="I236" i="2"/>
  <c r="Q235" i="2"/>
  <c r="K235" i="2"/>
  <c r="J235" i="2"/>
  <c r="I235" i="2"/>
  <c r="K234" i="2"/>
  <c r="J234" i="2"/>
  <c r="I234" i="2"/>
  <c r="Q233" i="2"/>
  <c r="K233" i="2"/>
  <c r="J233" i="2"/>
  <c r="I233" i="2"/>
  <c r="K232" i="2"/>
  <c r="J232" i="2"/>
  <c r="I232" i="2"/>
  <c r="K231" i="2"/>
  <c r="J231" i="2"/>
  <c r="I231" i="2"/>
  <c r="Q231" i="2"/>
  <c r="K230" i="2"/>
  <c r="J230" i="2"/>
  <c r="I230" i="2"/>
  <c r="Q229" i="2"/>
  <c r="K229" i="2"/>
  <c r="J229" i="2"/>
  <c r="I229" i="2"/>
  <c r="K228" i="2"/>
  <c r="J228" i="2"/>
  <c r="I228" i="2"/>
  <c r="K227" i="2"/>
  <c r="J227" i="2"/>
  <c r="L227" i="2" s="1"/>
  <c r="I227" i="2"/>
  <c r="Q227" i="2"/>
  <c r="K226" i="2"/>
  <c r="J226" i="2"/>
  <c r="L226" i="2" s="1"/>
  <c r="I226" i="2"/>
  <c r="K225" i="2"/>
  <c r="J225" i="2"/>
  <c r="I225" i="2"/>
  <c r="Q225" i="2"/>
  <c r="K224" i="2"/>
  <c r="J224" i="2"/>
  <c r="I224" i="2"/>
  <c r="K223" i="2"/>
  <c r="J223" i="2"/>
  <c r="I223" i="2"/>
  <c r="Q223" i="2"/>
  <c r="K222" i="2"/>
  <c r="J222" i="2"/>
  <c r="I222" i="2"/>
  <c r="K221" i="2"/>
  <c r="J221" i="2"/>
  <c r="I221" i="2"/>
  <c r="Q221" i="2"/>
  <c r="K220" i="2"/>
  <c r="J220" i="2"/>
  <c r="I220" i="2"/>
  <c r="K219" i="2"/>
  <c r="J219" i="2"/>
  <c r="I219" i="2"/>
  <c r="Q219" i="2"/>
  <c r="K218" i="2"/>
  <c r="J218" i="2"/>
  <c r="I218" i="2"/>
  <c r="Q217" i="2"/>
  <c r="K217" i="2"/>
  <c r="J217" i="2"/>
  <c r="I217" i="2"/>
  <c r="K216" i="2"/>
  <c r="J216" i="2"/>
  <c r="I216" i="2"/>
  <c r="Q215" i="2"/>
  <c r="K215" i="2"/>
  <c r="J215" i="2"/>
  <c r="I215" i="2"/>
  <c r="K214" i="2"/>
  <c r="J214" i="2"/>
  <c r="L214" i="2" s="1"/>
  <c r="I214" i="2"/>
  <c r="Q213" i="2"/>
  <c r="K213" i="2"/>
  <c r="J213" i="2"/>
  <c r="I213" i="2"/>
  <c r="K212" i="2"/>
  <c r="J212" i="2"/>
  <c r="I212" i="2"/>
  <c r="Q211" i="2"/>
  <c r="K211" i="2"/>
  <c r="J211" i="2"/>
  <c r="L211" i="2" s="1"/>
  <c r="I211" i="2"/>
  <c r="K210" i="2"/>
  <c r="J210" i="2"/>
  <c r="I210" i="2"/>
  <c r="Q209" i="2"/>
  <c r="K209" i="2"/>
  <c r="J209" i="2"/>
  <c r="I209" i="2"/>
  <c r="K208" i="2"/>
  <c r="J208" i="2"/>
  <c r="I208" i="2"/>
  <c r="K207" i="2"/>
  <c r="J207" i="2"/>
  <c r="I207" i="2"/>
  <c r="Q207" i="2"/>
  <c r="K206" i="2"/>
  <c r="J206" i="2"/>
  <c r="I206" i="2"/>
  <c r="K205" i="2"/>
  <c r="J205" i="2"/>
  <c r="I205" i="2"/>
  <c r="Q205" i="2"/>
  <c r="K204" i="2"/>
  <c r="J204" i="2"/>
  <c r="I204" i="2"/>
  <c r="K203" i="2"/>
  <c r="J203" i="2"/>
  <c r="I203" i="2"/>
  <c r="Q203" i="2"/>
  <c r="K202" i="2"/>
  <c r="J202" i="2"/>
  <c r="L202" i="2" s="1"/>
  <c r="I202" i="2"/>
  <c r="K201" i="2"/>
  <c r="J201" i="2"/>
  <c r="I201" i="2"/>
  <c r="Q201" i="2"/>
  <c r="K200" i="2"/>
  <c r="J200" i="2"/>
  <c r="I200" i="2"/>
  <c r="K199" i="2"/>
  <c r="J199" i="2"/>
  <c r="I199" i="2"/>
  <c r="Q199" i="2"/>
  <c r="K198" i="2"/>
  <c r="J198" i="2"/>
  <c r="L198" i="2" s="1"/>
  <c r="I198" i="2"/>
  <c r="K197" i="2"/>
  <c r="J197" i="2"/>
  <c r="I197" i="2"/>
  <c r="Q197" i="2"/>
  <c r="K196" i="2"/>
  <c r="J196" i="2"/>
  <c r="I196" i="2"/>
  <c r="K195" i="2"/>
  <c r="J195" i="2"/>
  <c r="I195" i="2"/>
  <c r="Q195" i="2"/>
  <c r="K194" i="2"/>
  <c r="J194" i="2"/>
  <c r="I194" i="2"/>
  <c r="Q193" i="2"/>
  <c r="K193" i="2"/>
  <c r="J193" i="2"/>
  <c r="I193" i="2"/>
  <c r="K192" i="2"/>
  <c r="J192" i="2"/>
  <c r="I192" i="2"/>
  <c r="P191" i="2"/>
  <c r="K191" i="2"/>
  <c r="J191" i="2"/>
  <c r="I191" i="2"/>
  <c r="K190" i="2"/>
  <c r="J190" i="2"/>
  <c r="L190" i="2" s="1"/>
  <c r="I190" i="2"/>
  <c r="P189" i="2"/>
  <c r="K189" i="2"/>
  <c r="J189" i="2"/>
  <c r="I189" i="2"/>
  <c r="K188" i="2"/>
  <c r="J188" i="2"/>
  <c r="I188" i="2"/>
  <c r="P187" i="2"/>
  <c r="K187" i="2"/>
  <c r="J187" i="2"/>
  <c r="L187" i="2" s="1"/>
  <c r="I187" i="2"/>
  <c r="K186" i="2"/>
  <c r="J186" i="2"/>
  <c r="I186" i="2"/>
  <c r="P185" i="2"/>
  <c r="K185" i="2"/>
  <c r="J185" i="2"/>
  <c r="I185" i="2"/>
  <c r="K184" i="2"/>
  <c r="J184" i="2"/>
  <c r="I184" i="2"/>
  <c r="K183" i="2"/>
  <c r="J183" i="2"/>
  <c r="I183" i="2"/>
  <c r="P183" i="2"/>
  <c r="K182" i="2"/>
  <c r="J182" i="2"/>
  <c r="I182" i="2"/>
  <c r="P181" i="2"/>
  <c r="K181" i="2"/>
  <c r="J181" i="2"/>
  <c r="I181" i="2"/>
  <c r="K180" i="2"/>
  <c r="J180" i="2"/>
  <c r="I180" i="2"/>
  <c r="K179" i="2"/>
  <c r="J179" i="2"/>
  <c r="I179" i="2"/>
  <c r="P179" i="2"/>
  <c r="K178" i="2"/>
  <c r="J178" i="2"/>
  <c r="L178" i="2" s="1"/>
  <c r="I178" i="2"/>
  <c r="K177" i="2"/>
  <c r="J177" i="2"/>
  <c r="I177" i="2"/>
  <c r="P177" i="2"/>
  <c r="K176" i="2"/>
  <c r="J176" i="2"/>
  <c r="I176" i="2"/>
  <c r="K175" i="2"/>
  <c r="J175" i="2"/>
  <c r="I175" i="2"/>
  <c r="P175" i="2"/>
  <c r="K174" i="2"/>
  <c r="J174" i="2"/>
  <c r="L174" i="2" s="1"/>
  <c r="I174" i="2"/>
  <c r="K173" i="2"/>
  <c r="J173" i="2"/>
  <c r="I173" i="2"/>
  <c r="P173" i="2"/>
  <c r="K172" i="2"/>
  <c r="J172" i="2"/>
  <c r="I172" i="2"/>
  <c r="K171" i="2"/>
  <c r="J171" i="2"/>
  <c r="I171" i="2"/>
  <c r="P171" i="2"/>
  <c r="K170" i="2"/>
  <c r="J170" i="2"/>
  <c r="I170" i="2"/>
  <c r="P170" i="2"/>
  <c r="K169" i="2"/>
  <c r="J169" i="2"/>
  <c r="I169" i="2"/>
  <c r="P169" i="2"/>
  <c r="K168" i="2"/>
  <c r="J168" i="2"/>
  <c r="I168" i="2"/>
  <c r="P168" i="2"/>
  <c r="K167" i="2"/>
  <c r="J167" i="2"/>
  <c r="I167" i="2"/>
  <c r="P167" i="2"/>
  <c r="K166" i="2"/>
  <c r="J166" i="2"/>
  <c r="I166" i="2"/>
  <c r="P166" i="2"/>
  <c r="K165" i="2"/>
  <c r="J165" i="2"/>
  <c r="I165" i="2"/>
  <c r="P165" i="2"/>
  <c r="K164" i="2"/>
  <c r="J164" i="2"/>
  <c r="I164" i="2"/>
  <c r="P164" i="2"/>
  <c r="K163" i="2"/>
  <c r="J163" i="2"/>
  <c r="I163" i="2"/>
  <c r="P163" i="2"/>
  <c r="K162" i="2"/>
  <c r="J162" i="2"/>
  <c r="L162" i="2" s="1"/>
  <c r="I162" i="2"/>
  <c r="P162" i="2"/>
  <c r="K161" i="2"/>
  <c r="J161" i="2"/>
  <c r="I161" i="2"/>
  <c r="P161" i="2"/>
  <c r="K160" i="2"/>
  <c r="J160" i="2"/>
  <c r="I160" i="2"/>
  <c r="P160" i="2"/>
  <c r="K159" i="2"/>
  <c r="J159" i="2"/>
  <c r="I159" i="2"/>
  <c r="P159" i="2"/>
  <c r="K158" i="2"/>
  <c r="J158" i="2"/>
  <c r="I158" i="2"/>
  <c r="P158" i="2"/>
  <c r="K157" i="2"/>
  <c r="J157" i="2"/>
  <c r="I157" i="2"/>
  <c r="P157" i="2"/>
  <c r="K156" i="2"/>
  <c r="J156" i="2"/>
  <c r="I156" i="2"/>
  <c r="P156" i="2"/>
  <c r="K155" i="2"/>
  <c r="J155" i="2"/>
  <c r="I155" i="2"/>
  <c r="P155" i="2"/>
  <c r="K154" i="2"/>
  <c r="J154" i="2"/>
  <c r="L154" i="2" s="1"/>
  <c r="I154" i="2"/>
  <c r="P154" i="2"/>
  <c r="K153" i="2"/>
  <c r="J153" i="2"/>
  <c r="I153" i="2"/>
  <c r="P153" i="2"/>
  <c r="K152" i="2"/>
  <c r="J152" i="2"/>
  <c r="I152" i="2"/>
  <c r="P152" i="2"/>
  <c r="K151" i="2"/>
  <c r="J151" i="2"/>
  <c r="I151" i="2"/>
  <c r="P151" i="2"/>
  <c r="K150" i="2"/>
  <c r="J150" i="2"/>
  <c r="I150" i="2"/>
  <c r="P150" i="2"/>
  <c r="K149" i="2"/>
  <c r="J149" i="2"/>
  <c r="I149" i="2"/>
  <c r="P149" i="2"/>
  <c r="K148" i="2"/>
  <c r="J148" i="2"/>
  <c r="I148" i="2"/>
  <c r="P148" i="2"/>
  <c r="K147" i="2"/>
  <c r="J147" i="2"/>
  <c r="I147" i="2"/>
  <c r="P147" i="2"/>
  <c r="K146" i="2"/>
  <c r="J146" i="2"/>
  <c r="I146" i="2"/>
  <c r="P146" i="2"/>
  <c r="K145" i="2"/>
  <c r="J145" i="2"/>
  <c r="I145" i="2"/>
  <c r="P145" i="2"/>
  <c r="K144" i="2"/>
  <c r="J144" i="2"/>
  <c r="I144" i="2"/>
  <c r="P144" i="2"/>
  <c r="K143" i="2"/>
  <c r="J143" i="2"/>
  <c r="I143" i="2"/>
  <c r="P143" i="2"/>
  <c r="K142" i="2"/>
  <c r="J142" i="2"/>
  <c r="I142" i="2"/>
  <c r="P142" i="2"/>
  <c r="K141" i="2"/>
  <c r="J141" i="2"/>
  <c r="I141" i="2"/>
  <c r="P141" i="2"/>
  <c r="K140" i="2"/>
  <c r="J140" i="2"/>
  <c r="I140" i="2"/>
  <c r="P140" i="2"/>
  <c r="K139" i="2"/>
  <c r="J139" i="2"/>
  <c r="I139" i="2"/>
  <c r="P139" i="2"/>
  <c r="K138" i="2"/>
  <c r="J138" i="2"/>
  <c r="L138" i="2" s="1"/>
  <c r="I138" i="2"/>
  <c r="P138" i="2"/>
  <c r="K137" i="2"/>
  <c r="J137" i="2"/>
  <c r="I137" i="2"/>
  <c r="P137" i="2"/>
  <c r="K136" i="2"/>
  <c r="J136" i="2"/>
  <c r="I136" i="2"/>
  <c r="P136" i="2"/>
  <c r="K135" i="2"/>
  <c r="J135" i="2"/>
  <c r="I135" i="2"/>
  <c r="P135" i="2"/>
  <c r="K134" i="2"/>
  <c r="J134" i="2"/>
  <c r="I134" i="2"/>
  <c r="O134" i="2"/>
  <c r="K133" i="2"/>
  <c r="J133" i="2"/>
  <c r="I133" i="2"/>
  <c r="O133" i="2"/>
  <c r="K132" i="2"/>
  <c r="J132" i="2"/>
  <c r="I132" i="2"/>
  <c r="O132" i="2"/>
  <c r="K131" i="2"/>
  <c r="J131" i="2"/>
  <c r="I131" i="2"/>
  <c r="O131" i="2"/>
  <c r="K130" i="2"/>
  <c r="J130" i="2"/>
  <c r="L130" i="2" s="1"/>
  <c r="I130" i="2"/>
  <c r="O130" i="2"/>
  <c r="K129" i="2"/>
  <c r="J129" i="2"/>
  <c r="I129" i="2"/>
  <c r="O129" i="2"/>
  <c r="K128" i="2"/>
  <c r="J128" i="2"/>
  <c r="I128" i="2"/>
  <c r="O128" i="2"/>
  <c r="K127" i="2"/>
  <c r="J127" i="2"/>
  <c r="I127" i="2"/>
  <c r="O127" i="2"/>
  <c r="K126" i="2"/>
  <c r="J126" i="2"/>
  <c r="I126" i="2"/>
  <c r="O126" i="2"/>
  <c r="K125" i="2"/>
  <c r="J125" i="2"/>
  <c r="I125" i="2"/>
  <c r="O125" i="2"/>
  <c r="K124" i="2"/>
  <c r="J124" i="2"/>
  <c r="L124" i="2" s="1"/>
  <c r="I124" i="2"/>
  <c r="O124" i="2"/>
  <c r="K123" i="2"/>
  <c r="J123" i="2"/>
  <c r="I123" i="2"/>
  <c r="O123" i="2"/>
  <c r="K122" i="2"/>
  <c r="J122" i="2"/>
  <c r="I122" i="2"/>
  <c r="O122" i="2"/>
  <c r="K121" i="2"/>
  <c r="J121" i="2"/>
  <c r="I121" i="2"/>
  <c r="O121" i="2"/>
  <c r="K120" i="2"/>
  <c r="J120" i="2"/>
  <c r="I120" i="2"/>
  <c r="O120" i="2"/>
  <c r="K119" i="2"/>
  <c r="J119" i="2"/>
  <c r="I119" i="2"/>
  <c r="O119" i="2"/>
  <c r="K118" i="2"/>
  <c r="J118" i="2"/>
  <c r="I118" i="2"/>
  <c r="O118" i="2"/>
  <c r="K117" i="2"/>
  <c r="J117" i="2"/>
  <c r="I117" i="2"/>
  <c r="O117" i="2"/>
  <c r="K116" i="2"/>
  <c r="J116" i="2"/>
  <c r="I116" i="2"/>
  <c r="O116" i="2"/>
  <c r="K115" i="2"/>
  <c r="J115" i="2"/>
  <c r="I115" i="2"/>
  <c r="O115" i="2"/>
  <c r="K114" i="2"/>
  <c r="J114" i="2"/>
  <c r="L114" i="2" s="1"/>
  <c r="I114" i="2"/>
  <c r="O114" i="2"/>
  <c r="K113" i="2"/>
  <c r="J113" i="2"/>
  <c r="I113" i="2"/>
  <c r="O113" i="2"/>
  <c r="K112" i="2"/>
  <c r="J112" i="2"/>
  <c r="I112" i="2"/>
  <c r="O112" i="2"/>
  <c r="K111" i="2"/>
  <c r="J111" i="2"/>
  <c r="I111" i="2"/>
  <c r="O111" i="2"/>
  <c r="K110" i="2"/>
  <c r="J110" i="2"/>
  <c r="I110" i="2"/>
  <c r="O110" i="2"/>
  <c r="K109" i="2"/>
  <c r="J109" i="2"/>
  <c r="I109" i="2"/>
  <c r="O109" i="2"/>
  <c r="K108" i="2"/>
  <c r="J108" i="2"/>
  <c r="I108" i="2"/>
  <c r="O108" i="2"/>
  <c r="K107" i="2"/>
  <c r="J107" i="2"/>
  <c r="I107" i="2"/>
  <c r="O107" i="2"/>
  <c r="K106" i="2"/>
  <c r="J106" i="2"/>
  <c r="I106" i="2"/>
  <c r="O106" i="2"/>
  <c r="K105" i="2"/>
  <c r="J105" i="2"/>
  <c r="I105" i="2"/>
  <c r="O105" i="2"/>
  <c r="K104" i="2"/>
  <c r="J104" i="2"/>
  <c r="I104" i="2"/>
  <c r="O104" i="2"/>
  <c r="K103" i="2"/>
  <c r="J103" i="2"/>
  <c r="I103" i="2"/>
  <c r="O103" i="2"/>
  <c r="K102" i="2"/>
  <c r="J102" i="2"/>
  <c r="I102" i="2"/>
  <c r="O102" i="2"/>
  <c r="K101" i="2"/>
  <c r="J101" i="2"/>
  <c r="I101" i="2"/>
  <c r="O101" i="2"/>
  <c r="K100" i="2"/>
  <c r="J100" i="2"/>
  <c r="I100" i="2"/>
  <c r="O100" i="2"/>
  <c r="K99" i="2"/>
  <c r="J99" i="2"/>
  <c r="I99" i="2"/>
  <c r="O99" i="2"/>
  <c r="O98" i="2"/>
  <c r="K98" i="2"/>
  <c r="J98" i="2"/>
  <c r="I98" i="2"/>
  <c r="K97" i="2"/>
  <c r="J97" i="2"/>
  <c r="I97" i="2"/>
  <c r="O97" i="2"/>
  <c r="O96" i="2"/>
  <c r="K96" i="2"/>
  <c r="J96" i="2"/>
  <c r="L96" i="2" s="1"/>
  <c r="I96" i="2"/>
  <c r="K95" i="2"/>
  <c r="J95" i="2"/>
  <c r="I95" i="2"/>
  <c r="O95" i="2"/>
  <c r="O94" i="2"/>
  <c r="K94" i="2"/>
  <c r="J94" i="2"/>
  <c r="I94" i="2"/>
  <c r="K93" i="2"/>
  <c r="J93" i="2"/>
  <c r="I93" i="2"/>
  <c r="O93" i="2"/>
  <c r="K92" i="2"/>
  <c r="J92" i="2"/>
  <c r="I92" i="2"/>
  <c r="O92" i="2"/>
  <c r="K91" i="2"/>
  <c r="J91" i="2"/>
  <c r="I91" i="2"/>
  <c r="O91" i="2"/>
  <c r="O90" i="2"/>
  <c r="K90" i="2"/>
  <c r="J90" i="2"/>
  <c r="I90" i="2"/>
  <c r="K89" i="2"/>
  <c r="J89" i="2"/>
  <c r="I89" i="2"/>
  <c r="O89" i="2"/>
  <c r="K88" i="2"/>
  <c r="J88" i="2"/>
  <c r="I88" i="2"/>
  <c r="O88" i="2"/>
  <c r="K87" i="2"/>
  <c r="J87" i="2"/>
  <c r="I87" i="2"/>
  <c r="O87" i="2"/>
  <c r="O86" i="2"/>
  <c r="K86" i="2"/>
  <c r="J86" i="2"/>
  <c r="I86" i="2"/>
  <c r="K85" i="2"/>
  <c r="J85" i="2"/>
  <c r="I85" i="2"/>
  <c r="O85" i="2"/>
  <c r="O84" i="2"/>
  <c r="K84" i="2"/>
  <c r="J84" i="2"/>
  <c r="I84" i="2"/>
  <c r="K83" i="2"/>
  <c r="J83" i="2"/>
  <c r="I83" i="2"/>
  <c r="O83" i="2"/>
  <c r="N82" i="2"/>
  <c r="K82" i="2"/>
  <c r="J82" i="2"/>
  <c r="I82" i="2"/>
  <c r="K81" i="2"/>
  <c r="J81" i="2"/>
  <c r="I81" i="2"/>
  <c r="N81" i="2"/>
  <c r="K80" i="2"/>
  <c r="J80" i="2"/>
  <c r="I80" i="2"/>
  <c r="N80" i="2"/>
  <c r="K79" i="2"/>
  <c r="J79" i="2"/>
  <c r="I79" i="2"/>
  <c r="N79" i="2"/>
  <c r="N78" i="2"/>
  <c r="K78" i="2"/>
  <c r="J78" i="2"/>
  <c r="I78" i="2"/>
  <c r="K77" i="2"/>
  <c r="J77" i="2"/>
  <c r="I77" i="2"/>
  <c r="N77" i="2"/>
  <c r="K76" i="2"/>
  <c r="J76" i="2"/>
  <c r="I76" i="2"/>
  <c r="N76" i="2"/>
  <c r="K75" i="2"/>
  <c r="J75" i="2"/>
  <c r="I75" i="2"/>
  <c r="N75" i="2"/>
  <c r="N74" i="2"/>
  <c r="K74" i="2"/>
  <c r="J74" i="2"/>
  <c r="I74" i="2"/>
  <c r="K73" i="2"/>
  <c r="J73" i="2"/>
  <c r="I73" i="2"/>
  <c r="N73" i="2"/>
  <c r="N72" i="2"/>
  <c r="K72" i="2"/>
  <c r="J72" i="2"/>
  <c r="L72" i="2" s="1"/>
  <c r="I72" i="2"/>
  <c r="K71" i="2"/>
  <c r="J71" i="2"/>
  <c r="I71" i="2"/>
  <c r="N71" i="2"/>
  <c r="N70" i="2"/>
  <c r="K70" i="2"/>
  <c r="J70" i="2"/>
  <c r="I70" i="2"/>
  <c r="K69" i="2"/>
  <c r="J69" i="2"/>
  <c r="I69" i="2"/>
  <c r="N69" i="2"/>
  <c r="K68" i="2"/>
  <c r="J68" i="2"/>
  <c r="I68" i="2"/>
  <c r="N68" i="2"/>
  <c r="K67" i="2"/>
  <c r="J67" i="2"/>
  <c r="I67" i="2"/>
  <c r="N67" i="2"/>
  <c r="N66" i="2"/>
  <c r="K66" i="2"/>
  <c r="J66" i="2"/>
  <c r="I66" i="2"/>
  <c r="K65" i="2"/>
  <c r="J65" i="2"/>
  <c r="I65" i="2"/>
  <c r="N65" i="2"/>
  <c r="K64" i="2"/>
  <c r="J64" i="2"/>
  <c r="I64" i="2"/>
  <c r="N64" i="2"/>
  <c r="K63" i="2"/>
  <c r="J63" i="2"/>
  <c r="I63" i="2"/>
  <c r="N63" i="2"/>
  <c r="N62" i="2"/>
  <c r="K62" i="2"/>
  <c r="J62" i="2"/>
  <c r="I62" i="2"/>
  <c r="K61" i="2"/>
  <c r="J61" i="2"/>
  <c r="I61" i="2"/>
  <c r="N61" i="2"/>
  <c r="N60" i="2"/>
  <c r="K60" i="2"/>
  <c r="J60" i="2"/>
  <c r="L60" i="2" s="1"/>
  <c r="I60" i="2"/>
  <c r="K59" i="2"/>
  <c r="J59" i="2"/>
  <c r="I59" i="2"/>
  <c r="N59" i="2"/>
  <c r="N58" i="2"/>
  <c r="K58" i="2"/>
  <c r="J58" i="2"/>
  <c r="I58" i="2"/>
  <c r="K57" i="2"/>
  <c r="J57" i="2"/>
  <c r="I57" i="2"/>
  <c r="N57" i="2"/>
  <c r="K56" i="2"/>
  <c r="J56" i="2"/>
  <c r="I56" i="2"/>
  <c r="N56" i="2"/>
  <c r="K55" i="2"/>
  <c r="J55" i="2"/>
  <c r="I55" i="2"/>
  <c r="N55" i="2"/>
  <c r="N54" i="2"/>
  <c r="K54" i="2"/>
  <c r="J54" i="2"/>
  <c r="I54" i="2"/>
  <c r="K53" i="2"/>
  <c r="J53" i="2"/>
  <c r="I53" i="2"/>
  <c r="N53" i="2"/>
  <c r="K52" i="2"/>
  <c r="J52" i="2"/>
  <c r="L52" i="2" s="1"/>
  <c r="I52" i="2"/>
  <c r="N52" i="2"/>
  <c r="N51" i="2"/>
  <c r="K51" i="2"/>
  <c r="J51" i="2"/>
  <c r="I51" i="2"/>
  <c r="K50" i="2"/>
  <c r="J50" i="2"/>
  <c r="L50" i="2" s="1"/>
  <c r="I50" i="2"/>
  <c r="N50" i="2"/>
  <c r="N49" i="2"/>
  <c r="K49" i="2"/>
  <c r="J49" i="2"/>
  <c r="I49" i="2"/>
  <c r="K48" i="2"/>
  <c r="J48" i="2"/>
  <c r="L48" i="2" s="1"/>
  <c r="I48" i="2"/>
  <c r="N48" i="2"/>
  <c r="N47" i="2"/>
  <c r="K47" i="2"/>
  <c r="J47" i="2"/>
  <c r="L47" i="2" s="1"/>
  <c r="I47" i="2"/>
  <c r="K46" i="2"/>
  <c r="J46" i="2"/>
  <c r="L46" i="2" s="1"/>
  <c r="I46" i="2"/>
  <c r="N46" i="2"/>
  <c r="N45" i="2"/>
  <c r="K45" i="2"/>
  <c r="J45" i="2"/>
  <c r="L45" i="2" s="1"/>
  <c r="I45" i="2"/>
  <c r="K44" i="2"/>
  <c r="J44" i="2"/>
  <c r="I44" i="2"/>
  <c r="N44" i="2"/>
  <c r="N43" i="2"/>
  <c r="K43" i="2"/>
  <c r="J43" i="2"/>
  <c r="I43" i="2"/>
  <c r="K42" i="2"/>
  <c r="J42" i="2"/>
  <c r="L42" i="2" s="1"/>
  <c r="I42" i="2"/>
  <c r="N42" i="2"/>
  <c r="N41" i="2"/>
  <c r="K41" i="2"/>
  <c r="J41" i="2"/>
  <c r="I41" i="2"/>
  <c r="K40" i="2"/>
  <c r="J40" i="2"/>
  <c r="L40" i="2" s="1"/>
  <c r="I40" i="2"/>
  <c r="N40" i="2"/>
  <c r="N39" i="2"/>
  <c r="K39" i="2"/>
  <c r="J39" i="2"/>
  <c r="I39" i="2"/>
  <c r="K38" i="2"/>
  <c r="J38" i="2"/>
  <c r="L38" i="2" s="1"/>
  <c r="I38" i="2"/>
  <c r="N38" i="2"/>
  <c r="N37" i="2"/>
  <c r="K37" i="2"/>
  <c r="J37" i="2"/>
  <c r="I37" i="2"/>
  <c r="K36" i="2"/>
  <c r="J36" i="2"/>
  <c r="L36" i="2" s="1"/>
  <c r="I36" i="2"/>
  <c r="N36" i="2"/>
  <c r="N35" i="2"/>
  <c r="K35" i="2"/>
  <c r="J35" i="2"/>
  <c r="L35" i="2" s="1"/>
  <c r="I35" i="2"/>
  <c r="K34" i="2"/>
  <c r="J34" i="2"/>
  <c r="L34" i="2" s="1"/>
  <c r="I34" i="2"/>
  <c r="N34" i="2"/>
  <c r="N33" i="2"/>
  <c r="K33" i="2"/>
  <c r="J33" i="2"/>
  <c r="L33" i="2" s="1"/>
  <c r="I33" i="2"/>
  <c r="K32" i="2"/>
  <c r="J32" i="2"/>
  <c r="I32" i="2"/>
  <c r="L32" i="2" s="1"/>
  <c r="N32" i="2"/>
  <c r="N31" i="2"/>
  <c r="K31" i="2"/>
  <c r="J31" i="2"/>
  <c r="I31" i="2"/>
  <c r="K30" i="2"/>
  <c r="J30" i="2"/>
  <c r="L30" i="2" s="1"/>
  <c r="I30" i="2"/>
  <c r="N30" i="2"/>
  <c r="N29" i="2"/>
  <c r="K29" i="2"/>
  <c r="J29" i="2"/>
  <c r="I29" i="2"/>
  <c r="K28" i="2"/>
  <c r="J28" i="2"/>
  <c r="L28" i="2" s="1"/>
  <c r="I28" i="2"/>
  <c r="N28" i="2"/>
  <c r="N27" i="2"/>
  <c r="K27" i="2"/>
  <c r="J27" i="2"/>
  <c r="I27" i="2"/>
  <c r="K26" i="2"/>
  <c r="J26" i="2"/>
  <c r="L26" i="2" s="1"/>
  <c r="I26" i="2"/>
  <c r="N26" i="2"/>
  <c r="N25" i="2"/>
  <c r="K25" i="2"/>
  <c r="J25" i="2"/>
  <c r="I25" i="2"/>
  <c r="K24" i="2"/>
  <c r="J24" i="2"/>
  <c r="L24" i="2" s="1"/>
  <c r="I24" i="2"/>
  <c r="N24" i="2"/>
  <c r="N23" i="2"/>
  <c r="K23" i="2"/>
  <c r="J23" i="2"/>
  <c r="L23" i="2" s="1"/>
  <c r="I23" i="2"/>
  <c r="K22" i="2"/>
  <c r="J22" i="2"/>
  <c r="L22" i="2" s="1"/>
  <c r="I22" i="2"/>
  <c r="N22" i="2"/>
  <c r="N21" i="2"/>
  <c r="K21" i="2"/>
  <c r="J21" i="2"/>
  <c r="L21" i="2" s="1"/>
  <c r="I21" i="2"/>
  <c r="K20" i="2"/>
  <c r="J20" i="2"/>
  <c r="I20" i="2"/>
  <c r="N20" i="2"/>
  <c r="N19" i="2"/>
  <c r="K19" i="2"/>
  <c r="J19" i="2"/>
  <c r="I19" i="2"/>
  <c r="K18" i="2"/>
  <c r="J18" i="2"/>
  <c r="L18" i="2" s="1"/>
  <c r="I18" i="2"/>
  <c r="N18" i="2"/>
  <c r="N17" i="2"/>
  <c r="K17" i="2"/>
  <c r="J17" i="2"/>
  <c r="I17" i="2"/>
  <c r="K16" i="2"/>
  <c r="J16" i="2"/>
  <c r="L16" i="2" s="1"/>
  <c r="I16" i="2"/>
  <c r="N16" i="2"/>
  <c r="N15" i="2"/>
  <c r="K15" i="2"/>
  <c r="J15" i="2"/>
  <c r="I15" i="2"/>
  <c r="K14" i="2"/>
  <c r="J14" i="2"/>
  <c r="L14" i="2" s="1"/>
  <c r="I14" i="2"/>
  <c r="N14" i="2"/>
  <c r="N13" i="2"/>
  <c r="K13" i="2"/>
  <c r="J13" i="2"/>
  <c r="I13" i="2"/>
  <c r="K12" i="2"/>
  <c r="J12" i="2"/>
  <c r="L12" i="2" s="1"/>
  <c r="I12" i="2"/>
  <c r="N12" i="2"/>
  <c r="N11" i="2"/>
  <c r="K11" i="2"/>
  <c r="J11" i="2"/>
  <c r="L11" i="2" s="1"/>
  <c r="I11" i="2"/>
  <c r="K10" i="2"/>
  <c r="J10" i="2"/>
  <c r="L10" i="2" s="1"/>
  <c r="I10" i="2"/>
  <c r="N10" i="2"/>
  <c r="N9" i="2"/>
  <c r="K9" i="2"/>
  <c r="J9" i="2"/>
  <c r="L9" i="2" s="1"/>
  <c r="I9" i="2"/>
  <c r="K8" i="2"/>
  <c r="J8" i="2"/>
  <c r="I8" i="2"/>
  <c r="N8" i="2"/>
  <c r="N7" i="2"/>
  <c r="K7" i="2"/>
  <c r="J7" i="2"/>
  <c r="I7" i="2"/>
  <c r="K6" i="2"/>
  <c r="J6" i="2"/>
  <c r="L6" i="2" s="1"/>
  <c r="I6" i="2"/>
  <c r="N6" i="2"/>
  <c r="N5" i="2"/>
  <c r="K5" i="2"/>
  <c r="J5" i="2"/>
  <c r="I5" i="2"/>
  <c r="K4" i="2"/>
  <c r="J4" i="2"/>
  <c r="L4" i="2" s="1"/>
  <c r="I4" i="2"/>
  <c r="N4" i="2"/>
  <c r="N3" i="2"/>
  <c r="K3" i="2"/>
  <c r="J3" i="2"/>
  <c r="I3" i="2"/>
  <c r="K2" i="2"/>
  <c r="J2" i="2"/>
  <c r="L2" i="2" s="1"/>
  <c r="I2" i="2"/>
  <c r="N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J2" i="1"/>
  <c r="I2" i="1"/>
  <c r="F343" i="1"/>
  <c r="N11" i="1" s="1"/>
  <c r="N47" i="3" l="1"/>
  <c r="N70" i="3"/>
  <c r="N4" i="3"/>
  <c r="N60" i="3"/>
  <c r="N53" i="3"/>
  <c r="N92" i="3"/>
  <c r="N155" i="3"/>
  <c r="N50" i="3"/>
  <c r="N73" i="3"/>
  <c r="N116" i="3"/>
  <c r="O219" i="3"/>
  <c r="N169" i="3"/>
  <c r="N17" i="3"/>
  <c r="N14" i="3"/>
  <c r="N95" i="3"/>
  <c r="O223" i="3"/>
  <c r="N11" i="3"/>
  <c r="N34" i="3"/>
  <c r="N44" i="3"/>
  <c r="N67" i="3"/>
  <c r="N131" i="3"/>
  <c r="N145" i="3"/>
  <c r="N152" i="3"/>
  <c r="N166" i="3"/>
  <c r="N177" i="3"/>
  <c r="N8" i="3"/>
  <c r="N31" i="3"/>
  <c r="N41" i="3"/>
  <c r="N64" i="3"/>
  <c r="N77" i="3"/>
  <c r="N80" i="3"/>
  <c r="N83" i="3"/>
  <c r="N86" i="3"/>
  <c r="N142" i="3"/>
  <c r="N181" i="3"/>
  <c r="O255" i="3"/>
  <c r="N5" i="3"/>
  <c r="N28" i="3"/>
  <c r="N38" i="3"/>
  <c r="N51" i="3"/>
  <c r="N61" i="3"/>
  <c r="N117" i="3"/>
  <c r="N149" i="3"/>
  <c r="N163" i="3"/>
  <c r="N170" i="3"/>
  <c r="O259" i="3"/>
  <c r="N2" i="3"/>
  <c r="N25" i="3"/>
  <c r="N48" i="3"/>
  <c r="N58" i="3"/>
  <c r="N93" i="3"/>
  <c r="N107" i="3"/>
  <c r="N114" i="3"/>
  <c r="O271" i="3"/>
  <c r="N22" i="3"/>
  <c r="N45" i="3"/>
  <c r="N90" i="3"/>
  <c r="N104" i="3"/>
  <c r="N132" i="3"/>
  <c r="N146" i="3"/>
  <c r="N160" i="3"/>
  <c r="O295" i="3"/>
  <c r="N19" i="3"/>
  <c r="N42" i="3"/>
  <c r="N55" i="3"/>
  <c r="N75" i="3"/>
  <c r="N78" i="3"/>
  <c r="N81" i="3"/>
  <c r="N84" i="3"/>
  <c r="N87" i="3"/>
  <c r="N111" i="3"/>
  <c r="N129" i="3"/>
  <c r="N143" i="3"/>
  <c r="N157" i="3"/>
  <c r="N16" i="3"/>
  <c r="N39" i="3"/>
  <c r="N52" i="3"/>
  <c r="N72" i="3"/>
  <c r="N101" i="3"/>
  <c r="N140" i="3"/>
  <c r="O249" i="3"/>
  <c r="N13" i="3"/>
  <c r="N26" i="3"/>
  <c r="N36" i="3"/>
  <c r="N69" i="3"/>
  <c r="N108" i="3"/>
  <c r="N126" i="3"/>
  <c r="N10" i="3"/>
  <c r="N23" i="3"/>
  <c r="N33" i="3"/>
  <c r="N66" i="3"/>
  <c r="N98" i="3"/>
  <c r="N105" i="3"/>
  <c r="N137" i="3"/>
  <c r="N183" i="3"/>
  <c r="N7" i="3"/>
  <c r="N20" i="3"/>
  <c r="N30" i="3"/>
  <c r="N63" i="3"/>
  <c r="N76" i="3"/>
  <c r="N79" i="3"/>
  <c r="N82" i="3"/>
  <c r="N85" i="3"/>
  <c r="N88" i="3"/>
  <c r="N123" i="3"/>
  <c r="N158" i="3"/>
  <c r="O207" i="3"/>
  <c r="N113" i="3"/>
  <c r="N154" i="3"/>
  <c r="N167" i="3"/>
  <c r="O193" i="3"/>
  <c r="O273" i="3"/>
  <c r="N110" i="3"/>
  <c r="N120" i="3"/>
  <c r="N134" i="3"/>
  <c r="N151" i="3"/>
  <c r="N164" i="3"/>
  <c r="O197" i="3"/>
  <c r="O277" i="3"/>
  <c r="N148" i="3"/>
  <c r="N161" i="3"/>
  <c r="O251" i="3"/>
  <c r="O285" i="3"/>
  <c r="O241" i="3"/>
  <c r="O211" i="3"/>
  <c r="O291" i="3"/>
  <c r="N15" i="3"/>
  <c r="N18" i="3"/>
  <c r="N21" i="3"/>
  <c r="N24" i="3"/>
  <c r="N27" i="3"/>
  <c r="N89" i="3"/>
  <c r="N102" i="3"/>
  <c r="N128" i="3"/>
  <c r="O231" i="3"/>
  <c r="N99" i="3"/>
  <c r="N122" i="3"/>
  <c r="N125" i="3"/>
  <c r="N138" i="3"/>
  <c r="N141" i="3"/>
  <c r="N144" i="3"/>
  <c r="N147" i="3"/>
  <c r="N150" i="3"/>
  <c r="N153" i="3"/>
  <c r="N156" i="3"/>
  <c r="N159" i="3"/>
  <c r="N162" i="3"/>
  <c r="N165" i="3"/>
  <c r="N168" i="3"/>
  <c r="N171" i="3"/>
  <c r="O199" i="3"/>
  <c r="O213" i="3"/>
  <c r="O235" i="3"/>
  <c r="O297" i="3"/>
  <c r="N37" i="3"/>
  <c r="N40" i="3"/>
  <c r="N56" i="3"/>
  <c r="N59" i="3"/>
  <c r="N62" i="3"/>
  <c r="N65" i="3"/>
  <c r="N96" i="3"/>
  <c r="N119" i="3"/>
  <c r="N135" i="3"/>
  <c r="O217" i="3"/>
  <c r="O239" i="3"/>
  <c r="O257" i="3"/>
  <c r="O283" i="3"/>
  <c r="O313" i="3"/>
  <c r="N189" i="3"/>
  <c r="O203" i="3"/>
  <c r="N179" i="3"/>
  <c r="O221" i="3"/>
  <c r="O287" i="3"/>
  <c r="N173" i="3"/>
  <c r="N187" i="3"/>
  <c r="O201" i="3"/>
  <c r="O315" i="3"/>
  <c r="N191" i="3"/>
  <c r="O245" i="3"/>
  <c r="O267" i="3"/>
  <c r="O323" i="3"/>
  <c r="N3" i="3"/>
  <c r="N29" i="3"/>
  <c r="N32" i="3"/>
  <c r="N43" i="3"/>
  <c r="N46" i="3"/>
  <c r="N54" i="3"/>
  <c r="N68" i="3"/>
  <c r="N71" i="3"/>
  <c r="N74" i="3"/>
  <c r="N91" i="3"/>
  <c r="N94" i="3"/>
  <c r="N97" i="3"/>
  <c r="N100" i="3"/>
  <c r="N103" i="3"/>
  <c r="O225" i="3"/>
  <c r="O275" i="3"/>
  <c r="O303" i="3"/>
  <c r="N6" i="3"/>
  <c r="N9" i="3"/>
  <c r="N12" i="3"/>
  <c r="N35" i="3"/>
  <c r="N49" i="3"/>
  <c r="N57" i="3"/>
  <c r="N106" i="3"/>
  <c r="N109" i="3"/>
  <c r="N112" i="3"/>
  <c r="N115" i="3"/>
  <c r="N118" i="3"/>
  <c r="N121" i="3"/>
  <c r="N124" i="3"/>
  <c r="N175" i="3"/>
  <c r="N185" i="3"/>
  <c r="O229" i="3"/>
  <c r="O247" i="3"/>
  <c r="O261" i="3"/>
  <c r="O293" i="3"/>
  <c r="O325" i="3"/>
  <c r="N127" i="3"/>
  <c r="N130" i="3"/>
  <c r="N133" i="3"/>
  <c r="N136" i="3"/>
  <c r="N139" i="3"/>
  <c r="O195" i="3"/>
  <c r="O205" i="3"/>
  <c r="O265" i="3"/>
  <c r="O307" i="3"/>
  <c r="O305" i="3"/>
  <c r="O281" i="3"/>
  <c r="O331" i="3"/>
  <c r="O335" i="3"/>
  <c r="O227" i="3"/>
  <c r="O233" i="3"/>
  <c r="O243" i="3"/>
  <c r="O253" i="3"/>
  <c r="O269" i="3"/>
  <c r="O263" i="3"/>
  <c r="O279" i="3"/>
  <c r="O289" i="3"/>
  <c r="O299" i="3"/>
  <c r="O309" i="3"/>
  <c r="O319" i="3"/>
  <c r="O329" i="3"/>
  <c r="O209" i="3"/>
  <c r="O215" i="3"/>
  <c r="O237" i="3"/>
  <c r="O339" i="3"/>
  <c r="O333" i="3"/>
  <c r="O317" i="3"/>
  <c r="O327" i="3"/>
  <c r="O337" i="3"/>
  <c r="O301" i="3"/>
  <c r="O311" i="3"/>
  <c r="O321" i="3"/>
  <c r="N172" i="3"/>
  <c r="N174" i="3"/>
  <c r="N176" i="3"/>
  <c r="N178" i="3"/>
  <c r="N180" i="3"/>
  <c r="N182" i="3"/>
  <c r="N184" i="3"/>
  <c r="N186" i="3"/>
  <c r="N188" i="3"/>
  <c r="N190" i="3"/>
  <c r="O192" i="3"/>
  <c r="O194" i="3"/>
  <c r="O196" i="3"/>
  <c r="O198" i="3"/>
  <c r="O200" i="3"/>
  <c r="O202" i="3"/>
  <c r="O204" i="3"/>
  <c r="O206" i="3"/>
  <c r="O208" i="3"/>
  <c r="O210" i="3"/>
  <c r="O212" i="3"/>
  <c r="O214" i="3"/>
  <c r="O216" i="3"/>
  <c r="O218" i="3"/>
  <c r="O220" i="3"/>
  <c r="O222" i="3"/>
  <c r="O224" i="3"/>
  <c r="O226" i="3"/>
  <c r="O228" i="3"/>
  <c r="O230" i="3"/>
  <c r="O232" i="3"/>
  <c r="O234" i="3"/>
  <c r="O236" i="3"/>
  <c r="O238" i="3"/>
  <c r="O240" i="3"/>
  <c r="O242" i="3"/>
  <c r="O244" i="3"/>
  <c r="O246" i="3"/>
  <c r="O248" i="3"/>
  <c r="O250" i="3"/>
  <c r="O252" i="3"/>
  <c r="O254" i="3"/>
  <c r="O256" i="3"/>
  <c r="O258" i="3"/>
  <c r="O260" i="3"/>
  <c r="O262" i="3"/>
  <c r="O264" i="3"/>
  <c r="O266" i="3"/>
  <c r="O268" i="3"/>
  <c r="O270" i="3"/>
  <c r="O272" i="3"/>
  <c r="O274" i="3"/>
  <c r="O276" i="3"/>
  <c r="O278" i="3"/>
  <c r="O280" i="3"/>
  <c r="O282" i="3"/>
  <c r="O284" i="3"/>
  <c r="O286" i="3"/>
  <c r="O288" i="3"/>
  <c r="O290" i="3"/>
  <c r="O292" i="3"/>
  <c r="O294" i="3"/>
  <c r="O296" i="3"/>
  <c r="O298" i="3"/>
  <c r="O300" i="3"/>
  <c r="O302" i="3"/>
  <c r="O304" i="3"/>
  <c r="O306" i="3"/>
  <c r="O308" i="3"/>
  <c r="O310" i="3"/>
  <c r="O312" i="3"/>
  <c r="O314" i="3"/>
  <c r="O316" i="3"/>
  <c r="O318" i="3"/>
  <c r="O320" i="3"/>
  <c r="O322" i="3"/>
  <c r="O324" i="3"/>
  <c r="O326" i="3"/>
  <c r="O328" i="3"/>
  <c r="O330" i="3"/>
  <c r="O332" i="3"/>
  <c r="O334" i="3"/>
  <c r="O336" i="3"/>
  <c r="O338" i="3"/>
  <c r="L183" i="2"/>
  <c r="L201" i="2"/>
  <c r="L217" i="2"/>
  <c r="L290" i="2"/>
  <c r="L314" i="2"/>
  <c r="L116" i="2"/>
  <c r="L335" i="2"/>
  <c r="L119" i="2"/>
  <c r="L122" i="2"/>
  <c r="L57" i="2"/>
  <c r="L68" i="2"/>
  <c r="L206" i="2"/>
  <c r="L244" i="2"/>
  <c r="L294" i="2"/>
  <c r="L196" i="2"/>
  <c r="L305" i="2"/>
  <c r="L193" i="2"/>
  <c r="L80" i="2"/>
  <c r="L94" i="2"/>
  <c r="L99" i="2"/>
  <c r="L102" i="2"/>
  <c r="L105" i="2"/>
  <c r="L108" i="2"/>
  <c r="L111" i="2"/>
  <c r="L126" i="2"/>
  <c r="L129" i="2"/>
  <c r="L210" i="2"/>
  <c r="L213" i="2"/>
  <c r="L64" i="2"/>
  <c r="L233" i="2"/>
  <c r="L239" i="2"/>
  <c r="L242" i="2"/>
  <c r="L302" i="2"/>
  <c r="L240" i="2"/>
  <c r="L243" i="2"/>
  <c r="L86" i="2"/>
  <c r="L181" i="2"/>
  <c r="L225" i="2"/>
  <c r="L257" i="2"/>
  <c r="L304" i="2"/>
  <c r="L321" i="2"/>
  <c r="L328" i="2"/>
  <c r="L20" i="2"/>
  <c r="L56" i="2"/>
  <c r="L70" i="2"/>
  <c r="L133" i="2"/>
  <c r="L136" i="2"/>
  <c r="L172" i="2"/>
  <c r="L197" i="2"/>
  <c r="L207" i="2"/>
  <c r="L264" i="2"/>
  <c r="L325" i="2"/>
  <c r="L157" i="2"/>
  <c r="L160" i="2"/>
  <c r="L163" i="2"/>
  <c r="L166" i="2"/>
  <c r="L169" i="2"/>
  <c r="L245" i="2"/>
  <c r="L261" i="2"/>
  <c r="L322" i="2"/>
  <c r="L339" i="2"/>
  <c r="L312" i="2"/>
  <c r="L76" i="2"/>
  <c r="L87" i="2"/>
  <c r="L90" i="2"/>
  <c r="L98" i="2"/>
  <c r="L176" i="2"/>
  <c r="L179" i="2"/>
  <c r="L230" i="2"/>
  <c r="L326" i="2"/>
  <c r="L140" i="2"/>
  <c r="L143" i="2"/>
  <c r="L146" i="2"/>
  <c r="L149" i="2"/>
  <c r="L152" i="2"/>
  <c r="L164" i="2"/>
  <c r="L167" i="2"/>
  <c r="L186" i="2"/>
  <c r="L306" i="2"/>
  <c r="L215" i="2"/>
  <c r="L218" i="2"/>
  <c r="L228" i="2"/>
  <c r="L231" i="2"/>
  <c r="L286" i="2"/>
  <c r="L310" i="2"/>
  <c r="L75" i="2"/>
  <c r="L78" i="2"/>
  <c r="L89" i="2"/>
  <c r="L97" i="2"/>
  <c r="L132" i="2"/>
  <c r="L135" i="2"/>
  <c r="L180" i="2"/>
  <c r="L192" i="2"/>
  <c r="L195" i="2"/>
  <c r="L205" i="2"/>
  <c r="L224" i="2"/>
  <c r="L267" i="2"/>
  <c r="L277" i="2"/>
  <c r="L284" i="2"/>
  <c r="L327" i="2"/>
  <c r="L331" i="2"/>
  <c r="L338" i="2"/>
  <c r="L81" i="2"/>
  <c r="L92" i="2"/>
  <c r="L100" i="2"/>
  <c r="L103" i="2"/>
  <c r="L106" i="2"/>
  <c r="L109" i="2"/>
  <c r="L112" i="2"/>
  <c r="L141" i="2"/>
  <c r="L144" i="2"/>
  <c r="L147" i="2"/>
  <c r="L150" i="2"/>
  <c r="L153" i="2"/>
  <c r="L189" i="2"/>
  <c r="L274" i="2"/>
  <c r="L298" i="2"/>
  <c r="L301" i="2"/>
  <c r="L44" i="2"/>
  <c r="L54" i="2"/>
  <c r="L62" i="2"/>
  <c r="L84" i="2"/>
  <c r="L115" i="2"/>
  <c r="L118" i="2"/>
  <c r="L121" i="2"/>
  <c r="L156" i="2"/>
  <c r="L159" i="2"/>
  <c r="L209" i="2"/>
  <c r="L212" i="2"/>
  <c r="L221" i="2"/>
  <c r="L249" i="2"/>
  <c r="L255" i="2"/>
  <c r="L281" i="2"/>
  <c r="L288" i="2"/>
  <c r="L308" i="2"/>
  <c r="L318" i="2"/>
  <c r="L65" i="2"/>
  <c r="L73" i="2"/>
  <c r="L127" i="2"/>
  <c r="L165" i="2"/>
  <c r="L171" i="2"/>
  <c r="L184" i="2"/>
  <c r="L234" i="2"/>
  <c r="L237" i="2"/>
  <c r="L262" i="2"/>
  <c r="L278" i="2"/>
  <c r="L332" i="2"/>
  <c r="L8" i="2"/>
  <c r="L82" i="2"/>
  <c r="L93" i="2"/>
  <c r="L104" i="2"/>
  <c r="L107" i="2"/>
  <c r="L110" i="2"/>
  <c r="L113" i="2"/>
  <c r="L139" i="2"/>
  <c r="L142" i="2"/>
  <c r="L145" i="2"/>
  <c r="L148" i="2"/>
  <c r="L151" i="2"/>
  <c r="L203" i="2"/>
  <c r="L250" i="2"/>
  <c r="L256" i="2"/>
  <c r="L282" i="2"/>
  <c r="L295" i="2"/>
  <c r="L329" i="2"/>
  <c r="L336" i="2"/>
  <c r="L58" i="2"/>
  <c r="L63" i="2"/>
  <c r="L66" i="2"/>
  <c r="L74" i="2"/>
  <c r="L85" i="2"/>
  <c r="L125" i="2"/>
  <c r="L128" i="2"/>
  <c r="L185" i="2"/>
  <c r="L188" i="2"/>
  <c r="L200" i="2"/>
  <c r="L216" i="2"/>
  <c r="L219" i="2"/>
  <c r="L222" i="2"/>
  <c r="L232" i="2"/>
  <c r="L275" i="2"/>
  <c r="L69" i="2"/>
  <c r="L77" i="2"/>
  <c r="L88" i="2"/>
  <c r="L131" i="2"/>
  <c r="L134" i="2"/>
  <c r="L137" i="2"/>
  <c r="L182" i="2"/>
  <c r="L191" i="2"/>
  <c r="L194" i="2"/>
  <c r="L204" i="2"/>
  <c r="L229" i="2"/>
  <c r="L241" i="2"/>
  <c r="L260" i="2"/>
  <c r="L266" i="2"/>
  <c r="L276" i="2"/>
  <c r="L293" i="2"/>
  <c r="L313" i="2"/>
  <c r="L319" i="2"/>
  <c r="L330" i="2"/>
  <c r="L61" i="2"/>
  <c r="L117" i="2"/>
  <c r="L120" i="2"/>
  <c r="L123" i="2"/>
  <c r="L155" i="2"/>
  <c r="L158" i="2"/>
  <c r="L161" i="2"/>
  <c r="L173" i="2"/>
  <c r="L208" i="2"/>
  <c r="L220" i="2"/>
  <c r="L248" i="2"/>
  <c r="L254" i="2"/>
  <c r="L270" i="2"/>
  <c r="L273" i="2"/>
  <c r="L280" i="2"/>
  <c r="L297" i="2"/>
  <c r="L334" i="2"/>
  <c r="L13" i="2"/>
  <c r="L25" i="2"/>
  <c r="L37" i="2"/>
  <c r="L49" i="2"/>
  <c r="L291" i="2"/>
  <c r="L311" i="2"/>
  <c r="L7" i="2"/>
  <c r="L19" i="2"/>
  <c r="L31" i="2"/>
  <c r="L43" i="2"/>
  <c r="L263" i="2"/>
  <c r="L279" i="2"/>
  <c r="L5" i="2"/>
  <c r="L17" i="2"/>
  <c r="L29" i="2"/>
  <c r="L41" i="2"/>
  <c r="L53" i="2"/>
  <c r="L251" i="2"/>
  <c r="L303" i="2"/>
  <c r="L323" i="2"/>
  <c r="L236" i="2"/>
  <c r="L283" i="2"/>
  <c r="L3" i="2"/>
  <c r="L15" i="2"/>
  <c r="L27" i="2"/>
  <c r="L39" i="2"/>
  <c r="L51" i="2"/>
  <c r="L55" i="2"/>
  <c r="L67" i="2"/>
  <c r="L79" i="2"/>
  <c r="L91" i="2"/>
  <c r="L223" i="2"/>
  <c r="L101" i="2"/>
  <c r="L168" i="2"/>
  <c r="L177" i="2"/>
  <c r="L235" i="2"/>
  <c r="L175" i="2"/>
  <c r="L59" i="2"/>
  <c r="L71" i="2"/>
  <c r="L83" i="2"/>
  <c r="L95" i="2"/>
  <c r="L170" i="2"/>
  <c r="L199" i="2"/>
  <c r="L246" i="2"/>
  <c r="L258" i="2"/>
  <c r="L252" i="2"/>
  <c r="P172" i="2"/>
  <c r="P174" i="2"/>
  <c r="P176" i="2"/>
  <c r="P178" i="2"/>
  <c r="P180" i="2"/>
  <c r="P182" i="2"/>
  <c r="P184" i="2"/>
  <c r="P186" i="2"/>
  <c r="P188" i="2"/>
  <c r="P190" i="2"/>
  <c r="Q192" i="2"/>
  <c r="Q194" i="2"/>
  <c r="Q196" i="2"/>
  <c r="Q198" i="2"/>
  <c r="Q200" i="2"/>
  <c r="Q202" i="2"/>
  <c r="Q204" i="2"/>
  <c r="Q206" i="2"/>
  <c r="Q208" i="2"/>
  <c r="Q210" i="2"/>
  <c r="Q212" i="2"/>
  <c r="Q214" i="2"/>
  <c r="Q216" i="2"/>
  <c r="Q218" i="2"/>
  <c r="Q220" i="2"/>
  <c r="Q222" i="2"/>
  <c r="Q224" i="2"/>
  <c r="Q226" i="2"/>
  <c r="Q228" i="2"/>
  <c r="Q230" i="2"/>
  <c r="Q232" i="2"/>
  <c r="Q234" i="2"/>
  <c r="Q236" i="2"/>
  <c r="Q238" i="2"/>
  <c r="Q240" i="2"/>
  <c r="Q242" i="2"/>
  <c r="Q244" i="2"/>
  <c r="Q246" i="2"/>
  <c r="Q248" i="2"/>
  <c r="Q250" i="2"/>
  <c r="Q252" i="2"/>
  <c r="Q254" i="2"/>
  <c r="Q256" i="2"/>
  <c r="Q258" i="2"/>
  <c r="Q260" i="2"/>
  <c r="Q262" i="2"/>
  <c r="Q264" i="2"/>
  <c r="Q266" i="2"/>
  <c r="Q268" i="2"/>
  <c r="Q270" i="2"/>
  <c r="Q272" i="2"/>
  <c r="Q274" i="2"/>
  <c r="Q276" i="2"/>
  <c r="Q278" i="2"/>
  <c r="Q280" i="2"/>
  <c r="Q282" i="2"/>
  <c r="Q284" i="2"/>
  <c r="Q286" i="2"/>
  <c r="Q288" i="2"/>
  <c r="Q290" i="2"/>
  <c r="Q292" i="2"/>
  <c r="Q294" i="2"/>
  <c r="Q296" i="2"/>
  <c r="Q298" i="2"/>
  <c r="Q300" i="2"/>
  <c r="Q302" i="2"/>
  <c r="Q304" i="2"/>
  <c r="Q306" i="2"/>
  <c r="Q308" i="2"/>
  <c r="Q310" i="2"/>
  <c r="Q312" i="2"/>
  <c r="Q314" i="2"/>
  <c r="Q316" i="2"/>
  <c r="Q318" i="2"/>
  <c r="Q320" i="2"/>
  <c r="Q322" i="2"/>
  <c r="Q324" i="2"/>
  <c r="Q326" i="2"/>
  <c r="Q328" i="2"/>
  <c r="Q330" i="2"/>
  <c r="Q332" i="2"/>
  <c r="Q334" i="2"/>
  <c r="Q336" i="2"/>
  <c r="Q338" i="2"/>
  <c r="L45" i="1"/>
  <c r="L39" i="1"/>
  <c r="L33" i="1"/>
  <c r="L21" i="1"/>
  <c r="L15" i="1"/>
  <c r="L333" i="1"/>
  <c r="L327" i="1"/>
  <c r="L321" i="1"/>
  <c r="L309" i="1"/>
  <c r="L303" i="1"/>
  <c r="L297" i="1"/>
  <c r="L285" i="1"/>
  <c r="L279" i="1"/>
  <c r="L273" i="1"/>
  <c r="L261" i="1"/>
  <c r="L249" i="1"/>
  <c r="L237" i="1"/>
  <c r="L231" i="1"/>
  <c r="L225" i="1"/>
  <c r="L219" i="1"/>
  <c r="L213" i="1"/>
  <c r="L201" i="1"/>
  <c r="L189" i="1"/>
  <c r="L183" i="1"/>
  <c r="L177" i="1"/>
  <c r="L159" i="1"/>
  <c r="L135" i="1"/>
  <c r="L105" i="1"/>
  <c r="L99" i="1"/>
  <c r="L93" i="1"/>
  <c r="L81" i="1"/>
  <c r="L3" i="1"/>
  <c r="L74" i="1"/>
  <c r="L331" i="1"/>
  <c r="L319" i="1"/>
  <c r="L307" i="1"/>
  <c r="L295" i="1"/>
  <c r="L283" i="1"/>
  <c r="L271" i="1"/>
  <c r="L259" i="1"/>
  <c r="L247" i="1"/>
  <c r="L235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67" i="1"/>
  <c r="L55" i="1"/>
  <c r="L43" i="1"/>
  <c r="L31" i="1"/>
  <c r="L19" i="1"/>
  <c r="L7" i="1"/>
  <c r="L337" i="1"/>
  <c r="L325" i="1"/>
  <c r="L313" i="1"/>
  <c r="L301" i="1"/>
  <c r="L289" i="1"/>
  <c r="L277" i="1"/>
  <c r="L265" i="1"/>
  <c r="L253" i="1"/>
  <c r="L241" i="1"/>
  <c r="L229" i="1"/>
  <c r="L217" i="1"/>
  <c r="L205" i="1"/>
  <c r="L193" i="1"/>
  <c r="L181" i="1"/>
  <c r="L169" i="1"/>
  <c r="L157" i="1"/>
  <c r="L145" i="1"/>
  <c r="L133" i="1"/>
  <c r="L121" i="1"/>
  <c r="L109" i="1"/>
  <c r="L97" i="1"/>
  <c r="L85" i="1"/>
  <c r="L73" i="1"/>
  <c r="L49" i="1"/>
  <c r="L37" i="1"/>
  <c r="L25" i="1"/>
  <c r="L13" i="1"/>
  <c r="L339" i="1"/>
  <c r="L315" i="1"/>
  <c r="L291" i="1"/>
  <c r="L267" i="1"/>
  <c r="L255" i="1"/>
  <c r="L243" i="1"/>
  <c r="L207" i="1"/>
  <c r="L195" i="1"/>
  <c r="L171" i="1"/>
  <c r="L147" i="1"/>
  <c r="L129" i="1"/>
  <c r="L123" i="1"/>
  <c r="L87" i="1"/>
  <c r="L75" i="1"/>
  <c r="L69" i="1"/>
  <c r="L63" i="1"/>
  <c r="L120" i="1"/>
  <c r="L2" i="1"/>
  <c r="L61" i="1"/>
  <c r="L122" i="1"/>
  <c r="L14" i="1"/>
  <c r="L98" i="1"/>
  <c r="L165" i="1"/>
  <c r="L153" i="1"/>
  <c r="L141" i="1"/>
  <c r="L117" i="1"/>
  <c r="L111" i="1"/>
  <c r="L57" i="1"/>
  <c r="L51" i="1"/>
  <c r="L27" i="1"/>
  <c r="L9" i="1"/>
  <c r="L338" i="1"/>
  <c r="L332" i="1"/>
  <c r="L326" i="1"/>
  <c r="L320" i="1"/>
  <c r="L314" i="1"/>
  <c r="L308" i="1"/>
  <c r="L302" i="1"/>
  <c r="L296" i="1"/>
  <c r="L290" i="1"/>
  <c r="L284" i="1"/>
  <c r="L278" i="1"/>
  <c r="L272" i="1"/>
  <c r="L266" i="1"/>
  <c r="L260" i="1"/>
  <c r="L254" i="1"/>
  <c r="L248" i="1"/>
  <c r="L242" i="1"/>
  <c r="L236" i="1"/>
  <c r="L230" i="1"/>
  <c r="L224" i="1"/>
  <c r="L218" i="1"/>
  <c r="L212" i="1"/>
  <c r="L206" i="1"/>
  <c r="L200" i="1"/>
  <c r="L194" i="1"/>
  <c r="L188" i="1"/>
  <c r="L182" i="1"/>
  <c r="L176" i="1"/>
  <c r="L170" i="1"/>
  <c r="L164" i="1"/>
  <c r="L158" i="1"/>
  <c r="L152" i="1"/>
  <c r="L146" i="1"/>
  <c r="L140" i="1"/>
  <c r="L134" i="1"/>
  <c r="L128" i="1"/>
  <c r="L116" i="1"/>
  <c r="L110" i="1"/>
  <c r="L104" i="1"/>
  <c r="L92" i="1"/>
  <c r="L86" i="1"/>
  <c r="L80" i="1"/>
  <c r="L68" i="1"/>
  <c r="L62" i="1"/>
  <c r="L56" i="1"/>
  <c r="L50" i="1"/>
  <c r="L44" i="1"/>
  <c r="L38" i="1"/>
  <c r="L32" i="1"/>
  <c r="L26" i="1"/>
  <c r="L20" i="1"/>
  <c r="L8" i="1"/>
  <c r="L336" i="1"/>
  <c r="L330" i="1"/>
  <c r="L324" i="1"/>
  <c r="L318" i="1"/>
  <c r="L312" i="1"/>
  <c r="L306" i="1"/>
  <c r="L300" i="1"/>
  <c r="L294" i="1"/>
  <c r="L288" i="1"/>
  <c r="L282" i="1"/>
  <c r="L276" i="1"/>
  <c r="L270" i="1"/>
  <c r="L264" i="1"/>
  <c r="L258" i="1"/>
  <c r="L252" i="1"/>
  <c r="L246" i="1"/>
  <c r="L240" i="1"/>
  <c r="L234" i="1"/>
  <c r="L228" i="1"/>
  <c r="L222" i="1"/>
  <c r="L216" i="1"/>
  <c r="L210" i="1"/>
  <c r="L204" i="1"/>
  <c r="L198" i="1"/>
  <c r="L192" i="1"/>
  <c r="L186" i="1"/>
  <c r="L180" i="1"/>
  <c r="L174" i="1"/>
  <c r="L168" i="1"/>
  <c r="L162" i="1"/>
  <c r="L156" i="1"/>
  <c r="L150" i="1"/>
  <c r="L144" i="1"/>
  <c r="L138" i="1"/>
  <c r="L132" i="1"/>
  <c r="L126" i="1"/>
  <c r="L114" i="1"/>
  <c r="L108" i="1"/>
  <c r="L102" i="1"/>
  <c r="L96" i="1"/>
  <c r="L90" i="1"/>
  <c r="L84" i="1"/>
  <c r="L78" i="1"/>
  <c r="L72" i="1"/>
  <c r="L66" i="1"/>
  <c r="L60" i="1"/>
  <c r="L54" i="1"/>
  <c r="L48" i="1"/>
  <c r="L42" i="1"/>
  <c r="L36" i="1"/>
  <c r="L30" i="1"/>
  <c r="L24" i="1"/>
  <c r="L18" i="1"/>
  <c r="L12" i="1"/>
  <c r="L6" i="1"/>
  <c r="L335" i="1"/>
  <c r="L329" i="1"/>
  <c r="L323" i="1"/>
  <c r="L317" i="1"/>
  <c r="L311" i="1"/>
  <c r="L305" i="1"/>
  <c r="L299" i="1"/>
  <c r="L293" i="1"/>
  <c r="L287" i="1"/>
  <c r="L281" i="1"/>
  <c r="L275" i="1"/>
  <c r="L269" i="1"/>
  <c r="L263" i="1"/>
  <c r="L257" i="1"/>
  <c r="L251" i="1"/>
  <c r="L245" i="1"/>
  <c r="L239" i="1"/>
  <c r="L233" i="1"/>
  <c r="L227" i="1"/>
  <c r="L221" i="1"/>
  <c r="L215" i="1"/>
  <c r="L209" i="1"/>
  <c r="L203" i="1"/>
  <c r="L197" i="1"/>
  <c r="L191" i="1"/>
  <c r="L185" i="1"/>
  <c r="L179" i="1"/>
  <c r="L173" i="1"/>
  <c r="L167" i="1"/>
  <c r="L161" i="1"/>
  <c r="L155" i="1"/>
  <c r="L149" i="1"/>
  <c r="L143" i="1"/>
  <c r="L137" i="1"/>
  <c r="L131" i="1"/>
  <c r="L125" i="1"/>
  <c r="L119" i="1"/>
  <c r="L113" i="1"/>
  <c r="L107" i="1"/>
  <c r="L101" i="1"/>
  <c r="L95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340" i="1"/>
  <c r="L334" i="1"/>
  <c r="L328" i="1"/>
  <c r="L322" i="1"/>
  <c r="L316" i="1"/>
  <c r="L310" i="1"/>
  <c r="L304" i="1"/>
  <c r="L298" i="1"/>
  <c r="L292" i="1"/>
  <c r="L286" i="1"/>
  <c r="L280" i="1"/>
  <c r="L274" i="1"/>
  <c r="L268" i="1"/>
  <c r="L262" i="1"/>
  <c r="L256" i="1"/>
  <c r="L250" i="1"/>
  <c r="L244" i="1"/>
  <c r="L238" i="1"/>
  <c r="L232" i="1"/>
  <c r="L226" i="1"/>
  <c r="L220" i="1"/>
  <c r="L214" i="1"/>
  <c r="L208" i="1"/>
  <c r="L202" i="1"/>
  <c r="L196" i="1"/>
  <c r="L190" i="1"/>
  <c r="L184" i="1"/>
  <c r="L178" i="1"/>
  <c r="L172" i="1"/>
  <c r="L166" i="1"/>
  <c r="L160" i="1"/>
  <c r="L154" i="1"/>
  <c r="L148" i="1"/>
  <c r="L142" i="1"/>
  <c r="L136" i="1"/>
  <c r="L130" i="1"/>
  <c r="L124" i="1"/>
  <c r="L118" i="1"/>
  <c r="L112" i="1"/>
  <c r="L106" i="1"/>
  <c r="L100" i="1"/>
  <c r="L94" i="1"/>
  <c r="L88" i="1"/>
  <c r="L82" i="1"/>
  <c r="L76" i="1"/>
  <c r="L70" i="1"/>
  <c r="L64" i="1"/>
  <c r="L58" i="1"/>
  <c r="L52" i="1"/>
  <c r="L46" i="1"/>
  <c r="L40" i="1"/>
  <c r="L34" i="1"/>
  <c r="L28" i="1"/>
  <c r="L22" i="1"/>
  <c r="L16" i="1"/>
  <c r="L10" i="1"/>
  <c r="L4" i="1"/>
  <c r="P189" i="1"/>
  <c r="Q322" i="1"/>
  <c r="P178" i="1"/>
  <c r="Q333" i="1"/>
  <c r="Q321" i="1"/>
  <c r="P177" i="1"/>
  <c r="Q320" i="1"/>
  <c r="P176" i="1"/>
  <c r="Q285" i="1"/>
  <c r="O130" i="1"/>
  <c r="Q274" i="1"/>
  <c r="O118" i="1"/>
  <c r="Q273" i="1"/>
  <c r="O117" i="1"/>
  <c r="Q224" i="1"/>
  <c r="Q272" i="1"/>
  <c r="O106" i="1"/>
  <c r="Q237" i="1"/>
  <c r="N58" i="1"/>
  <c r="Q226" i="1"/>
  <c r="N46" i="1"/>
  <c r="Q225" i="1"/>
  <c r="N45" i="1"/>
  <c r="N34" i="1"/>
  <c r="Q310" i="1"/>
  <c r="Q262" i="1"/>
  <c r="Q214" i="1"/>
  <c r="P166" i="1"/>
  <c r="O105" i="1"/>
  <c r="N33" i="1"/>
  <c r="Q309" i="1"/>
  <c r="Q261" i="1"/>
  <c r="Q213" i="1"/>
  <c r="P165" i="1"/>
  <c r="O94" i="1"/>
  <c r="N22" i="1"/>
  <c r="Q308" i="1"/>
  <c r="Q260" i="1"/>
  <c r="Q212" i="1"/>
  <c r="P164" i="1"/>
  <c r="O93" i="1"/>
  <c r="N21" i="1"/>
  <c r="Q298" i="1"/>
  <c r="Q250" i="1"/>
  <c r="Q202" i="1"/>
  <c r="P154" i="1"/>
  <c r="N82" i="1"/>
  <c r="N10" i="1"/>
  <c r="Q297" i="1"/>
  <c r="Q249" i="1"/>
  <c r="Q201" i="1"/>
  <c r="P153" i="1"/>
  <c r="N81" i="1"/>
  <c r="N9" i="1"/>
  <c r="Q296" i="1"/>
  <c r="Q248" i="1"/>
  <c r="Q200" i="1"/>
  <c r="P142" i="1"/>
  <c r="N70" i="1"/>
  <c r="Q334" i="1"/>
  <c r="Q286" i="1"/>
  <c r="Q238" i="1"/>
  <c r="P190" i="1"/>
  <c r="P141" i="1"/>
  <c r="N69" i="1"/>
  <c r="Q332" i="1"/>
  <c r="Q284" i="1"/>
  <c r="Q236" i="1"/>
  <c r="P188" i="1"/>
  <c r="O129" i="1"/>
  <c r="N57" i="1"/>
  <c r="P152" i="1"/>
  <c r="P140" i="1"/>
  <c r="O128" i="1"/>
  <c r="O116" i="1"/>
  <c r="O104" i="1"/>
  <c r="O92" i="1"/>
  <c r="N80" i="1"/>
  <c r="N68" i="1"/>
  <c r="N56" i="1"/>
  <c r="N44" i="1"/>
  <c r="N32" i="1"/>
  <c r="N20" i="1"/>
  <c r="N8" i="1"/>
  <c r="Q331" i="1"/>
  <c r="Q319" i="1"/>
  <c r="Q307" i="1"/>
  <c r="Q295" i="1"/>
  <c r="Q283" i="1"/>
  <c r="Q271" i="1"/>
  <c r="Q259" i="1"/>
  <c r="Q247" i="1"/>
  <c r="Q235" i="1"/>
  <c r="Q223" i="1"/>
  <c r="Q211" i="1"/>
  <c r="Q199" i="1"/>
  <c r="P187" i="1"/>
  <c r="P175" i="1"/>
  <c r="P163" i="1"/>
  <c r="P151" i="1"/>
  <c r="P139" i="1"/>
  <c r="O127" i="1"/>
  <c r="O115" i="1"/>
  <c r="O103" i="1"/>
  <c r="O91" i="1"/>
  <c r="N79" i="1"/>
  <c r="N67" i="1"/>
  <c r="N55" i="1"/>
  <c r="N43" i="1"/>
  <c r="N31" i="1"/>
  <c r="N19" i="1"/>
  <c r="N7" i="1"/>
  <c r="Q330" i="1"/>
  <c r="Q318" i="1"/>
  <c r="Q306" i="1"/>
  <c r="Q294" i="1"/>
  <c r="Q282" i="1"/>
  <c r="Q270" i="1"/>
  <c r="Q258" i="1"/>
  <c r="Q246" i="1"/>
  <c r="Q234" i="1"/>
  <c r="Q222" i="1"/>
  <c r="Q210" i="1"/>
  <c r="Q198" i="1"/>
  <c r="P186" i="1"/>
  <c r="P174" i="1"/>
  <c r="P162" i="1"/>
  <c r="P150" i="1"/>
  <c r="P138" i="1"/>
  <c r="O126" i="1"/>
  <c r="O114" i="1"/>
  <c r="O102" i="1"/>
  <c r="O90" i="1"/>
  <c r="N78" i="1"/>
  <c r="N66" i="1"/>
  <c r="N54" i="1"/>
  <c r="N42" i="1"/>
  <c r="N30" i="1"/>
  <c r="N18" i="1"/>
  <c r="N6" i="1"/>
  <c r="Q329" i="1"/>
  <c r="Q317" i="1"/>
  <c r="Q305" i="1"/>
  <c r="Q293" i="1"/>
  <c r="Q281" i="1"/>
  <c r="Q269" i="1"/>
  <c r="Q257" i="1"/>
  <c r="Q245" i="1"/>
  <c r="Q233" i="1"/>
  <c r="Q221" i="1"/>
  <c r="Q209" i="1"/>
  <c r="Q197" i="1"/>
  <c r="P185" i="1"/>
  <c r="P173" i="1"/>
  <c r="P161" i="1"/>
  <c r="P149" i="1"/>
  <c r="P137" i="1"/>
  <c r="O125" i="1"/>
  <c r="O113" i="1"/>
  <c r="O101" i="1"/>
  <c r="O89" i="1"/>
  <c r="N77" i="1"/>
  <c r="N65" i="1"/>
  <c r="N53" i="1"/>
  <c r="N41" i="1"/>
  <c r="N29" i="1"/>
  <c r="N17" i="1"/>
  <c r="N5" i="1"/>
  <c r="Q340" i="1"/>
  <c r="Q328" i="1"/>
  <c r="Q316" i="1"/>
  <c r="Q304" i="1"/>
  <c r="Q292" i="1"/>
  <c r="Q280" i="1"/>
  <c r="Q268" i="1"/>
  <c r="Q256" i="1"/>
  <c r="Q244" i="1"/>
  <c r="Q232" i="1"/>
  <c r="Q220" i="1"/>
  <c r="Q208" i="1"/>
  <c r="Q196" i="1"/>
  <c r="P184" i="1"/>
  <c r="P172" i="1"/>
  <c r="P160" i="1"/>
  <c r="P148" i="1"/>
  <c r="P136" i="1"/>
  <c r="O124" i="1"/>
  <c r="O112" i="1"/>
  <c r="O100" i="1"/>
  <c r="O88" i="1"/>
  <c r="N76" i="1"/>
  <c r="N64" i="1"/>
  <c r="N52" i="1"/>
  <c r="N40" i="1"/>
  <c r="N28" i="1"/>
  <c r="N16" i="1"/>
  <c r="N4" i="1"/>
  <c r="Q339" i="1"/>
  <c r="Q327" i="1"/>
  <c r="Q315" i="1"/>
  <c r="Q303" i="1"/>
  <c r="Q291" i="1"/>
  <c r="Q279" i="1"/>
  <c r="Q267" i="1"/>
  <c r="Q255" i="1"/>
  <c r="Q243" i="1"/>
  <c r="Q231" i="1"/>
  <c r="Q219" i="1"/>
  <c r="Q207" i="1"/>
  <c r="Q195" i="1"/>
  <c r="P183" i="1"/>
  <c r="P171" i="1"/>
  <c r="P159" i="1"/>
  <c r="P147" i="1"/>
  <c r="P135" i="1"/>
  <c r="O123" i="1"/>
  <c r="O111" i="1"/>
  <c r="O99" i="1"/>
  <c r="O87" i="1"/>
  <c r="N75" i="1"/>
  <c r="N63" i="1"/>
  <c r="N51" i="1"/>
  <c r="N39" i="1"/>
  <c r="N27" i="1"/>
  <c r="N15" i="1"/>
  <c r="N3" i="1"/>
  <c r="Q338" i="1"/>
  <c r="Q326" i="1"/>
  <c r="Q314" i="1"/>
  <c r="Q302" i="1"/>
  <c r="Q290" i="1"/>
  <c r="Q278" i="1"/>
  <c r="Q266" i="1"/>
  <c r="Q254" i="1"/>
  <c r="Q242" i="1"/>
  <c r="Q230" i="1"/>
  <c r="Q218" i="1"/>
  <c r="Q206" i="1"/>
  <c r="Q194" i="1"/>
  <c r="P182" i="1"/>
  <c r="P170" i="1"/>
  <c r="P158" i="1"/>
  <c r="P146" i="1"/>
  <c r="O134" i="1"/>
  <c r="O122" i="1"/>
  <c r="O110" i="1"/>
  <c r="O98" i="1"/>
  <c r="O86" i="1"/>
  <c r="N74" i="1"/>
  <c r="N62" i="1"/>
  <c r="N50" i="1"/>
  <c r="N38" i="1"/>
  <c r="N26" i="1"/>
  <c r="N14" i="1"/>
  <c r="N2" i="1"/>
  <c r="Q337" i="1"/>
  <c r="Q325" i="1"/>
  <c r="Q313" i="1"/>
  <c r="Q301" i="1"/>
  <c r="Q289" i="1"/>
  <c r="Q277" i="1"/>
  <c r="Q265" i="1"/>
  <c r="Q253" i="1"/>
  <c r="Q241" i="1"/>
  <c r="Q229" i="1"/>
  <c r="Q217" i="1"/>
  <c r="Q205" i="1"/>
  <c r="Q193" i="1"/>
  <c r="P181" i="1"/>
  <c r="P169" i="1"/>
  <c r="P157" i="1"/>
  <c r="P145" i="1"/>
  <c r="O133" i="1"/>
  <c r="O121" i="1"/>
  <c r="O109" i="1"/>
  <c r="O97" i="1"/>
  <c r="O85" i="1"/>
  <c r="N73" i="1"/>
  <c r="N61" i="1"/>
  <c r="N49" i="1"/>
  <c r="N37" i="1"/>
  <c r="N25" i="1"/>
  <c r="N13" i="1"/>
  <c r="Q336" i="1"/>
  <c r="Q324" i="1"/>
  <c r="Q312" i="1"/>
  <c r="Q300" i="1"/>
  <c r="Q288" i="1"/>
  <c r="Q276" i="1"/>
  <c r="Q264" i="1"/>
  <c r="Q252" i="1"/>
  <c r="Q240" i="1"/>
  <c r="Q228" i="1"/>
  <c r="Q216" i="1"/>
  <c r="Q204" i="1"/>
  <c r="Q192" i="1"/>
  <c r="P180" i="1"/>
  <c r="P168" i="1"/>
  <c r="P156" i="1"/>
  <c r="P144" i="1"/>
  <c r="O132" i="1"/>
  <c r="O120" i="1"/>
  <c r="O108" i="1"/>
  <c r="O96" i="1"/>
  <c r="O84" i="1"/>
  <c r="N72" i="1"/>
  <c r="N60" i="1"/>
  <c r="N48" i="1"/>
  <c r="N36" i="1"/>
  <c r="N24" i="1"/>
  <c r="N12" i="1"/>
  <c r="Q335" i="1"/>
  <c r="Q323" i="1"/>
  <c r="Q311" i="1"/>
  <c r="Q299" i="1"/>
  <c r="Q287" i="1"/>
  <c r="Q275" i="1"/>
  <c r="Q263" i="1"/>
  <c r="Q251" i="1"/>
  <c r="Q239" i="1"/>
  <c r="Q227" i="1"/>
  <c r="Q215" i="1"/>
  <c r="Q203" i="1"/>
  <c r="P191" i="1"/>
  <c r="P179" i="1"/>
  <c r="P167" i="1"/>
  <c r="P155" i="1"/>
  <c r="P143" i="1"/>
  <c r="O131" i="1"/>
  <c r="O119" i="1"/>
  <c r="O107" i="1"/>
  <c r="O95" i="1"/>
  <c r="O83" i="1"/>
  <c r="N71" i="1"/>
  <c r="N59" i="1"/>
  <c r="N47" i="1"/>
  <c r="N35" i="1"/>
  <c r="N23" i="1"/>
</calcChain>
</file>

<file path=xl/sharedStrings.xml><?xml version="1.0" encoding="utf-8"?>
<sst xmlns="http://schemas.openxmlformats.org/spreadsheetml/2006/main" count="2096" uniqueCount="28">
  <si>
    <t>experiment</t>
  </si>
  <si>
    <t>Treatment</t>
  </si>
  <si>
    <t>temp_measured</t>
  </si>
  <si>
    <t>mean_pHts</t>
  </si>
  <si>
    <t>Li_measured</t>
  </si>
  <si>
    <t>gr</t>
  </si>
  <si>
    <t>single</t>
  </si>
  <si>
    <t>lithium</t>
  </si>
  <si>
    <t>pH</t>
  </si>
  <si>
    <t>temperature</t>
  </si>
  <si>
    <t>multi</t>
  </si>
  <si>
    <t>multi-driver</t>
  </si>
  <si>
    <t>MAX</t>
  </si>
  <si>
    <t>SILi</t>
  </si>
  <si>
    <t>SIpH</t>
  </si>
  <si>
    <t>Sitemp</t>
  </si>
  <si>
    <t>Alpha</t>
  </si>
  <si>
    <t>Li</t>
  </si>
  <si>
    <t>Temp</t>
  </si>
  <si>
    <t>Sica</t>
  </si>
  <si>
    <t>.</t>
  </si>
  <si>
    <t>Beta</t>
  </si>
  <si>
    <t>pHxtemp</t>
  </si>
  <si>
    <t>GRLi</t>
  </si>
  <si>
    <t>GRpH</t>
  </si>
  <si>
    <t>GRtemp</t>
  </si>
  <si>
    <t>GRMS</t>
  </si>
  <si>
    <t>GRsingle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</si>
</sst>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right"/>
    </xf>
    <xf numFmtId="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0" borderId="0" xfId="0" applyFont="1"/>
    <xf numFmtId="2" fontId="2" fillId="0" borderId="0" xfId="0" applyNumberFormat="1" applyFont="1" applyAlignment="1">
      <alignment horizontal="right"/>
    </xf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8C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50892528309631E-2"/>
          <c:y val="2.1720291962075196E-2"/>
          <c:w val="0.90108930877423621"/>
          <c:h val="0.62996132975329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SICA_preadjustement!$N$1</c:f>
              <c:strCache>
                <c:ptCount val="1"/>
                <c:pt idx="0">
                  <c:v>GRLi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4525204775690786E-2"/>
                  <c:y val="-0.15290830209935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SICA_preadjustement!$N$2:$N$343</c:f>
              <c:numCache>
                <c:formatCode>General</c:formatCode>
                <c:ptCount val="342"/>
                <c:pt idx="0">
                  <c:v>72.665999999999997</c:v>
                </c:pt>
                <c:pt idx="1">
                  <c:v>76.6875</c:v>
                </c:pt>
                <c:pt idx="2">
                  <c:v>69.563249999999996</c:v>
                </c:pt>
                <c:pt idx="3">
                  <c:v>66.738500000000002</c:v>
                </c:pt>
                <c:pt idx="4">
                  <c:v>81.515000000000001</c:v>
                </c:pt>
                <c:pt idx="5">
                  <c:v>69.140249999999995</c:v>
                </c:pt>
                <c:pt idx="6">
                  <c:v>73.923500000000004</c:v>
                </c:pt>
                <c:pt idx="7">
                  <c:v>80.172749999999994</c:v>
                </c:pt>
                <c:pt idx="8">
                  <c:v>70.266249999999999</c:v>
                </c:pt>
                <c:pt idx="9">
                  <c:v>82.92</c:v>
                </c:pt>
                <c:pt idx="10">
                  <c:v>69.458749999999995</c:v>
                </c:pt>
                <c:pt idx="11">
                  <c:v>73.944749999999999</c:v>
                </c:pt>
                <c:pt idx="12">
                  <c:v>78.923249999999996</c:v>
                </c:pt>
                <c:pt idx="13">
                  <c:v>81.489999999999995</c:v>
                </c:pt>
                <c:pt idx="14">
                  <c:v>77.010999999999996</c:v>
                </c:pt>
                <c:pt idx="15">
                  <c:v>73.716999999999999</c:v>
                </c:pt>
                <c:pt idx="16">
                  <c:v>68.298500000000004</c:v>
                </c:pt>
                <c:pt idx="17">
                  <c:v>81.363249999999994</c:v>
                </c:pt>
                <c:pt idx="18">
                  <c:v>67.977500000000006</c:v>
                </c:pt>
                <c:pt idx="19">
                  <c:v>65.9285</c:v>
                </c:pt>
                <c:pt idx="20">
                  <c:v>71.902500000000003</c:v>
                </c:pt>
                <c:pt idx="21">
                  <c:v>67.558750000000003</c:v>
                </c:pt>
                <c:pt idx="22">
                  <c:v>72.10275</c:v>
                </c:pt>
                <c:pt idx="23">
                  <c:v>68.047250000000005</c:v>
                </c:pt>
                <c:pt idx="24">
                  <c:v>69.138000000000005</c:v>
                </c:pt>
                <c:pt idx="25">
                  <c:v>75.832250000000002</c:v>
                </c:pt>
                <c:pt idx="26">
                  <c:v>67.867249999999999</c:v>
                </c:pt>
                <c:pt idx="27">
                  <c:v>73.296999999999997</c:v>
                </c:pt>
                <c:pt idx="28">
                  <c:v>69.992249999999999</c:v>
                </c:pt>
                <c:pt idx="29">
                  <c:v>77.667249999999996</c:v>
                </c:pt>
                <c:pt idx="30">
                  <c:v>73.642250000000004</c:v>
                </c:pt>
                <c:pt idx="31">
                  <c:v>78.064750000000004</c:v>
                </c:pt>
                <c:pt idx="32">
                  <c:v>77.946250000000006</c:v>
                </c:pt>
                <c:pt idx="33">
                  <c:v>72.652749999999997</c:v>
                </c:pt>
                <c:pt idx="34">
                  <c:v>74.101749999999996</c:v>
                </c:pt>
                <c:pt idx="35">
                  <c:v>77.573499999999996</c:v>
                </c:pt>
                <c:pt idx="36">
                  <c:v>76.248249999999999</c:v>
                </c:pt>
                <c:pt idx="37">
                  <c:v>73.350499999999997</c:v>
                </c:pt>
                <c:pt idx="38">
                  <c:v>75.473749999999995</c:v>
                </c:pt>
                <c:pt idx="39">
                  <c:v>70.245500000000007</c:v>
                </c:pt>
                <c:pt idx="40">
                  <c:v>76.742999999999995</c:v>
                </c:pt>
                <c:pt idx="41">
                  <c:v>75.751750000000001</c:v>
                </c:pt>
                <c:pt idx="42">
                  <c:v>71.84075</c:v>
                </c:pt>
                <c:pt idx="43">
                  <c:v>76.287750000000003</c:v>
                </c:pt>
                <c:pt idx="44">
                  <c:v>77.219750000000005</c:v>
                </c:pt>
                <c:pt idx="45">
                  <c:v>69.163749999999993</c:v>
                </c:pt>
                <c:pt idx="46">
                  <c:v>75.228250000000003</c:v>
                </c:pt>
                <c:pt idx="47">
                  <c:v>71.296499999999995</c:v>
                </c:pt>
                <c:pt idx="48">
                  <c:v>71.164000000000001</c:v>
                </c:pt>
                <c:pt idx="49">
                  <c:v>73.168750000000003</c:v>
                </c:pt>
                <c:pt idx="50">
                  <c:v>77.060249999999996</c:v>
                </c:pt>
                <c:pt idx="51">
                  <c:v>67.301749999999998</c:v>
                </c:pt>
                <c:pt idx="52">
                  <c:v>64.227500000000006</c:v>
                </c:pt>
                <c:pt idx="53">
                  <c:v>61.954250000000002</c:v>
                </c:pt>
                <c:pt idx="54">
                  <c:v>65.525750000000002</c:v>
                </c:pt>
                <c:pt idx="55">
                  <c:v>74.906750000000002</c:v>
                </c:pt>
                <c:pt idx="56">
                  <c:v>80.564250000000001</c:v>
                </c:pt>
                <c:pt idx="57">
                  <c:v>67.590500000000006</c:v>
                </c:pt>
                <c:pt idx="58">
                  <c:v>73.180250000000001</c:v>
                </c:pt>
                <c:pt idx="59">
                  <c:v>75.034000000000006</c:v>
                </c:pt>
                <c:pt idx="60">
                  <c:v>68.441999999999993</c:v>
                </c:pt>
                <c:pt idx="61">
                  <c:v>64.836749999999995</c:v>
                </c:pt>
                <c:pt idx="62">
                  <c:v>66.087000000000003</c:v>
                </c:pt>
                <c:pt idx="63">
                  <c:v>72.808000000000007</c:v>
                </c:pt>
                <c:pt idx="64">
                  <c:v>72.396000000000001</c:v>
                </c:pt>
                <c:pt idx="65">
                  <c:v>69.297250000000005</c:v>
                </c:pt>
                <c:pt idx="66">
                  <c:v>66.781499999999994</c:v>
                </c:pt>
                <c:pt idx="67">
                  <c:v>66.496750000000006</c:v>
                </c:pt>
                <c:pt idx="68">
                  <c:v>65.281000000000006</c:v>
                </c:pt>
                <c:pt idx="69">
                  <c:v>64.187749999999994</c:v>
                </c:pt>
                <c:pt idx="70">
                  <c:v>65.477249999999998</c:v>
                </c:pt>
                <c:pt idx="71">
                  <c:v>66.047499999999999</c:v>
                </c:pt>
                <c:pt idx="72">
                  <c:v>62.9345</c:v>
                </c:pt>
                <c:pt idx="73">
                  <c:v>62.370000000000005</c:v>
                </c:pt>
                <c:pt idx="74">
                  <c:v>69.628749999999997</c:v>
                </c:pt>
                <c:pt idx="75">
                  <c:v>68.044499999999999</c:v>
                </c:pt>
                <c:pt idx="76">
                  <c:v>68.733500000000006</c:v>
                </c:pt>
                <c:pt idx="77">
                  <c:v>68.153000000000006</c:v>
                </c:pt>
                <c:pt idx="78">
                  <c:v>68.601249999999993</c:v>
                </c:pt>
                <c:pt idx="79">
                  <c:v>62.592749999999995</c:v>
                </c:pt>
                <c:pt idx="80">
                  <c:v>63.495750000000001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C-444C-876A-0DD653543E57}"/>
            </c:ext>
          </c:extLst>
        </c:ser>
        <c:ser>
          <c:idx val="1"/>
          <c:order val="1"/>
          <c:tx>
            <c:strRef>
              <c:f>SICA_preadjustement!$O$1</c:f>
              <c:strCache>
                <c:ptCount val="1"/>
                <c:pt idx="0">
                  <c:v>GRpH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8125061187955413E-2"/>
                  <c:y val="0.176005826537211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SICA_preadjustement!$O$2:$O$343</c:f>
              <c:numCache>
                <c:formatCode>General</c:formatCode>
                <c:ptCount val="342"/>
                <c:pt idx="81">
                  <c:v>77.47475</c:v>
                </c:pt>
                <c:pt idx="82">
                  <c:v>76.91525</c:v>
                </c:pt>
                <c:pt idx="83">
                  <c:v>70.283249999999995</c:v>
                </c:pt>
                <c:pt idx="84">
                  <c:v>75.927999999999997</c:v>
                </c:pt>
                <c:pt idx="85">
                  <c:v>70.821749999999994</c:v>
                </c:pt>
                <c:pt idx="86">
                  <c:v>66.904499999999999</c:v>
                </c:pt>
                <c:pt idx="87">
                  <c:v>80.048249999999996</c:v>
                </c:pt>
                <c:pt idx="88">
                  <c:v>76.823250000000002</c:v>
                </c:pt>
                <c:pt idx="89">
                  <c:v>64.455500000000001</c:v>
                </c:pt>
                <c:pt idx="90">
                  <c:v>68.887249999999995</c:v>
                </c:pt>
                <c:pt idx="91">
                  <c:v>76.979500000000002</c:v>
                </c:pt>
                <c:pt idx="92">
                  <c:v>73.343249999999998</c:v>
                </c:pt>
                <c:pt idx="93">
                  <c:v>75.004499999999993</c:v>
                </c:pt>
                <c:pt idx="94">
                  <c:v>81.140500000000003</c:v>
                </c:pt>
                <c:pt idx="95">
                  <c:v>73.783500000000004</c:v>
                </c:pt>
                <c:pt idx="96">
                  <c:v>70.981499999999997</c:v>
                </c:pt>
                <c:pt idx="97">
                  <c:v>73.477249999999998</c:v>
                </c:pt>
                <c:pt idx="98">
                  <c:v>76.641999999999996</c:v>
                </c:pt>
                <c:pt idx="99">
                  <c:v>71.697000000000003</c:v>
                </c:pt>
                <c:pt idx="100">
                  <c:v>75.83175</c:v>
                </c:pt>
                <c:pt idx="101">
                  <c:v>77.680750000000003</c:v>
                </c:pt>
                <c:pt idx="102">
                  <c:v>72.848249999999993</c:v>
                </c:pt>
                <c:pt idx="103">
                  <c:v>76.196749999999994</c:v>
                </c:pt>
                <c:pt idx="104">
                  <c:v>72.912000000000006</c:v>
                </c:pt>
                <c:pt idx="105">
                  <c:v>74.035250000000005</c:v>
                </c:pt>
                <c:pt idx="106">
                  <c:v>78.511250000000004</c:v>
                </c:pt>
                <c:pt idx="107">
                  <c:v>78.964500000000001</c:v>
                </c:pt>
                <c:pt idx="108">
                  <c:v>75.937250000000006</c:v>
                </c:pt>
                <c:pt idx="109">
                  <c:v>76.170500000000004</c:v>
                </c:pt>
                <c:pt idx="110">
                  <c:v>68.457250000000002</c:v>
                </c:pt>
                <c:pt idx="111">
                  <c:v>75.662750000000003</c:v>
                </c:pt>
                <c:pt idx="112">
                  <c:v>64.781000000000006</c:v>
                </c:pt>
                <c:pt idx="113">
                  <c:v>59.510249999999999</c:v>
                </c:pt>
                <c:pt idx="114">
                  <c:v>52.519000000000005</c:v>
                </c:pt>
                <c:pt idx="115">
                  <c:v>53.478250000000003</c:v>
                </c:pt>
                <c:pt idx="116">
                  <c:v>57.674750000000003</c:v>
                </c:pt>
                <c:pt idx="117">
                  <c:v>76.181250000000006</c:v>
                </c:pt>
                <c:pt idx="118">
                  <c:v>73.251249999999999</c:v>
                </c:pt>
                <c:pt idx="119">
                  <c:v>66.178749999999994</c:v>
                </c:pt>
                <c:pt idx="120">
                  <c:v>68.671999999999997</c:v>
                </c:pt>
                <c:pt idx="121">
                  <c:v>63.932249999999996</c:v>
                </c:pt>
                <c:pt idx="122">
                  <c:v>67.418499999999995</c:v>
                </c:pt>
                <c:pt idx="123">
                  <c:v>60.915499999999994</c:v>
                </c:pt>
                <c:pt idx="124">
                  <c:v>71.373249999999999</c:v>
                </c:pt>
                <c:pt idx="125">
                  <c:v>60.248000000000005</c:v>
                </c:pt>
                <c:pt idx="126">
                  <c:v>64.083749999999995</c:v>
                </c:pt>
                <c:pt idx="127">
                  <c:v>65.379000000000005</c:v>
                </c:pt>
                <c:pt idx="128">
                  <c:v>63.595749999999995</c:v>
                </c:pt>
                <c:pt idx="129">
                  <c:v>62.522000000000006</c:v>
                </c:pt>
                <c:pt idx="130">
                  <c:v>67.867750000000001</c:v>
                </c:pt>
                <c:pt idx="131">
                  <c:v>59.270499999999998</c:v>
                </c:pt>
                <c:pt idx="132">
                  <c:v>62.392499999999998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EC-444C-876A-0DD653543E57}"/>
            </c:ext>
          </c:extLst>
        </c:ser>
        <c:ser>
          <c:idx val="2"/>
          <c:order val="2"/>
          <c:tx>
            <c:strRef>
              <c:f>SICA_preadjustement!$P$1</c:f>
              <c:strCache>
                <c:ptCount val="1"/>
                <c:pt idx="0">
                  <c:v>GRtemp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2926625734838207E-2"/>
                  <c:y val="-0.264370407343828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SICA_preadjustement!$P$2:$P$343</c:f>
              <c:numCache>
                <c:formatCode>General</c:formatCode>
                <c:ptCount val="342"/>
                <c:pt idx="133">
                  <c:v>42.751000000000005</c:v>
                </c:pt>
                <c:pt idx="134">
                  <c:v>47.630250000000004</c:v>
                </c:pt>
                <c:pt idx="135">
                  <c:v>45.341750000000005</c:v>
                </c:pt>
                <c:pt idx="136">
                  <c:v>48.91225</c:v>
                </c:pt>
                <c:pt idx="137">
                  <c:v>47.5655</c:v>
                </c:pt>
                <c:pt idx="138">
                  <c:v>44.858000000000004</c:v>
                </c:pt>
                <c:pt idx="139">
                  <c:v>49.738500000000002</c:v>
                </c:pt>
                <c:pt idx="140">
                  <c:v>49.403750000000002</c:v>
                </c:pt>
                <c:pt idx="141">
                  <c:v>46.037000000000006</c:v>
                </c:pt>
                <c:pt idx="142">
                  <c:v>43.385249999999999</c:v>
                </c:pt>
                <c:pt idx="143">
                  <c:v>45.3</c:v>
                </c:pt>
                <c:pt idx="144">
                  <c:v>45.084000000000003</c:v>
                </c:pt>
                <c:pt idx="145">
                  <c:v>74.791250000000005</c:v>
                </c:pt>
                <c:pt idx="146">
                  <c:v>78.037499999999994</c:v>
                </c:pt>
                <c:pt idx="147">
                  <c:v>79.782749999999993</c:v>
                </c:pt>
                <c:pt idx="148">
                  <c:v>72.612250000000003</c:v>
                </c:pt>
                <c:pt idx="149">
                  <c:v>75.768000000000001</c:v>
                </c:pt>
                <c:pt idx="150">
                  <c:v>77.521500000000003</c:v>
                </c:pt>
                <c:pt idx="151">
                  <c:v>80.322249999999997</c:v>
                </c:pt>
                <c:pt idx="152">
                  <c:v>67.971000000000004</c:v>
                </c:pt>
                <c:pt idx="153">
                  <c:v>80.494749999999996</c:v>
                </c:pt>
                <c:pt idx="154">
                  <c:v>74.242000000000004</c:v>
                </c:pt>
                <c:pt idx="155">
                  <c:v>73.169499999999999</c:v>
                </c:pt>
                <c:pt idx="156">
                  <c:v>75.358999999999995</c:v>
                </c:pt>
                <c:pt idx="157">
                  <c:v>69.527500000000003</c:v>
                </c:pt>
                <c:pt idx="158">
                  <c:v>74.111500000000007</c:v>
                </c:pt>
                <c:pt idx="159">
                  <c:v>76.056250000000006</c:v>
                </c:pt>
                <c:pt idx="160">
                  <c:v>71.962999999999994</c:v>
                </c:pt>
                <c:pt idx="161">
                  <c:v>80.514750000000006</c:v>
                </c:pt>
                <c:pt idx="162">
                  <c:v>71.192999999999998</c:v>
                </c:pt>
                <c:pt idx="163">
                  <c:v>75.853250000000003</c:v>
                </c:pt>
                <c:pt idx="164">
                  <c:v>72.339749999999995</c:v>
                </c:pt>
                <c:pt idx="165">
                  <c:v>73.5715</c:v>
                </c:pt>
                <c:pt idx="166">
                  <c:v>75.248500000000007</c:v>
                </c:pt>
                <c:pt idx="167">
                  <c:v>73.808999999999997</c:v>
                </c:pt>
                <c:pt idx="168">
                  <c:v>73.996250000000003</c:v>
                </c:pt>
                <c:pt idx="169">
                  <c:v>72.671499999999995</c:v>
                </c:pt>
                <c:pt idx="170">
                  <c:v>80.028750000000002</c:v>
                </c:pt>
                <c:pt idx="171">
                  <c:v>75.295249999999996</c:v>
                </c:pt>
                <c:pt idx="172">
                  <c:v>76.283749999999998</c:v>
                </c:pt>
                <c:pt idx="173">
                  <c:v>63.750500000000002</c:v>
                </c:pt>
                <c:pt idx="174">
                  <c:v>74.728499999999997</c:v>
                </c:pt>
                <c:pt idx="175">
                  <c:v>65.597499999999997</c:v>
                </c:pt>
                <c:pt idx="176">
                  <c:v>73.080749999999995</c:v>
                </c:pt>
                <c:pt idx="177">
                  <c:v>69.008499999999998</c:v>
                </c:pt>
                <c:pt idx="178">
                  <c:v>70.129750000000001</c:v>
                </c:pt>
                <c:pt idx="179">
                  <c:v>76.807749999999999</c:v>
                </c:pt>
                <c:pt idx="180">
                  <c:v>74.134249999999994</c:v>
                </c:pt>
                <c:pt idx="181">
                  <c:v>75.284000000000006</c:v>
                </c:pt>
                <c:pt idx="182">
                  <c:v>68.863749999999996</c:v>
                </c:pt>
                <c:pt idx="183">
                  <c:v>55.849999999999994</c:v>
                </c:pt>
                <c:pt idx="184">
                  <c:v>56.75</c:v>
                </c:pt>
                <c:pt idx="185">
                  <c:v>55.974999999999994</c:v>
                </c:pt>
                <c:pt idx="186">
                  <c:v>65.349999999999994</c:v>
                </c:pt>
                <c:pt idx="187">
                  <c:v>72.95</c:v>
                </c:pt>
                <c:pt idx="188">
                  <c:v>58.924999999999997</c:v>
                </c:pt>
                <c:pt idx="189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EC-444C-876A-0DD653543E57}"/>
            </c:ext>
          </c:extLst>
        </c:ser>
        <c:ser>
          <c:idx val="3"/>
          <c:order val="3"/>
          <c:tx>
            <c:strRef>
              <c:f>SICA_preadjustement!$Q$1</c:f>
              <c:strCache>
                <c:ptCount val="1"/>
                <c:pt idx="0">
                  <c:v>GRMS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SICA_preadjustement!$L$2:$L$343</c:f>
              <c:numCache>
                <c:formatCode>General</c:formatCode>
                <c:ptCount val="342"/>
                <c:pt idx="0">
                  <c:v>-0.26209078702289057</c:v>
                </c:pt>
                <c:pt idx="1">
                  <c:v>-0.26209078702289057</c:v>
                </c:pt>
                <c:pt idx="2">
                  <c:v>-0.26209078702289057</c:v>
                </c:pt>
                <c:pt idx="3">
                  <c:v>-0.26209078702289057</c:v>
                </c:pt>
                <c:pt idx="4">
                  <c:v>-0.26209078702289057</c:v>
                </c:pt>
                <c:pt idx="5">
                  <c:v>-0.26209078702289057</c:v>
                </c:pt>
                <c:pt idx="6">
                  <c:v>-0.26209078702289057</c:v>
                </c:pt>
                <c:pt idx="7">
                  <c:v>-0.26209078702289057</c:v>
                </c:pt>
                <c:pt idx="8">
                  <c:v>-0.26209078702289057</c:v>
                </c:pt>
                <c:pt idx="9">
                  <c:v>-0.26209078702289057</c:v>
                </c:pt>
                <c:pt idx="10">
                  <c:v>-0.26209078702289057</c:v>
                </c:pt>
                <c:pt idx="11">
                  <c:v>-0.26209078702289057</c:v>
                </c:pt>
                <c:pt idx="12">
                  <c:v>-0.26209078702289057</c:v>
                </c:pt>
                <c:pt idx="13">
                  <c:v>-0.26209078702289057</c:v>
                </c:pt>
                <c:pt idx="14">
                  <c:v>-0.26209078702289057</c:v>
                </c:pt>
                <c:pt idx="15">
                  <c:v>-0.26209078702289057</c:v>
                </c:pt>
                <c:pt idx="16">
                  <c:v>-0.26209078702289057</c:v>
                </c:pt>
                <c:pt idx="17">
                  <c:v>-0.26209078702289057</c:v>
                </c:pt>
                <c:pt idx="18">
                  <c:v>-0.26209078702289057</c:v>
                </c:pt>
                <c:pt idx="19">
                  <c:v>-0.26209078702289057</c:v>
                </c:pt>
                <c:pt idx="20">
                  <c:v>2.5401089790055291</c:v>
                </c:pt>
                <c:pt idx="21">
                  <c:v>2.5401089790055291</c:v>
                </c:pt>
                <c:pt idx="22">
                  <c:v>2.5401089790055291</c:v>
                </c:pt>
                <c:pt idx="23">
                  <c:v>2.5401089790055291</c:v>
                </c:pt>
                <c:pt idx="24">
                  <c:v>2.5401089790055291</c:v>
                </c:pt>
                <c:pt idx="25">
                  <c:v>2.5401089790055291</c:v>
                </c:pt>
                <c:pt idx="26">
                  <c:v>2.5401089790055291</c:v>
                </c:pt>
                <c:pt idx="27">
                  <c:v>2.5401089790055291</c:v>
                </c:pt>
                <c:pt idx="28">
                  <c:v>2.5401089790055291</c:v>
                </c:pt>
                <c:pt idx="29">
                  <c:v>2.5401089790055291</c:v>
                </c:pt>
                <c:pt idx="30">
                  <c:v>2.5401089790055291</c:v>
                </c:pt>
                <c:pt idx="31">
                  <c:v>2.5401089790055291</c:v>
                </c:pt>
                <c:pt idx="32">
                  <c:v>2.5401089790055291</c:v>
                </c:pt>
                <c:pt idx="33">
                  <c:v>2.5401089790055291</c:v>
                </c:pt>
                <c:pt idx="34">
                  <c:v>7.5508093557431897</c:v>
                </c:pt>
                <c:pt idx="35">
                  <c:v>7.5508093557431897</c:v>
                </c:pt>
                <c:pt idx="36">
                  <c:v>7.5508093557431897</c:v>
                </c:pt>
                <c:pt idx="37">
                  <c:v>7.5508093557431897</c:v>
                </c:pt>
                <c:pt idx="38">
                  <c:v>7.5508093557431897</c:v>
                </c:pt>
                <c:pt idx="39">
                  <c:v>7.5508093557431897</c:v>
                </c:pt>
                <c:pt idx="40">
                  <c:v>7.5508093557431897</c:v>
                </c:pt>
                <c:pt idx="41">
                  <c:v>7.5508093557431897</c:v>
                </c:pt>
                <c:pt idx="42">
                  <c:v>7.5508093557431897</c:v>
                </c:pt>
                <c:pt idx="43">
                  <c:v>7.5508093557431897</c:v>
                </c:pt>
                <c:pt idx="44">
                  <c:v>7.5508093557431897</c:v>
                </c:pt>
                <c:pt idx="45">
                  <c:v>7.5508093557431897</c:v>
                </c:pt>
                <c:pt idx="46">
                  <c:v>11.545709190087079</c:v>
                </c:pt>
                <c:pt idx="47">
                  <c:v>11.545709190087079</c:v>
                </c:pt>
                <c:pt idx="48">
                  <c:v>11.545709190087079</c:v>
                </c:pt>
                <c:pt idx="49">
                  <c:v>11.545709190087079</c:v>
                </c:pt>
                <c:pt idx="50">
                  <c:v>11.545709190087079</c:v>
                </c:pt>
                <c:pt idx="51">
                  <c:v>11.545709190087079</c:v>
                </c:pt>
                <c:pt idx="52">
                  <c:v>11.545709190087079</c:v>
                </c:pt>
                <c:pt idx="53">
                  <c:v>11.545709190087079</c:v>
                </c:pt>
                <c:pt idx="54">
                  <c:v>11.545709190087079</c:v>
                </c:pt>
                <c:pt idx="55">
                  <c:v>11.545709190087079</c:v>
                </c:pt>
                <c:pt idx="56">
                  <c:v>11.545709190087079</c:v>
                </c:pt>
                <c:pt idx="57">
                  <c:v>11.545709190087079</c:v>
                </c:pt>
                <c:pt idx="58">
                  <c:v>11.545709190087079</c:v>
                </c:pt>
                <c:pt idx="59">
                  <c:v>11.545709190087079</c:v>
                </c:pt>
                <c:pt idx="60">
                  <c:v>20.52670868208779</c:v>
                </c:pt>
                <c:pt idx="61">
                  <c:v>20.52670868208779</c:v>
                </c:pt>
                <c:pt idx="62">
                  <c:v>20.52670868208779</c:v>
                </c:pt>
                <c:pt idx="63">
                  <c:v>20.52670868208779</c:v>
                </c:pt>
                <c:pt idx="64">
                  <c:v>20.52670868208779</c:v>
                </c:pt>
                <c:pt idx="65">
                  <c:v>20.52670868208779</c:v>
                </c:pt>
                <c:pt idx="66">
                  <c:v>20.52670868208779</c:v>
                </c:pt>
                <c:pt idx="67">
                  <c:v>20.52670868208779</c:v>
                </c:pt>
                <c:pt idx="68">
                  <c:v>20.52670868208779</c:v>
                </c:pt>
                <c:pt idx="69">
                  <c:v>20.52670868208779</c:v>
                </c:pt>
                <c:pt idx="70">
                  <c:v>20.52670868208779</c:v>
                </c:pt>
                <c:pt idx="71">
                  <c:v>20.52670868208779</c:v>
                </c:pt>
                <c:pt idx="72">
                  <c:v>20.52670868208779</c:v>
                </c:pt>
                <c:pt idx="73">
                  <c:v>20.52670868208779</c:v>
                </c:pt>
                <c:pt idx="74">
                  <c:v>20.52670868208779</c:v>
                </c:pt>
                <c:pt idx="75">
                  <c:v>20.52670868208779</c:v>
                </c:pt>
                <c:pt idx="76">
                  <c:v>20.52670868208779</c:v>
                </c:pt>
                <c:pt idx="77">
                  <c:v>20.52670868208779</c:v>
                </c:pt>
                <c:pt idx="78">
                  <c:v>20.52670868208779</c:v>
                </c:pt>
                <c:pt idx="79">
                  <c:v>20.52670868208779</c:v>
                </c:pt>
                <c:pt idx="80">
                  <c:v>20.52670868208779</c:v>
                </c:pt>
                <c:pt idx="81">
                  <c:v>-0.26729089138221029</c:v>
                </c:pt>
                <c:pt idx="82">
                  <c:v>-0.26729089138221029</c:v>
                </c:pt>
                <c:pt idx="83">
                  <c:v>-0.26729089138221029</c:v>
                </c:pt>
                <c:pt idx="84">
                  <c:v>-0.26729089138221029</c:v>
                </c:pt>
                <c:pt idx="85">
                  <c:v>-0.26729089138221029</c:v>
                </c:pt>
                <c:pt idx="86">
                  <c:v>-0.26729089138221029</c:v>
                </c:pt>
                <c:pt idx="87">
                  <c:v>-0.26729089138221029</c:v>
                </c:pt>
                <c:pt idx="88">
                  <c:v>-0.26729089138221029</c:v>
                </c:pt>
                <c:pt idx="89">
                  <c:v>-0.26729089138221029</c:v>
                </c:pt>
                <c:pt idx="90">
                  <c:v>-0.26729089138221029</c:v>
                </c:pt>
                <c:pt idx="91">
                  <c:v>-0.26729089138221029</c:v>
                </c:pt>
                <c:pt idx="92">
                  <c:v>-0.18248721508698099</c:v>
                </c:pt>
                <c:pt idx="93">
                  <c:v>-0.18248721508698099</c:v>
                </c:pt>
                <c:pt idx="94">
                  <c:v>-0.18248721508698099</c:v>
                </c:pt>
                <c:pt idx="95">
                  <c:v>-0.18248721508698099</c:v>
                </c:pt>
                <c:pt idx="96">
                  <c:v>-0.18248721508698099</c:v>
                </c:pt>
                <c:pt idx="97">
                  <c:v>-0.18248721508698099</c:v>
                </c:pt>
                <c:pt idx="98">
                  <c:v>-0.18248721508698099</c:v>
                </c:pt>
                <c:pt idx="99">
                  <c:v>-0.18248721508698099</c:v>
                </c:pt>
                <c:pt idx="100">
                  <c:v>-5.297965907691074E-2</c:v>
                </c:pt>
                <c:pt idx="101">
                  <c:v>-5.297965907691074E-2</c:v>
                </c:pt>
                <c:pt idx="102">
                  <c:v>-5.297965907691074E-2</c:v>
                </c:pt>
                <c:pt idx="103">
                  <c:v>-5.297965907691074E-2</c:v>
                </c:pt>
                <c:pt idx="104">
                  <c:v>-5.297965907691074E-2</c:v>
                </c:pt>
                <c:pt idx="105">
                  <c:v>-5.297965907691074E-2</c:v>
                </c:pt>
                <c:pt idx="106">
                  <c:v>-5.297965907691074E-2</c:v>
                </c:pt>
                <c:pt idx="107">
                  <c:v>-5.297965907691074E-2</c:v>
                </c:pt>
                <c:pt idx="108">
                  <c:v>-5.297965907691074E-2</c:v>
                </c:pt>
                <c:pt idx="109">
                  <c:v>8.9252168417994771E-3</c:v>
                </c:pt>
                <c:pt idx="110">
                  <c:v>8.9252168417994771E-3</c:v>
                </c:pt>
                <c:pt idx="111">
                  <c:v>8.9252168417994771E-3</c:v>
                </c:pt>
                <c:pt idx="112">
                  <c:v>8.9252168417994771E-3</c:v>
                </c:pt>
                <c:pt idx="113">
                  <c:v>8.9252168417994771E-3</c:v>
                </c:pt>
                <c:pt idx="114">
                  <c:v>8.9252168417994771E-3</c:v>
                </c:pt>
                <c:pt idx="115">
                  <c:v>8.9252168417994771E-3</c:v>
                </c:pt>
                <c:pt idx="116">
                  <c:v>8.9252168417994771E-3</c:v>
                </c:pt>
                <c:pt idx="117">
                  <c:v>8.9252168417994771E-3</c:v>
                </c:pt>
                <c:pt idx="118">
                  <c:v>8.9252168417994771E-3</c:v>
                </c:pt>
                <c:pt idx="119">
                  <c:v>5.4830259856209373E-2</c:v>
                </c:pt>
                <c:pt idx="120">
                  <c:v>5.4830259856209373E-2</c:v>
                </c:pt>
                <c:pt idx="121">
                  <c:v>5.4830259856209373E-2</c:v>
                </c:pt>
                <c:pt idx="122">
                  <c:v>5.4830259856209373E-2</c:v>
                </c:pt>
                <c:pt idx="123">
                  <c:v>5.4830259856209373E-2</c:v>
                </c:pt>
                <c:pt idx="124">
                  <c:v>5.4830259856209373E-2</c:v>
                </c:pt>
                <c:pt idx="125">
                  <c:v>5.4830259856209373E-2</c:v>
                </c:pt>
                <c:pt idx="126">
                  <c:v>5.4830259856209373E-2</c:v>
                </c:pt>
                <c:pt idx="127">
                  <c:v>5.4830259856209373E-2</c:v>
                </c:pt>
                <c:pt idx="128">
                  <c:v>5.4830259856209373E-2</c:v>
                </c:pt>
                <c:pt idx="129">
                  <c:v>5.4830259856209373E-2</c:v>
                </c:pt>
                <c:pt idx="130">
                  <c:v>5.4830259856209373E-2</c:v>
                </c:pt>
                <c:pt idx="131">
                  <c:v>5.4830259856209373E-2</c:v>
                </c:pt>
                <c:pt idx="132">
                  <c:v>5.4830259856209373E-2</c:v>
                </c:pt>
                <c:pt idx="133">
                  <c:v>-7.7161933256098596</c:v>
                </c:pt>
                <c:pt idx="134">
                  <c:v>-7.7161933256098596</c:v>
                </c:pt>
                <c:pt idx="135">
                  <c:v>-7.7161933256098596</c:v>
                </c:pt>
                <c:pt idx="136">
                  <c:v>-7.7161933256098596</c:v>
                </c:pt>
                <c:pt idx="137">
                  <c:v>-7.7161933256098596</c:v>
                </c:pt>
                <c:pt idx="138">
                  <c:v>-7.7161933256098596</c:v>
                </c:pt>
                <c:pt idx="139">
                  <c:v>-7.7161933256098596</c:v>
                </c:pt>
                <c:pt idx="140">
                  <c:v>-7.7161933256098596</c:v>
                </c:pt>
                <c:pt idx="141">
                  <c:v>-7.7161933256098596</c:v>
                </c:pt>
                <c:pt idx="142">
                  <c:v>-7.7161933256098596</c:v>
                </c:pt>
                <c:pt idx="143">
                  <c:v>-7.7161933256098596</c:v>
                </c:pt>
                <c:pt idx="144">
                  <c:v>-7.7161933256098596</c:v>
                </c:pt>
                <c:pt idx="145">
                  <c:v>-4.1055920811269289</c:v>
                </c:pt>
                <c:pt idx="146">
                  <c:v>-4.1055920811269289</c:v>
                </c:pt>
                <c:pt idx="147">
                  <c:v>-4.1055920811269289</c:v>
                </c:pt>
                <c:pt idx="148">
                  <c:v>-4.1055920811269289</c:v>
                </c:pt>
                <c:pt idx="149">
                  <c:v>-4.1055920811269289</c:v>
                </c:pt>
                <c:pt idx="150">
                  <c:v>-4.1055920811269289</c:v>
                </c:pt>
                <c:pt idx="151">
                  <c:v>-4.1055920811269289</c:v>
                </c:pt>
                <c:pt idx="152">
                  <c:v>-4.1055920811269289</c:v>
                </c:pt>
                <c:pt idx="153">
                  <c:v>-4.1055920811269289</c:v>
                </c:pt>
                <c:pt idx="154">
                  <c:v>-4.1055920811269289</c:v>
                </c:pt>
                <c:pt idx="155">
                  <c:v>-4.1055920811269289</c:v>
                </c:pt>
                <c:pt idx="156">
                  <c:v>-4.1055920811269289</c:v>
                </c:pt>
                <c:pt idx="157">
                  <c:v>-0.2830919045532998</c:v>
                </c:pt>
                <c:pt idx="158">
                  <c:v>-0.2830919045532998</c:v>
                </c:pt>
                <c:pt idx="159">
                  <c:v>-0.2830919045532998</c:v>
                </c:pt>
                <c:pt idx="160">
                  <c:v>-0.2830919045532998</c:v>
                </c:pt>
                <c:pt idx="161">
                  <c:v>-0.2830919045532998</c:v>
                </c:pt>
                <c:pt idx="162">
                  <c:v>-0.2830919045532998</c:v>
                </c:pt>
                <c:pt idx="163">
                  <c:v>-0.2830919045532998</c:v>
                </c:pt>
                <c:pt idx="164">
                  <c:v>-0.2830919045532998</c:v>
                </c:pt>
                <c:pt idx="165">
                  <c:v>-0.2830919045532998</c:v>
                </c:pt>
                <c:pt idx="166">
                  <c:v>-0.2830919045532998</c:v>
                </c:pt>
                <c:pt idx="167">
                  <c:v>-0.2830919045532998</c:v>
                </c:pt>
                <c:pt idx="168">
                  <c:v>-0.2830919045532998</c:v>
                </c:pt>
                <c:pt idx="169">
                  <c:v>-0.2830919045532998</c:v>
                </c:pt>
                <c:pt idx="170">
                  <c:v>-0.2830919045532998</c:v>
                </c:pt>
                <c:pt idx="171">
                  <c:v>-0.2830919045532998</c:v>
                </c:pt>
                <c:pt idx="172">
                  <c:v>-0.2830919045532998</c:v>
                </c:pt>
                <c:pt idx="173">
                  <c:v>5.115909336324151</c:v>
                </c:pt>
                <c:pt idx="174">
                  <c:v>5.115909336324151</c:v>
                </c:pt>
                <c:pt idx="175">
                  <c:v>5.115909336324151</c:v>
                </c:pt>
                <c:pt idx="176">
                  <c:v>5.115909336324151</c:v>
                </c:pt>
                <c:pt idx="177">
                  <c:v>5.115909336324151</c:v>
                </c:pt>
                <c:pt idx="178">
                  <c:v>5.115909336324151</c:v>
                </c:pt>
                <c:pt idx="179">
                  <c:v>5.115909336324151</c:v>
                </c:pt>
                <c:pt idx="180">
                  <c:v>5.115909336324151</c:v>
                </c:pt>
                <c:pt idx="181">
                  <c:v>5.115909336324151</c:v>
                </c:pt>
                <c:pt idx="182">
                  <c:v>5.115909336324151</c:v>
                </c:pt>
                <c:pt idx="183">
                  <c:v>10.17650839987555</c:v>
                </c:pt>
                <c:pt idx="184">
                  <c:v>10.17650839987555</c:v>
                </c:pt>
                <c:pt idx="185">
                  <c:v>10.17650839987555</c:v>
                </c:pt>
                <c:pt idx="186">
                  <c:v>10.17650839987555</c:v>
                </c:pt>
                <c:pt idx="187">
                  <c:v>10.17650839987555</c:v>
                </c:pt>
                <c:pt idx="188">
                  <c:v>10.17650839987555</c:v>
                </c:pt>
                <c:pt idx="189">
                  <c:v>10.17650839987555</c:v>
                </c:pt>
                <c:pt idx="190">
                  <c:v>0.84368517400000043</c:v>
                </c:pt>
                <c:pt idx="191">
                  <c:v>0.84368517400000043</c:v>
                </c:pt>
                <c:pt idx="192">
                  <c:v>0.84368517400000043</c:v>
                </c:pt>
                <c:pt idx="193">
                  <c:v>0.84368517400000043</c:v>
                </c:pt>
                <c:pt idx="194">
                  <c:v>0.84368517400000043</c:v>
                </c:pt>
                <c:pt idx="195">
                  <c:v>0.84368517400000043</c:v>
                </c:pt>
                <c:pt idx="196">
                  <c:v>0.84368517400000043</c:v>
                </c:pt>
                <c:pt idx="197">
                  <c:v>0.84368517400000043</c:v>
                </c:pt>
                <c:pt idx="198">
                  <c:v>0.84368517400000043</c:v>
                </c:pt>
                <c:pt idx="199">
                  <c:v>0.84368517400000043</c:v>
                </c:pt>
                <c:pt idx="200">
                  <c:v>0.84368517400000043</c:v>
                </c:pt>
                <c:pt idx="201">
                  <c:v>1.0336851739999997</c:v>
                </c:pt>
                <c:pt idx="202">
                  <c:v>1.0336851739999997</c:v>
                </c:pt>
                <c:pt idx="203">
                  <c:v>1.0336851739999997</c:v>
                </c:pt>
                <c:pt idx="204">
                  <c:v>1.0336851739999997</c:v>
                </c:pt>
                <c:pt idx="205">
                  <c:v>7.4614911910000012</c:v>
                </c:pt>
                <c:pt idx="206">
                  <c:v>7.4614911910000012</c:v>
                </c:pt>
                <c:pt idx="207">
                  <c:v>7.4614911910000012</c:v>
                </c:pt>
                <c:pt idx="208">
                  <c:v>7.4614911910000012</c:v>
                </c:pt>
                <c:pt idx="209">
                  <c:v>7.4614911910000012</c:v>
                </c:pt>
                <c:pt idx="210">
                  <c:v>7.4614911910000012</c:v>
                </c:pt>
                <c:pt idx="211">
                  <c:v>7.4614911910000012</c:v>
                </c:pt>
                <c:pt idx="212">
                  <c:v>7.4614911910000012</c:v>
                </c:pt>
                <c:pt idx="213">
                  <c:v>7.4614911910000012</c:v>
                </c:pt>
                <c:pt idx="214">
                  <c:v>7.4614911910000012</c:v>
                </c:pt>
                <c:pt idx="215">
                  <c:v>8.3614911909999989</c:v>
                </c:pt>
                <c:pt idx="216">
                  <c:v>8.3614911909999989</c:v>
                </c:pt>
                <c:pt idx="217">
                  <c:v>8.3614911909999989</c:v>
                </c:pt>
                <c:pt idx="218">
                  <c:v>8.3614911909999989</c:v>
                </c:pt>
                <c:pt idx="219">
                  <c:v>8.3614911909999989</c:v>
                </c:pt>
                <c:pt idx="220">
                  <c:v>8.3614911909999989</c:v>
                </c:pt>
                <c:pt idx="221">
                  <c:v>8.3614911909999989</c:v>
                </c:pt>
                <c:pt idx="222">
                  <c:v>8.3614911909999989</c:v>
                </c:pt>
                <c:pt idx="223">
                  <c:v>5.7475061350000001</c:v>
                </c:pt>
                <c:pt idx="224">
                  <c:v>5.7475061350000001</c:v>
                </c:pt>
                <c:pt idx="225">
                  <c:v>5.7475061350000001</c:v>
                </c:pt>
                <c:pt idx="226">
                  <c:v>5.7475061350000001</c:v>
                </c:pt>
                <c:pt idx="227">
                  <c:v>5.7475061350000001</c:v>
                </c:pt>
                <c:pt idx="228">
                  <c:v>5.7475061350000001</c:v>
                </c:pt>
                <c:pt idx="229">
                  <c:v>5.7475061350000001</c:v>
                </c:pt>
                <c:pt idx="230">
                  <c:v>5.7475061350000001</c:v>
                </c:pt>
                <c:pt idx="231">
                  <c:v>5.7475061350000001</c:v>
                </c:pt>
                <c:pt idx="232">
                  <c:v>5.7475061350000001</c:v>
                </c:pt>
                <c:pt idx="233">
                  <c:v>5.7475061350000001</c:v>
                </c:pt>
                <c:pt idx="234">
                  <c:v>5.7475061350000001</c:v>
                </c:pt>
                <c:pt idx="235">
                  <c:v>5.6508375609999986</c:v>
                </c:pt>
                <c:pt idx="236">
                  <c:v>5.6508375609999986</c:v>
                </c:pt>
                <c:pt idx="237">
                  <c:v>5.6508375609999986</c:v>
                </c:pt>
                <c:pt idx="238">
                  <c:v>5.6508375609999986</c:v>
                </c:pt>
                <c:pt idx="239">
                  <c:v>5.6508375609999986</c:v>
                </c:pt>
                <c:pt idx="240">
                  <c:v>5.6508375609999986</c:v>
                </c:pt>
                <c:pt idx="241">
                  <c:v>5.6508375609999986</c:v>
                </c:pt>
                <c:pt idx="242">
                  <c:v>5.6508375609999986</c:v>
                </c:pt>
                <c:pt idx="243">
                  <c:v>5.6508375609999986</c:v>
                </c:pt>
                <c:pt idx="244">
                  <c:v>5.6508375609999986</c:v>
                </c:pt>
                <c:pt idx="245">
                  <c:v>5.6508375609999986</c:v>
                </c:pt>
                <c:pt idx="246">
                  <c:v>5.6508375609999986</c:v>
                </c:pt>
                <c:pt idx="247">
                  <c:v>5.6508375609999986</c:v>
                </c:pt>
                <c:pt idx="248">
                  <c:v>5.6508375609999986</c:v>
                </c:pt>
                <c:pt idx="249">
                  <c:v>5.6508375609999986</c:v>
                </c:pt>
                <c:pt idx="250">
                  <c:v>12.256772075999999</c:v>
                </c:pt>
                <c:pt idx="251">
                  <c:v>12.256772075999999</c:v>
                </c:pt>
                <c:pt idx="252">
                  <c:v>12.256772075999999</c:v>
                </c:pt>
                <c:pt idx="253">
                  <c:v>12.256772075999999</c:v>
                </c:pt>
                <c:pt idx="254">
                  <c:v>12.256772075999999</c:v>
                </c:pt>
                <c:pt idx="255">
                  <c:v>12.256772075999999</c:v>
                </c:pt>
                <c:pt idx="256">
                  <c:v>12.256772075999999</c:v>
                </c:pt>
                <c:pt idx="257">
                  <c:v>12.256772075999999</c:v>
                </c:pt>
                <c:pt idx="258">
                  <c:v>12.256772075999999</c:v>
                </c:pt>
                <c:pt idx="259">
                  <c:v>12.256772075999999</c:v>
                </c:pt>
                <c:pt idx="260">
                  <c:v>12.256772075999999</c:v>
                </c:pt>
                <c:pt idx="261">
                  <c:v>12.154834440000002</c:v>
                </c:pt>
                <c:pt idx="262">
                  <c:v>12.154834440000002</c:v>
                </c:pt>
                <c:pt idx="263">
                  <c:v>12.154834440000002</c:v>
                </c:pt>
                <c:pt idx="264">
                  <c:v>12.154834440000002</c:v>
                </c:pt>
                <c:pt idx="265">
                  <c:v>12.154834440000002</c:v>
                </c:pt>
                <c:pt idx="266">
                  <c:v>12.154834440000002</c:v>
                </c:pt>
                <c:pt idx="267">
                  <c:v>12.154834440000002</c:v>
                </c:pt>
                <c:pt idx="268">
                  <c:v>12.154834440000002</c:v>
                </c:pt>
                <c:pt idx="269">
                  <c:v>0.94711678699999902</c:v>
                </c:pt>
                <c:pt idx="270">
                  <c:v>0.94711678699999902</c:v>
                </c:pt>
                <c:pt idx="271">
                  <c:v>0.94711678699999902</c:v>
                </c:pt>
                <c:pt idx="272">
                  <c:v>0.94711678699999902</c:v>
                </c:pt>
                <c:pt idx="273">
                  <c:v>0.94711678699999902</c:v>
                </c:pt>
                <c:pt idx="274">
                  <c:v>0.94711678699999902</c:v>
                </c:pt>
                <c:pt idx="275">
                  <c:v>0.94711678699999902</c:v>
                </c:pt>
                <c:pt idx="276">
                  <c:v>0.94711678699999902</c:v>
                </c:pt>
                <c:pt idx="277">
                  <c:v>0.94711678699999902</c:v>
                </c:pt>
                <c:pt idx="278">
                  <c:v>0.73843546899999901</c:v>
                </c:pt>
                <c:pt idx="279">
                  <c:v>0.73843546899999901</c:v>
                </c:pt>
                <c:pt idx="280">
                  <c:v>0.73843546899999901</c:v>
                </c:pt>
                <c:pt idx="281">
                  <c:v>0.73843546899999901</c:v>
                </c:pt>
                <c:pt idx="282">
                  <c:v>0.73843546899999901</c:v>
                </c:pt>
                <c:pt idx="283">
                  <c:v>0.73843546899999901</c:v>
                </c:pt>
                <c:pt idx="284">
                  <c:v>0.73843546899999901</c:v>
                </c:pt>
                <c:pt idx="285">
                  <c:v>0.73843546899999901</c:v>
                </c:pt>
                <c:pt idx="286">
                  <c:v>0.73843546899999901</c:v>
                </c:pt>
                <c:pt idx="287">
                  <c:v>0.73843546899999901</c:v>
                </c:pt>
                <c:pt idx="288">
                  <c:v>7.950058309000001</c:v>
                </c:pt>
                <c:pt idx="289">
                  <c:v>7.950058309000001</c:v>
                </c:pt>
                <c:pt idx="290">
                  <c:v>7.950058309000001</c:v>
                </c:pt>
                <c:pt idx="291">
                  <c:v>7.950058309000001</c:v>
                </c:pt>
                <c:pt idx="292">
                  <c:v>7.950058309000001</c:v>
                </c:pt>
                <c:pt idx="293">
                  <c:v>7.950058309000001</c:v>
                </c:pt>
                <c:pt idx="294">
                  <c:v>8.6500583090000003</c:v>
                </c:pt>
                <c:pt idx="295">
                  <c:v>8.6500583090000003</c:v>
                </c:pt>
                <c:pt idx="296">
                  <c:v>8.6500583090000003</c:v>
                </c:pt>
                <c:pt idx="297">
                  <c:v>8.6500583090000003</c:v>
                </c:pt>
                <c:pt idx="298">
                  <c:v>8.6500583090000003</c:v>
                </c:pt>
                <c:pt idx="299">
                  <c:v>8.6500583090000003</c:v>
                </c:pt>
                <c:pt idx="300">
                  <c:v>8.6500583090000003</c:v>
                </c:pt>
                <c:pt idx="301">
                  <c:v>5.5411632839999996</c:v>
                </c:pt>
                <c:pt idx="302">
                  <c:v>5.5411632839999996</c:v>
                </c:pt>
                <c:pt idx="303">
                  <c:v>5.5411632839999996</c:v>
                </c:pt>
                <c:pt idx="304">
                  <c:v>5.5411632839999996</c:v>
                </c:pt>
                <c:pt idx="305">
                  <c:v>5.5411632839999996</c:v>
                </c:pt>
                <c:pt idx="306">
                  <c:v>5.5411632839999996</c:v>
                </c:pt>
                <c:pt idx="307">
                  <c:v>5.5411632839999996</c:v>
                </c:pt>
                <c:pt idx="308">
                  <c:v>5.5411632839999996</c:v>
                </c:pt>
                <c:pt idx="309">
                  <c:v>5.5411632839999996</c:v>
                </c:pt>
                <c:pt idx="310">
                  <c:v>5.5411632839999996</c:v>
                </c:pt>
                <c:pt idx="311">
                  <c:v>5.6462122170000013</c:v>
                </c:pt>
                <c:pt idx="312">
                  <c:v>5.6462122170000013</c:v>
                </c:pt>
                <c:pt idx="313">
                  <c:v>5.6462122170000013</c:v>
                </c:pt>
                <c:pt idx="314">
                  <c:v>5.6462122170000013</c:v>
                </c:pt>
                <c:pt idx="315">
                  <c:v>5.6462122170000013</c:v>
                </c:pt>
                <c:pt idx="316">
                  <c:v>5.6462122170000013</c:v>
                </c:pt>
                <c:pt idx="317">
                  <c:v>5.6462122170000013</c:v>
                </c:pt>
                <c:pt idx="318">
                  <c:v>5.6462122170000013</c:v>
                </c:pt>
                <c:pt idx="319">
                  <c:v>5.6462122170000013</c:v>
                </c:pt>
                <c:pt idx="320">
                  <c:v>5.6462122170000013</c:v>
                </c:pt>
                <c:pt idx="321">
                  <c:v>12.569001397000001</c:v>
                </c:pt>
                <c:pt idx="322">
                  <c:v>12.569001397000001</c:v>
                </c:pt>
                <c:pt idx="323">
                  <c:v>12.569001397000001</c:v>
                </c:pt>
                <c:pt idx="324">
                  <c:v>12.569001397000001</c:v>
                </c:pt>
                <c:pt idx="325">
                  <c:v>12.569001397000001</c:v>
                </c:pt>
                <c:pt idx="326">
                  <c:v>12.569001397000001</c:v>
                </c:pt>
                <c:pt idx="327">
                  <c:v>12.569001397000001</c:v>
                </c:pt>
                <c:pt idx="328">
                  <c:v>12.569001397000001</c:v>
                </c:pt>
                <c:pt idx="329">
                  <c:v>12.569001397000001</c:v>
                </c:pt>
                <c:pt idx="330">
                  <c:v>12.569001397000001</c:v>
                </c:pt>
                <c:pt idx="331">
                  <c:v>13.679570120000001</c:v>
                </c:pt>
                <c:pt idx="332">
                  <c:v>13.679570120000001</c:v>
                </c:pt>
                <c:pt idx="333">
                  <c:v>13.679570120000001</c:v>
                </c:pt>
                <c:pt idx="334">
                  <c:v>13.679570120000001</c:v>
                </c:pt>
                <c:pt idx="335">
                  <c:v>13.679570120000001</c:v>
                </c:pt>
                <c:pt idx="336">
                  <c:v>13.679570120000001</c:v>
                </c:pt>
                <c:pt idx="337">
                  <c:v>13.679570120000001</c:v>
                </c:pt>
                <c:pt idx="338">
                  <c:v>13.679570120000001</c:v>
                </c:pt>
              </c:numCache>
            </c:numRef>
          </c:xVal>
          <c:yVal>
            <c:numRef>
              <c:f>SICA_preadjustement!$Q$2:$Q$343</c:f>
              <c:numCache>
                <c:formatCode>General</c:formatCode>
                <c:ptCount val="342"/>
                <c:pt idx="190">
                  <c:v>61.801749999999998</c:v>
                </c:pt>
                <c:pt idx="191">
                  <c:v>53.124499999999998</c:v>
                </c:pt>
                <c:pt idx="192">
                  <c:v>64.987750000000005</c:v>
                </c:pt>
                <c:pt idx="193">
                  <c:v>72.350499999999997</c:v>
                </c:pt>
                <c:pt idx="194">
                  <c:v>69.716250000000002</c:v>
                </c:pt>
                <c:pt idx="195">
                  <c:v>74.718500000000006</c:v>
                </c:pt>
                <c:pt idx="196">
                  <c:v>64.784750000000003</c:v>
                </c:pt>
                <c:pt idx="197">
                  <c:v>56.6845</c:v>
                </c:pt>
                <c:pt idx="198">
                  <c:v>65.855249999999998</c:v>
                </c:pt>
                <c:pt idx="199">
                  <c:v>57.735249999999994</c:v>
                </c:pt>
                <c:pt idx="200">
                  <c:v>60.078999999999994</c:v>
                </c:pt>
                <c:pt idx="201">
                  <c:v>57.751999999999995</c:v>
                </c:pt>
                <c:pt idx="202">
                  <c:v>72.12</c:v>
                </c:pt>
                <c:pt idx="203">
                  <c:v>77.09075</c:v>
                </c:pt>
                <c:pt idx="204">
                  <c:v>69.174250000000001</c:v>
                </c:pt>
                <c:pt idx="205">
                  <c:v>61.452250000000006</c:v>
                </c:pt>
                <c:pt idx="206">
                  <c:v>68.610249999999994</c:v>
                </c:pt>
                <c:pt idx="207">
                  <c:v>55.808250000000001</c:v>
                </c:pt>
                <c:pt idx="208">
                  <c:v>72.615499999999997</c:v>
                </c:pt>
                <c:pt idx="209">
                  <c:v>73.906499999999994</c:v>
                </c:pt>
                <c:pt idx="210">
                  <c:v>74.3245</c:v>
                </c:pt>
                <c:pt idx="211">
                  <c:v>68.482249999999993</c:v>
                </c:pt>
                <c:pt idx="212">
                  <c:v>63.798749999999998</c:v>
                </c:pt>
                <c:pt idx="213">
                  <c:v>64.712249999999997</c:v>
                </c:pt>
                <c:pt idx="214">
                  <c:v>56.342749999999995</c:v>
                </c:pt>
                <c:pt idx="215">
                  <c:v>71.579750000000004</c:v>
                </c:pt>
                <c:pt idx="216">
                  <c:v>73.746499999999997</c:v>
                </c:pt>
                <c:pt idx="217">
                  <c:v>66.460499999999996</c:v>
                </c:pt>
                <c:pt idx="218">
                  <c:v>67.751750000000001</c:v>
                </c:pt>
                <c:pt idx="219">
                  <c:v>71.864000000000004</c:v>
                </c:pt>
                <c:pt idx="220">
                  <c:v>77.188500000000005</c:v>
                </c:pt>
                <c:pt idx="221">
                  <c:v>80.233000000000004</c:v>
                </c:pt>
                <c:pt idx="222">
                  <c:v>66.320750000000004</c:v>
                </c:pt>
                <c:pt idx="223">
                  <c:v>66.893500000000003</c:v>
                </c:pt>
                <c:pt idx="224">
                  <c:v>81.660499999999999</c:v>
                </c:pt>
                <c:pt idx="225">
                  <c:v>72.416499999999999</c:v>
                </c:pt>
                <c:pt idx="226">
                  <c:v>65.866249999999994</c:v>
                </c:pt>
                <c:pt idx="227">
                  <c:v>75.326750000000004</c:v>
                </c:pt>
                <c:pt idx="228">
                  <c:v>71.574749999999995</c:v>
                </c:pt>
                <c:pt idx="229">
                  <c:v>82.138000000000005</c:v>
                </c:pt>
                <c:pt idx="230">
                  <c:v>72.459999999999994</c:v>
                </c:pt>
                <c:pt idx="231">
                  <c:v>78.288749999999993</c:v>
                </c:pt>
                <c:pt idx="232">
                  <c:v>79.266000000000005</c:v>
                </c:pt>
                <c:pt idx="233">
                  <c:v>74.896000000000001</c:v>
                </c:pt>
                <c:pt idx="234">
                  <c:v>74.737250000000003</c:v>
                </c:pt>
                <c:pt idx="235">
                  <c:v>69.0565</c:v>
                </c:pt>
                <c:pt idx="236">
                  <c:v>70.078749999999999</c:v>
                </c:pt>
                <c:pt idx="237">
                  <c:v>78.636750000000006</c:v>
                </c:pt>
                <c:pt idx="238">
                  <c:v>66.914000000000001</c:v>
                </c:pt>
                <c:pt idx="239">
                  <c:v>70.268749999999997</c:v>
                </c:pt>
                <c:pt idx="240">
                  <c:v>73.590249999999997</c:v>
                </c:pt>
                <c:pt idx="241">
                  <c:v>71.209000000000003</c:v>
                </c:pt>
                <c:pt idx="242">
                  <c:v>69.923249999999996</c:v>
                </c:pt>
                <c:pt idx="243">
                  <c:v>72.986500000000007</c:v>
                </c:pt>
                <c:pt idx="244">
                  <c:v>73.941500000000005</c:v>
                </c:pt>
                <c:pt idx="245">
                  <c:v>71.51925</c:v>
                </c:pt>
                <c:pt idx="246">
                  <c:v>63.005499999999998</c:v>
                </c:pt>
                <c:pt idx="247">
                  <c:v>76.78725</c:v>
                </c:pt>
                <c:pt idx="248">
                  <c:v>72.307249999999996</c:v>
                </c:pt>
                <c:pt idx="249">
                  <c:v>76.546250000000001</c:v>
                </c:pt>
                <c:pt idx="250">
                  <c:v>67.457999999999998</c:v>
                </c:pt>
                <c:pt idx="251">
                  <c:v>70.489999999999995</c:v>
                </c:pt>
                <c:pt idx="252">
                  <c:v>60.255250000000004</c:v>
                </c:pt>
                <c:pt idx="253">
                  <c:v>71.189499999999995</c:v>
                </c:pt>
                <c:pt idx="254">
                  <c:v>74.820750000000004</c:v>
                </c:pt>
                <c:pt idx="255">
                  <c:v>70.762</c:v>
                </c:pt>
                <c:pt idx="256">
                  <c:v>73.534999999999997</c:v>
                </c:pt>
                <c:pt idx="257">
                  <c:v>68.245999999999995</c:v>
                </c:pt>
                <c:pt idx="258">
                  <c:v>77.494749999999996</c:v>
                </c:pt>
                <c:pt idx="259">
                  <c:v>77.151499999999999</c:v>
                </c:pt>
                <c:pt idx="260">
                  <c:v>71.0685</c:v>
                </c:pt>
                <c:pt idx="261">
                  <c:v>77.197500000000005</c:v>
                </c:pt>
                <c:pt idx="262">
                  <c:v>71.883499999999998</c:v>
                </c:pt>
                <c:pt idx="263">
                  <c:v>75.876999999999995</c:v>
                </c:pt>
                <c:pt idx="264">
                  <c:v>73.278000000000006</c:v>
                </c:pt>
                <c:pt idx="265">
                  <c:v>62.786000000000001</c:v>
                </c:pt>
                <c:pt idx="266">
                  <c:v>70.564250000000001</c:v>
                </c:pt>
                <c:pt idx="267">
                  <c:v>60.857500000000002</c:v>
                </c:pt>
                <c:pt idx="268">
                  <c:v>70.515000000000001</c:v>
                </c:pt>
                <c:pt idx="269">
                  <c:v>62.034499999999994</c:v>
                </c:pt>
                <c:pt idx="270">
                  <c:v>64.097999999999999</c:v>
                </c:pt>
                <c:pt idx="271">
                  <c:v>66.070499999999996</c:v>
                </c:pt>
                <c:pt idx="272">
                  <c:v>64.358999999999995</c:v>
                </c:pt>
                <c:pt idx="273">
                  <c:v>64.386750000000006</c:v>
                </c:pt>
                <c:pt idx="274">
                  <c:v>64.91825</c:v>
                </c:pt>
                <c:pt idx="275">
                  <c:v>63.464749999999995</c:v>
                </c:pt>
                <c:pt idx="276">
                  <c:v>64.401499999999999</c:v>
                </c:pt>
                <c:pt idx="277">
                  <c:v>60.358500000000006</c:v>
                </c:pt>
                <c:pt idx="278">
                  <c:v>73.606250000000003</c:v>
                </c:pt>
                <c:pt idx="279">
                  <c:v>73.959249999999997</c:v>
                </c:pt>
                <c:pt idx="280">
                  <c:v>74.582750000000004</c:v>
                </c:pt>
                <c:pt idx="281">
                  <c:v>77.698750000000004</c:v>
                </c:pt>
                <c:pt idx="282">
                  <c:v>75.792749999999998</c:v>
                </c:pt>
                <c:pt idx="283">
                  <c:v>75.799750000000003</c:v>
                </c:pt>
                <c:pt idx="284">
                  <c:v>71.466250000000002</c:v>
                </c:pt>
                <c:pt idx="285">
                  <c:v>74.690250000000006</c:v>
                </c:pt>
                <c:pt idx="286">
                  <c:v>75.964250000000007</c:v>
                </c:pt>
                <c:pt idx="287">
                  <c:v>75.179749999999999</c:v>
                </c:pt>
                <c:pt idx="288">
                  <c:v>66.342500000000001</c:v>
                </c:pt>
                <c:pt idx="289">
                  <c:v>73.388499999999993</c:v>
                </c:pt>
                <c:pt idx="290">
                  <c:v>71.013249999999999</c:v>
                </c:pt>
                <c:pt idx="291">
                  <c:v>75.055750000000003</c:v>
                </c:pt>
                <c:pt idx="292">
                  <c:v>78.205500000000001</c:v>
                </c:pt>
                <c:pt idx="293">
                  <c:v>78.96875</c:v>
                </c:pt>
                <c:pt idx="294">
                  <c:v>74.054749999999999</c:v>
                </c:pt>
                <c:pt idx="295">
                  <c:v>74.791250000000005</c:v>
                </c:pt>
                <c:pt idx="296">
                  <c:v>67.599999999999994</c:v>
                </c:pt>
                <c:pt idx="297">
                  <c:v>64.681749999999994</c:v>
                </c:pt>
                <c:pt idx="298">
                  <c:v>67.825749999999999</c:v>
                </c:pt>
                <c:pt idx="299">
                  <c:v>65.484750000000005</c:v>
                </c:pt>
                <c:pt idx="300">
                  <c:v>77.291499999999999</c:v>
                </c:pt>
                <c:pt idx="301">
                  <c:v>83.308499999999995</c:v>
                </c:pt>
                <c:pt idx="302">
                  <c:v>82.948499999999996</c:v>
                </c:pt>
                <c:pt idx="303">
                  <c:v>70.364500000000007</c:v>
                </c:pt>
                <c:pt idx="304">
                  <c:v>66.692250000000001</c:v>
                </c:pt>
                <c:pt idx="305">
                  <c:v>72.786249999999995</c:v>
                </c:pt>
                <c:pt idx="306">
                  <c:v>76.325749999999999</c:v>
                </c:pt>
                <c:pt idx="307">
                  <c:v>75.438000000000002</c:v>
                </c:pt>
                <c:pt idx="308">
                  <c:v>75.391750000000002</c:v>
                </c:pt>
                <c:pt idx="309">
                  <c:v>83.333250000000007</c:v>
                </c:pt>
                <c:pt idx="310">
                  <c:v>73.309749999999994</c:v>
                </c:pt>
                <c:pt idx="311">
                  <c:v>65.238</c:v>
                </c:pt>
                <c:pt idx="312">
                  <c:v>70.255499999999998</c:v>
                </c:pt>
                <c:pt idx="313">
                  <c:v>64.192499999999995</c:v>
                </c:pt>
                <c:pt idx="314">
                  <c:v>68.926000000000002</c:v>
                </c:pt>
                <c:pt idx="315">
                  <c:v>65.261750000000006</c:v>
                </c:pt>
                <c:pt idx="316">
                  <c:v>68.194249999999997</c:v>
                </c:pt>
                <c:pt idx="317">
                  <c:v>67.949749999999995</c:v>
                </c:pt>
                <c:pt idx="318">
                  <c:v>69.40325</c:v>
                </c:pt>
                <c:pt idx="319">
                  <c:v>67.777000000000001</c:v>
                </c:pt>
                <c:pt idx="320">
                  <c:v>70.790000000000006</c:v>
                </c:pt>
                <c:pt idx="321">
                  <c:v>69.434250000000006</c:v>
                </c:pt>
                <c:pt idx="322">
                  <c:v>68.284999999999997</c:v>
                </c:pt>
                <c:pt idx="323">
                  <c:v>69.519499999999994</c:v>
                </c:pt>
                <c:pt idx="324">
                  <c:v>69.006500000000003</c:v>
                </c:pt>
                <c:pt idx="325">
                  <c:v>70.947000000000003</c:v>
                </c:pt>
                <c:pt idx="326">
                  <c:v>71.025750000000002</c:v>
                </c:pt>
                <c:pt idx="327">
                  <c:v>71.959249999999997</c:v>
                </c:pt>
                <c:pt idx="328">
                  <c:v>67.175250000000005</c:v>
                </c:pt>
                <c:pt idx="329">
                  <c:v>68.65325</c:v>
                </c:pt>
                <c:pt idx="330">
                  <c:v>68.779750000000007</c:v>
                </c:pt>
                <c:pt idx="331">
                  <c:v>67.592250000000007</c:v>
                </c:pt>
                <c:pt idx="332">
                  <c:v>67.016000000000005</c:v>
                </c:pt>
                <c:pt idx="333">
                  <c:v>79.293750000000003</c:v>
                </c:pt>
                <c:pt idx="334">
                  <c:v>68.154499999999999</c:v>
                </c:pt>
                <c:pt idx="335">
                  <c:v>67.481999999999999</c:v>
                </c:pt>
                <c:pt idx="336">
                  <c:v>61.647999999999996</c:v>
                </c:pt>
                <c:pt idx="337">
                  <c:v>71.407749999999993</c:v>
                </c:pt>
                <c:pt idx="338">
                  <c:v>64.258499999999998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EC-444C-876A-0DD65354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10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GR</a:t>
                </a:r>
              </a:p>
              <a:p>
                <a:pPr>
                  <a:defRPr/>
                </a:pPr>
                <a:endParaRPr lang="sv-SE"/>
              </a:p>
            </c:rich>
          </c:tx>
          <c:layout>
            <c:manualLayout>
              <c:xMode val="edge"/>
              <c:yMode val="edge"/>
              <c:x val="0.32918886915334516"/>
              <c:y val="4.03196250490033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01810231092338E-2"/>
          <c:y val="5.335647092196108E-2"/>
          <c:w val="0.90108930877423621"/>
          <c:h val="0.6615975087131829"/>
        </c:manualLayout>
      </c:layout>
      <c:scatterChart>
        <c:scatterStyle val="lineMarker"/>
        <c:varyColors val="0"/>
        <c:ser>
          <c:idx val="0"/>
          <c:order val="0"/>
          <c:tx>
            <c:strRef>
              <c:f>SICA_adjusted!$N$1</c:f>
              <c:strCache>
                <c:ptCount val="1"/>
                <c:pt idx="0">
                  <c:v>GRLi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5387010904276396"/>
                  <c:y val="-3.3583859072032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SICA_adjusted!$N$2:$N$343</c:f>
              <c:numCache>
                <c:formatCode>General</c:formatCode>
                <c:ptCount val="342"/>
                <c:pt idx="0">
                  <c:v>72.665999999999997</c:v>
                </c:pt>
                <c:pt idx="1">
                  <c:v>76.6875</c:v>
                </c:pt>
                <c:pt idx="2">
                  <c:v>69.563249999999996</c:v>
                </c:pt>
                <c:pt idx="3">
                  <c:v>66.738500000000002</c:v>
                </c:pt>
                <c:pt idx="4">
                  <c:v>81.515000000000001</c:v>
                </c:pt>
                <c:pt idx="5">
                  <c:v>69.140249999999995</c:v>
                </c:pt>
                <c:pt idx="6">
                  <c:v>73.923500000000004</c:v>
                </c:pt>
                <c:pt idx="7">
                  <c:v>80.172749999999994</c:v>
                </c:pt>
                <c:pt idx="8">
                  <c:v>70.266249999999999</c:v>
                </c:pt>
                <c:pt idx="9">
                  <c:v>82.92</c:v>
                </c:pt>
                <c:pt idx="10">
                  <c:v>69.458749999999995</c:v>
                </c:pt>
                <c:pt idx="11">
                  <c:v>73.944749999999999</c:v>
                </c:pt>
                <c:pt idx="12">
                  <c:v>78.923249999999996</c:v>
                </c:pt>
                <c:pt idx="13">
                  <c:v>81.489999999999995</c:v>
                </c:pt>
                <c:pt idx="14">
                  <c:v>77.010999999999996</c:v>
                </c:pt>
                <c:pt idx="15">
                  <c:v>73.716999999999999</c:v>
                </c:pt>
                <c:pt idx="16">
                  <c:v>68.298500000000004</c:v>
                </c:pt>
                <c:pt idx="17">
                  <c:v>81.363249999999994</c:v>
                </c:pt>
                <c:pt idx="18">
                  <c:v>67.977500000000006</c:v>
                </c:pt>
                <c:pt idx="19">
                  <c:v>65.9285</c:v>
                </c:pt>
                <c:pt idx="20">
                  <c:v>71.902500000000003</c:v>
                </c:pt>
                <c:pt idx="21">
                  <c:v>67.558750000000003</c:v>
                </c:pt>
                <c:pt idx="22">
                  <c:v>72.10275</c:v>
                </c:pt>
                <c:pt idx="23">
                  <c:v>68.047250000000005</c:v>
                </c:pt>
                <c:pt idx="24">
                  <c:v>69.138000000000005</c:v>
                </c:pt>
                <c:pt idx="25">
                  <c:v>75.832250000000002</c:v>
                </c:pt>
                <c:pt idx="26">
                  <c:v>67.867249999999999</c:v>
                </c:pt>
                <c:pt idx="27">
                  <c:v>73.296999999999997</c:v>
                </c:pt>
                <c:pt idx="28">
                  <c:v>69.992249999999999</c:v>
                </c:pt>
                <c:pt idx="29">
                  <c:v>77.667249999999996</c:v>
                </c:pt>
                <c:pt idx="30">
                  <c:v>73.642250000000004</c:v>
                </c:pt>
                <c:pt idx="31">
                  <c:v>78.064750000000004</c:v>
                </c:pt>
                <c:pt idx="32">
                  <c:v>77.946250000000006</c:v>
                </c:pt>
                <c:pt idx="33">
                  <c:v>72.652749999999997</c:v>
                </c:pt>
                <c:pt idx="34">
                  <c:v>74.101749999999996</c:v>
                </c:pt>
                <c:pt idx="35">
                  <c:v>77.573499999999996</c:v>
                </c:pt>
                <c:pt idx="36">
                  <c:v>76.248249999999999</c:v>
                </c:pt>
                <c:pt idx="37">
                  <c:v>73.350499999999997</c:v>
                </c:pt>
                <c:pt idx="38">
                  <c:v>75.473749999999995</c:v>
                </c:pt>
                <c:pt idx="39">
                  <c:v>70.245500000000007</c:v>
                </c:pt>
                <c:pt idx="40">
                  <c:v>76.742999999999995</c:v>
                </c:pt>
                <c:pt idx="41">
                  <c:v>75.751750000000001</c:v>
                </c:pt>
                <c:pt idx="42">
                  <c:v>71.84075</c:v>
                </c:pt>
                <c:pt idx="43">
                  <c:v>76.287750000000003</c:v>
                </c:pt>
                <c:pt idx="44">
                  <c:v>77.219750000000005</c:v>
                </c:pt>
                <c:pt idx="45">
                  <c:v>69.163749999999993</c:v>
                </c:pt>
                <c:pt idx="46">
                  <c:v>75.228250000000003</c:v>
                </c:pt>
                <c:pt idx="47">
                  <c:v>71.296499999999995</c:v>
                </c:pt>
                <c:pt idx="48">
                  <c:v>71.164000000000001</c:v>
                </c:pt>
                <c:pt idx="49">
                  <c:v>73.168750000000003</c:v>
                </c:pt>
                <c:pt idx="50">
                  <c:v>77.060249999999996</c:v>
                </c:pt>
                <c:pt idx="51">
                  <c:v>67.301749999999998</c:v>
                </c:pt>
                <c:pt idx="52">
                  <c:v>64.227500000000006</c:v>
                </c:pt>
                <c:pt idx="53">
                  <c:v>61.954250000000002</c:v>
                </c:pt>
                <c:pt idx="54">
                  <c:v>65.525750000000002</c:v>
                </c:pt>
                <c:pt idx="55">
                  <c:v>74.906750000000002</c:v>
                </c:pt>
                <c:pt idx="56">
                  <c:v>80.564250000000001</c:v>
                </c:pt>
                <c:pt idx="57">
                  <c:v>67.590500000000006</c:v>
                </c:pt>
                <c:pt idx="58">
                  <c:v>73.180250000000001</c:v>
                </c:pt>
                <c:pt idx="59">
                  <c:v>75.034000000000006</c:v>
                </c:pt>
                <c:pt idx="60">
                  <c:v>68.441999999999993</c:v>
                </c:pt>
                <c:pt idx="61">
                  <c:v>64.836749999999995</c:v>
                </c:pt>
                <c:pt idx="62">
                  <c:v>66.087000000000003</c:v>
                </c:pt>
                <c:pt idx="63">
                  <c:v>72.808000000000007</c:v>
                </c:pt>
                <c:pt idx="64">
                  <c:v>72.396000000000001</c:v>
                </c:pt>
                <c:pt idx="65">
                  <c:v>69.297250000000005</c:v>
                </c:pt>
                <c:pt idx="66">
                  <c:v>66.781499999999994</c:v>
                </c:pt>
                <c:pt idx="67">
                  <c:v>66.496750000000006</c:v>
                </c:pt>
                <c:pt idx="68">
                  <c:v>65.281000000000006</c:v>
                </c:pt>
                <c:pt idx="69">
                  <c:v>64.187749999999994</c:v>
                </c:pt>
                <c:pt idx="70">
                  <c:v>65.477249999999998</c:v>
                </c:pt>
                <c:pt idx="71">
                  <c:v>66.047499999999999</c:v>
                </c:pt>
                <c:pt idx="72">
                  <c:v>62.9345</c:v>
                </c:pt>
                <c:pt idx="73">
                  <c:v>62.370000000000005</c:v>
                </c:pt>
                <c:pt idx="74">
                  <c:v>69.628749999999997</c:v>
                </c:pt>
                <c:pt idx="75">
                  <c:v>68.044499999999999</c:v>
                </c:pt>
                <c:pt idx="76">
                  <c:v>68.733500000000006</c:v>
                </c:pt>
                <c:pt idx="77">
                  <c:v>68.153000000000006</c:v>
                </c:pt>
                <c:pt idx="78">
                  <c:v>68.601249999999993</c:v>
                </c:pt>
                <c:pt idx="79">
                  <c:v>62.592749999999995</c:v>
                </c:pt>
                <c:pt idx="80">
                  <c:v>63.495750000000001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6-4A7F-B753-8CF6AD6D37D2}"/>
            </c:ext>
          </c:extLst>
        </c:ser>
        <c:ser>
          <c:idx val="1"/>
          <c:order val="1"/>
          <c:tx>
            <c:strRef>
              <c:f>SICA_adjusted!$O$1</c:f>
              <c:strCache>
                <c:ptCount val="1"/>
                <c:pt idx="0">
                  <c:v>GRpH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439704805993395"/>
                  <c:y val="6.92337225475967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SICA_adjusted!$O$2:$O$343</c:f>
              <c:numCache>
                <c:formatCode>General</c:formatCode>
                <c:ptCount val="342"/>
                <c:pt idx="81">
                  <c:v>77.47475</c:v>
                </c:pt>
                <c:pt idx="82">
                  <c:v>76.91525</c:v>
                </c:pt>
                <c:pt idx="83">
                  <c:v>70.283249999999995</c:v>
                </c:pt>
                <c:pt idx="84">
                  <c:v>75.927999999999997</c:v>
                </c:pt>
                <c:pt idx="85">
                  <c:v>70.821749999999994</c:v>
                </c:pt>
                <c:pt idx="86">
                  <c:v>66.904499999999999</c:v>
                </c:pt>
                <c:pt idx="87">
                  <c:v>80.048249999999996</c:v>
                </c:pt>
                <c:pt idx="88">
                  <c:v>76.823250000000002</c:v>
                </c:pt>
                <c:pt idx="89">
                  <c:v>64.455500000000001</c:v>
                </c:pt>
                <c:pt idx="90">
                  <c:v>68.887249999999995</c:v>
                </c:pt>
                <c:pt idx="91">
                  <c:v>76.979500000000002</c:v>
                </c:pt>
                <c:pt idx="92">
                  <c:v>73.343249999999998</c:v>
                </c:pt>
                <c:pt idx="93">
                  <c:v>75.004499999999993</c:v>
                </c:pt>
                <c:pt idx="94">
                  <c:v>81.140500000000003</c:v>
                </c:pt>
                <c:pt idx="95">
                  <c:v>73.783500000000004</c:v>
                </c:pt>
                <c:pt idx="96">
                  <c:v>70.981499999999997</c:v>
                </c:pt>
                <c:pt idx="97">
                  <c:v>73.477249999999998</c:v>
                </c:pt>
                <c:pt idx="98">
                  <c:v>76.641999999999996</c:v>
                </c:pt>
                <c:pt idx="99">
                  <c:v>71.697000000000003</c:v>
                </c:pt>
                <c:pt idx="100">
                  <c:v>75.83175</c:v>
                </c:pt>
                <c:pt idx="101">
                  <c:v>77.680750000000003</c:v>
                </c:pt>
                <c:pt idx="102">
                  <c:v>72.848249999999993</c:v>
                </c:pt>
                <c:pt idx="103">
                  <c:v>76.196749999999994</c:v>
                </c:pt>
                <c:pt idx="104">
                  <c:v>72.912000000000006</c:v>
                </c:pt>
                <c:pt idx="105">
                  <c:v>74.035250000000005</c:v>
                </c:pt>
                <c:pt idx="106">
                  <c:v>78.511250000000004</c:v>
                </c:pt>
                <c:pt idx="107">
                  <c:v>78.964500000000001</c:v>
                </c:pt>
                <c:pt idx="108">
                  <c:v>75.937250000000006</c:v>
                </c:pt>
                <c:pt idx="109">
                  <c:v>76.170500000000004</c:v>
                </c:pt>
                <c:pt idx="110">
                  <c:v>68.457250000000002</c:v>
                </c:pt>
                <c:pt idx="111">
                  <c:v>75.662750000000003</c:v>
                </c:pt>
                <c:pt idx="112">
                  <c:v>64.781000000000006</c:v>
                </c:pt>
                <c:pt idx="113">
                  <c:v>59.510249999999999</c:v>
                </c:pt>
                <c:pt idx="114">
                  <c:v>52.519000000000005</c:v>
                </c:pt>
                <c:pt idx="115">
                  <c:v>53.478250000000003</c:v>
                </c:pt>
                <c:pt idx="116">
                  <c:v>57.674750000000003</c:v>
                </c:pt>
                <c:pt idx="117">
                  <c:v>76.181250000000006</c:v>
                </c:pt>
                <c:pt idx="118">
                  <c:v>73.251249999999999</c:v>
                </c:pt>
                <c:pt idx="119">
                  <c:v>66.178749999999994</c:v>
                </c:pt>
                <c:pt idx="120">
                  <c:v>68.671999999999997</c:v>
                </c:pt>
                <c:pt idx="121">
                  <c:v>63.932249999999996</c:v>
                </c:pt>
                <c:pt idx="122">
                  <c:v>67.418499999999995</c:v>
                </c:pt>
                <c:pt idx="123">
                  <c:v>60.915499999999994</c:v>
                </c:pt>
                <c:pt idx="124">
                  <c:v>71.373249999999999</c:v>
                </c:pt>
                <c:pt idx="125">
                  <c:v>60.248000000000005</c:v>
                </c:pt>
                <c:pt idx="126">
                  <c:v>64.083749999999995</c:v>
                </c:pt>
                <c:pt idx="127">
                  <c:v>65.379000000000005</c:v>
                </c:pt>
                <c:pt idx="128">
                  <c:v>63.595749999999995</c:v>
                </c:pt>
                <c:pt idx="129">
                  <c:v>62.522000000000006</c:v>
                </c:pt>
                <c:pt idx="130">
                  <c:v>67.867750000000001</c:v>
                </c:pt>
                <c:pt idx="131">
                  <c:v>59.270499999999998</c:v>
                </c:pt>
                <c:pt idx="132">
                  <c:v>62.392499999999998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36-4A7F-B753-8CF6AD6D37D2}"/>
            </c:ext>
          </c:extLst>
        </c:ser>
        <c:ser>
          <c:idx val="2"/>
          <c:order val="2"/>
          <c:tx>
            <c:strRef>
              <c:f>SICA_adjusted!$P$1</c:f>
              <c:strCache>
                <c:ptCount val="1"/>
                <c:pt idx="0">
                  <c:v>GRtemp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913357855134893"/>
                  <c:y val="0.16414225942725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SICA_adjusted!$P$2:$P$343</c:f>
              <c:numCache>
                <c:formatCode>General</c:formatCode>
                <c:ptCount val="342"/>
                <c:pt idx="133">
                  <c:v>42.751000000000005</c:v>
                </c:pt>
                <c:pt idx="134">
                  <c:v>47.630250000000004</c:v>
                </c:pt>
                <c:pt idx="135">
                  <c:v>45.341750000000005</c:v>
                </c:pt>
                <c:pt idx="136">
                  <c:v>48.91225</c:v>
                </c:pt>
                <c:pt idx="137">
                  <c:v>47.5655</c:v>
                </c:pt>
                <c:pt idx="138">
                  <c:v>44.858000000000004</c:v>
                </c:pt>
                <c:pt idx="139">
                  <c:v>49.738500000000002</c:v>
                </c:pt>
                <c:pt idx="140">
                  <c:v>49.403750000000002</c:v>
                </c:pt>
                <c:pt idx="141">
                  <c:v>46.037000000000006</c:v>
                </c:pt>
                <c:pt idx="142">
                  <c:v>43.385249999999999</c:v>
                </c:pt>
                <c:pt idx="143">
                  <c:v>45.3</c:v>
                </c:pt>
                <c:pt idx="144">
                  <c:v>45.084000000000003</c:v>
                </c:pt>
                <c:pt idx="145">
                  <c:v>74.791250000000005</c:v>
                </c:pt>
                <c:pt idx="146">
                  <c:v>78.037499999999994</c:v>
                </c:pt>
                <c:pt idx="147">
                  <c:v>79.782749999999993</c:v>
                </c:pt>
                <c:pt idx="148">
                  <c:v>72.612250000000003</c:v>
                </c:pt>
                <c:pt idx="149">
                  <c:v>75.768000000000001</c:v>
                </c:pt>
                <c:pt idx="150">
                  <c:v>77.521500000000003</c:v>
                </c:pt>
                <c:pt idx="151">
                  <c:v>80.322249999999997</c:v>
                </c:pt>
                <c:pt idx="152">
                  <c:v>67.971000000000004</c:v>
                </c:pt>
                <c:pt idx="153">
                  <c:v>80.494749999999996</c:v>
                </c:pt>
                <c:pt idx="154">
                  <c:v>74.242000000000004</c:v>
                </c:pt>
                <c:pt idx="155">
                  <c:v>73.169499999999999</c:v>
                </c:pt>
                <c:pt idx="156">
                  <c:v>75.358999999999995</c:v>
                </c:pt>
                <c:pt idx="157">
                  <c:v>69.527500000000003</c:v>
                </c:pt>
                <c:pt idx="158">
                  <c:v>74.111500000000007</c:v>
                </c:pt>
                <c:pt idx="159">
                  <c:v>76.056250000000006</c:v>
                </c:pt>
                <c:pt idx="160">
                  <c:v>71.962999999999994</c:v>
                </c:pt>
                <c:pt idx="161">
                  <c:v>80.514750000000006</c:v>
                </c:pt>
                <c:pt idx="162">
                  <c:v>71.192999999999998</c:v>
                </c:pt>
                <c:pt idx="163">
                  <c:v>75.853250000000003</c:v>
                </c:pt>
                <c:pt idx="164">
                  <c:v>72.339749999999995</c:v>
                </c:pt>
                <c:pt idx="165">
                  <c:v>73.5715</c:v>
                </c:pt>
                <c:pt idx="166">
                  <c:v>75.248500000000007</c:v>
                </c:pt>
                <c:pt idx="167">
                  <c:v>73.808999999999997</c:v>
                </c:pt>
                <c:pt idx="168">
                  <c:v>73.996250000000003</c:v>
                </c:pt>
                <c:pt idx="169">
                  <c:v>72.671499999999995</c:v>
                </c:pt>
                <c:pt idx="170">
                  <c:v>80.028750000000002</c:v>
                </c:pt>
                <c:pt idx="171">
                  <c:v>75.295249999999996</c:v>
                </c:pt>
                <c:pt idx="172">
                  <c:v>76.283749999999998</c:v>
                </c:pt>
                <c:pt idx="173">
                  <c:v>63.750500000000002</c:v>
                </c:pt>
                <c:pt idx="174">
                  <c:v>74.728499999999997</c:v>
                </c:pt>
                <c:pt idx="175">
                  <c:v>65.597499999999997</c:v>
                </c:pt>
                <c:pt idx="176">
                  <c:v>73.080749999999995</c:v>
                </c:pt>
                <c:pt idx="177">
                  <c:v>69.008499999999998</c:v>
                </c:pt>
                <c:pt idx="178">
                  <c:v>70.129750000000001</c:v>
                </c:pt>
                <c:pt idx="179">
                  <c:v>76.807749999999999</c:v>
                </c:pt>
                <c:pt idx="180">
                  <c:v>74.134249999999994</c:v>
                </c:pt>
                <c:pt idx="181">
                  <c:v>75.284000000000006</c:v>
                </c:pt>
                <c:pt idx="182">
                  <c:v>68.863749999999996</c:v>
                </c:pt>
                <c:pt idx="183">
                  <c:v>55.849999999999994</c:v>
                </c:pt>
                <c:pt idx="184">
                  <c:v>56.75</c:v>
                </c:pt>
                <c:pt idx="185">
                  <c:v>55.974999999999994</c:v>
                </c:pt>
                <c:pt idx="186">
                  <c:v>65.349999999999994</c:v>
                </c:pt>
                <c:pt idx="187">
                  <c:v>72.95</c:v>
                </c:pt>
                <c:pt idx="188">
                  <c:v>58.924999999999997</c:v>
                </c:pt>
                <c:pt idx="189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36-4A7F-B753-8CF6AD6D37D2}"/>
            </c:ext>
          </c:extLst>
        </c:ser>
        <c:ser>
          <c:idx val="3"/>
          <c:order val="3"/>
          <c:tx>
            <c:strRef>
              <c:f>SICA_adjusted!$Q$1</c:f>
              <c:strCache>
                <c:ptCount val="1"/>
                <c:pt idx="0">
                  <c:v>GRMS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SICA_adjusted!$L$2:$L$343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SICA_adjusted!$Q$2:$Q$343</c:f>
              <c:numCache>
                <c:formatCode>General</c:formatCode>
                <c:ptCount val="342"/>
                <c:pt idx="190">
                  <c:v>61.801749999999998</c:v>
                </c:pt>
                <c:pt idx="191">
                  <c:v>53.124499999999998</c:v>
                </c:pt>
                <c:pt idx="192">
                  <c:v>64.987750000000005</c:v>
                </c:pt>
                <c:pt idx="193">
                  <c:v>72.350499999999997</c:v>
                </c:pt>
                <c:pt idx="194">
                  <c:v>69.716250000000002</c:v>
                </c:pt>
                <c:pt idx="195">
                  <c:v>74.718500000000006</c:v>
                </c:pt>
                <c:pt idx="196">
                  <c:v>64.784750000000003</c:v>
                </c:pt>
                <c:pt idx="197">
                  <c:v>56.6845</c:v>
                </c:pt>
                <c:pt idx="198">
                  <c:v>65.855249999999998</c:v>
                </c:pt>
                <c:pt idx="199">
                  <c:v>57.735249999999994</c:v>
                </c:pt>
                <c:pt idx="200">
                  <c:v>60.078999999999994</c:v>
                </c:pt>
                <c:pt idx="201">
                  <c:v>57.751999999999995</c:v>
                </c:pt>
                <c:pt idx="202">
                  <c:v>72.12</c:v>
                </c:pt>
                <c:pt idx="203">
                  <c:v>77.09075</c:v>
                </c:pt>
                <c:pt idx="204">
                  <c:v>69.174250000000001</c:v>
                </c:pt>
                <c:pt idx="205">
                  <c:v>61.452250000000006</c:v>
                </c:pt>
                <c:pt idx="206">
                  <c:v>68.610249999999994</c:v>
                </c:pt>
                <c:pt idx="207">
                  <c:v>55.808250000000001</c:v>
                </c:pt>
                <c:pt idx="208">
                  <c:v>72.615499999999997</c:v>
                </c:pt>
                <c:pt idx="209">
                  <c:v>73.906499999999994</c:v>
                </c:pt>
                <c:pt idx="210">
                  <c:v>74.3245</c:v>
                </c:pt>
                <c:pt idx="211">
                  <c:v>68.482249999999993</c:v>
                </c:pt>
                <c:pt idx="212">
                  <c:v>63.798749999999998</c:v>
                </c:pt>
                <c:pt idx="213">
                  <c:v>64.712249999999997</c:v>
                </c:pt>
                <c:pt idx="214">
                  <c:v>56.342749999999995</c:v>
                </c:pt>
                <c:pt idx="215">
                  <c:v>71.579750000000004</c:v>
                </c:pt>
                <c:pt idx="216">
                  <c:v>73.746499999999997</c:v>
                </c:pt>
                <c:pt idx="217">
                  <c:v>66.460499999999996</c:v>
                </c:pt>
                <c:pt idx="218">
                  <c:v>67.751750000000001</c:v>
                </c:pt>
                <c:pt idx="219">
                  <c:v>71.864000000000004</c:v>
                </c:pt>
                <c:pt idx="220">
                  <c:v>77.188500000000005</c:v>
                </c:pt>
                <c:pt idx="221">
                  <c:v>80.233000000000004</c:v>
                </c:pt>
                <c:pt idx="222">
                  <c:v>66.320750000000004</c:v>
                </c:pt>
                <c:pt idx="223">
                  <c:v>66.893500000000003</c:v>
                </c:pt>
                <c:pt idx="224">
                  <c:v>81.660499999999999</c:v>
                </c:pt>
                <c:pt idx="225">
                  <c:v>72.416499999999999</c:v>
                </c:pt>
                <c:pt idx="226">
                  <c:v>65.866249999999994</c:v>
                </c:pt>
                <c:pt idx="227">
                  <c:v>75.326750000000004</c:v>
                </c:pt>
                <c:pt idx="228">
                  <c:v>71.574749999999995</c:v>
                </c:pt>
                <c:pt idx="229">
                  <c:v>82.138000000000005</c:v>
                </c:pt>
                <c:pt idx="230">
                  <c:v>72.459999999999994</c:v>
                </c:pt>
                <c:pt idx="231">
                  <c:v>78.288749999999993</c:v>
                </c:pt>
                <c:pt idx="232">
                  <c:v>79.266000000000005</c:v>
                </c:pt>
                <c:pt idx="233">
                  <c:v>74.896000000000001</c:v>
                </c:pt>
                <c:pt idx="234">
                  <c:v>74.737250000000003</c:v>
                </c:pt>
                <c:pt idx="235">
                  <c:v>69.0565</c:v>
                </c:pt>
                <c:pt idx="236">
                  <c:v>70.078749999999999</c:v>
                </c:pt>
                <c:pt idx="237">
                  <c:v>78.636750000000006</c:v>
                </c:pt>
                <c:pt idx="238">
                  <c:v>66.914000000000001</c:v>
                </c:pt>
                <c:pt idx="239">
                  <c:v>70.268749999999997</c:v>
                </c:pt>
                <c:pt idx="240">
                  <c:v>73.590249999999997</c:v>
                </c:pt>
                <c:pt idx="241">
                  <c:v>71.209000000000003</c:v>
                </c:pt>
                <c:pt idx="242">
                  <c:v>69.923249999999996</c:v>
                </c:pt>
                <c:pt idx="243">
                  <c:v>72.986500000000007</c:v>
                </c:pt>
                <c:pt idx="244">
                  <c:v>73.941500000000005</c:v>
                </c:pt>
                <c:pt idx="245">
                  <c:v>71.51925</c:v>
                </c:pt>
                <c:pt idx="246">
                  <c:v>63.005499999999998</c:v>
                </c:pt>
                <c:pt idx="247">
                  <c:v>76.78725</c:v>
                </c:pt>
                <c:pt idx="248">
                  <c:v>72.307249999999996</c:v>
                </c:pt>
                <c:pt idx="249">
                  <c:v>76.546250000000001</c:v>
                </c:pt>
                <c:pt idx="250">
                  <c:v>67.457999999999998</c:v>
                </c:pt>
                <c:pt idx="251">
                  <c:v>70.489999999999995</c:v>
                </c:pt>
                <c:pt idx="252">
                  <c:v>60.255250000000004</c:v>
                </c:pt>
                <c:pt idx="253">
                  <c:v>71.189499999999995</c:v>
                </c:pt>
                <c:pt idx="254">
                  <c:v>74.820750000000004</c:v>
                </c:pt>
                <c:pt idx="255">
                  <c:v>70.762</c:v>
                </c:pt>
                <c:pt idx="256">
                  <c:v>73.534999999999997</c:v>
                </c:pt>
                <c:pt idx="257">
                  <c:v>68.245999999999995</c:v>
                </c:pt>
                <c:pt idx="258">
                  <c:v>77.494749999999996</c:v>
                </c:pt>
                <c:pt idx="259">
                  <c:v>77.151499999999999</c:v>
                </c:pt>
                <c:pt idx="260">
                  <c:v>71.0685</c:v>
                </c:pt>
                <c:pt idx="261">
                  <c:v>77.197500000000005</c:v>
                </c:pt>
                <c:pt idx="262">
                  <c:v>71.883499999999998</c:v>
                </c:pt>
                <c:pt idx="263">
                  <c:v>75.876999999999995</c:v>
                </c:pt>
                <c:pt idx="264">
                  <c:v>73.278000000000006</c:v>
                </c:pt>
                <c:pt idx="265">
                  <c:v>62.786000000000001</c:v>
                </c:pt>
                <c:pt idx="266">
                  <c:v>70.564250000000001</c:v>
                </c:pt>
                <c:pt idx="267">
                  <c:v>60.857500000000002</c:v>
                </c:pt>
                <c:pt idx="268">
                  <c:v>70.515000000000001</c:v>
                </c:pt>
                <c:pt idx="269">
                  <c:v>62.034499999999994</c:v>
                </c:pt>
                <c:pt idx="270">
                  <c:v>64.097999999999999</c:v>
                </c:pt>
                <c:pt idx="271">
                  <c:v>66.070499999999996</c:v>
                </c:pt>
                <c:pt idx="272">
                  <c:v>64.358999999999995</c:v>
                </c:pt>
                <c:pt idx="273">
                  <c:v>64.386750000000006</c:v>
                </c:pt>
                <c:pt idx="274">
                  <c:v>64.91825</c:v>
                </c:pt>
                <c:pt idx="275">
                  <c:v>63.464749999999995</c:v>
                </c:pt>
                <c:pt idx="276">
                  <c:v>64.401499999999999</c:v>
                </c:pt>
                <c:pt idx="277">
                  <c:v>60.358500000000006</c:v>
                </c:pt>
                <c:pt idx="278">
                  <c:v>73.606250000000003</c:v>
                </c:pt>
                <c:pt idx="279">
                  <c:v>73.959249999999997</c:v>
                </c:pt>
                <c:pt idx="280">
                  <c:v>74.582750000000004</c:v>
                </c:pt>
                <c:pt idx="281">
                  <c:v>77.698750000000004</c:v>
                </c:pt>
                <c:pt idx="282">
                  <c:v>75.792749999999998</c:v>
                </c:pt>
                <c:pt idx="283">
                  <c:v>75.799750000000003</c:v>
                </c:pt>
                <c:pt idx="284">
                  <c:v>71.466250000000002</c:v>
                </c:pt>
                <c:pt idx="285">
                  <c:v>74.690250000000006</c:v>
                </c:pt>
                <c:pt idx="286">
                  <c:v>75.964250000000007</c:v>
                </c:pt>
                <c:pt idx="287">
                  <c:v>75.179749999999999</c:v>
                </c:pt>
                <c:pt idx="288">
                  <c:v>66.342500000000001</c:v>
                </c:pt>
                <c:pt idx="289">
                  <c:v>73.388499999999993</c:v>
                </c:pt>
                <c:pt idx="290">
                  <c:v>71.013249999999999</c:v>
                </c:pt>
                <c:pt idx="291">
                  <c:v>75.055750000000003</c:v>
                </c:pt>
                <c:pt idx="292">
                  <c:v>78.205500000000001</c:v>
                </c:pt>
                <c:pt idx="293">
                  <c:v>78.96875</c:v>
                </c:pt>
                <c:pt idx="294">
                  <c:v>74.054749999999999</c:v>
                </c:pt>
                <c:pt idx="295">
                  <c:v>74.791250000000005</c:v>
                </c:pt>
                <c:pt idx="296">
                  <c:v>67.599999999999994</c:v>
                </c:pt>
                <c:pt idx="297">
                  <c:v>64.681749999999994</c:v>
                </c:pt>
                <c:pt idx="298">
                  <c:v>67.825749999999999</c:v>
                </c:pt>
                <c:pt idx="299">
                  <c:v>65.484750000000005</c:v>
                </c:pt>
                <c:pt idx="300">
                  <c:v>77.291499999999999</c:v>
                </c:pt>
                <c:pt idx="301">
                  <c:v>83.308499999999995</c:v>
                </c:pt>
                <c:pt idx="302">
                  <c:v>82.948499999999996</c:v>
                </c:pt>
                <c:pt idx="303">
                  <c:v>70.364500000000007</c:v>
                </c:pt>
                <c:pt idx="304">
                  <c:v>66.692250000000001</c:v>
                </c:pt>
                <c:pt idx="305">
                  <c:v>72.786249999999995</c:v>
                </c:pt>
                <c:pt idx="306">
                  <c:v>76.325749999999999</c:v>
                </c:pt>
                <c:pt idx="307">
                  <c:v>75.438000000000002</c:v>
                </c:pt>
                <c:pt idx="308">
                  <c:v>75.391750000000002</c:v>
                </c:pt>
                <c:pt idx="309">
                  <c:v>83.333250000000007</c:v>
                </c:pt>
                <c:pt idx="310">
                  <c:v>73.309749999999994</c:v>
                </c:pt>
                <c:pt idx="311">
                  <c:v>65.238</c:v>
                </c:pt>
                <c:pt idx="312">
                  <c:v>70.255499999999998</c:v>
                </c:pt>
                <c:pt idx="313">
                  <c:v>64.192499999999995</c:v>
                </c:pt>
                <c:pt idx="314">
                  <c:v>68.926000000000002</c:v>
                </c:pt>
                <c:pt idx="315">
                  <c:v>65.261750000000006</c:v>
                </c:pt>
                <c:pt idx="316">
                  <c:v>68.194249999999997</c:v>
                </c:pt>
                <c:pt idx="317">
                  <c:v>67.949749999999995</c:v>
                </c:pt>
                <c:pt idx="318">
                  <c:v>69.40325</c:v>
                </c:pt>
                <c:pt idx="319">
                  <c:v>67.777000000000001</c:v>
                </c:pt>
                <c:pt idx="320">
                  <c:v>70.790000000000006</c:v>
                </c:pt>
                <c:pt idx="321">
                  <c:v>69.434250000000006</c:v>
                </c:pt>
                <c:pt idx="322">
                  <c:v>68.284999999999997</c:v>
                </c:pt>
                <c:pt idx="323">
                  <c:v>69.519499999999994</c:v>
                </c:pt>
                <c:pt idx="324">
                  <c:v>69.006500000000003</c:v>
                </c:pt>
                <c:pt idx="325">
                  <c:v>70.947000000000003</c:v>
                </c:pt>
                <c:pt idx="326">
                  <c:v>71.025750000000002</c:v>
                </c:pt>
                <c:pt idx="327">
                  <c:v>71.959249999999997</c:v>
                </c:pt>
                <c:pt idx="328">
                  <c:v>67.175250000000005</c:v>
                </c:pt>
                <c:pt idx="329">
                  <c:v>68.65325</c:v>
                </c:pt>
                <c:pt idx="330">
                  <c:v>68.779750000000007</c:v>
                </c:pt>
                <c:pt idx="331">
                  <c:v>67.592250000000007</c:v>
                </c:pt>
                <c:pt idx="332">
                  <c:v>67.016000000000005</c:v>
                </c:pt>
                <c:pt idx="333">
                  <c:v>79.293750000000003</c:v>
                </c:pt>
                <c:pt idx="334">
                  <c:v>68.154499999999999</c:v>
                </c:pt>
                <c:pt idx="335">
                  <c:v>67.481999999999999</c:v>
                </c:pt>
                <c:pt idx="336">
                  <c:v>61.647999999999996</c:v>
                </c:pt>
                <c:pt idx="337">
                  <c:v>71.407749999999993</c:v>
                </c:pt>
                <c:pt idx="338">
                  <c:v>64.258499999999998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6-4A7F-B753-8CF6AD6D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GR</a:t>
                </a:r>
              </a:p>
            </c:rich>
          </c:tx>
          <c:layout>
            <c:manualLayout>
              <c:xMode val="edge"/>
              <c:yMode val="edge"/>
              <c:x val="0.28419182948490229"/>
              <c:y val="3.24105803090319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01810231092338E-2"/>
          <c:y val="5.335647092196108E-2"/>
          <c:w val="0.90108930877423621"/>
          <c:h val="0.66159750871318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'SICA_adjusted (2)'!$N$1</c:f>
              <c:strCache>
                <c:ptCount val="1"/>
                <c:pt idx="0">
                  <c:v>GRsingle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850245888807769"/>
                  <c:y val="9.76066271596694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(2)'!$L$2:$L$343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'SICA_adjusted (2)'!$N$2:$N$343</c:f>
              <c:numCache>
                <c:formatCode>General</c:formatCode>
                <c:ptCount val="342"/>
                <c:pt idx="0">
                  <c:v>72.665999999999997</c:v>
                </c:pt>
                <c:pt idx="1">
                  <c:v>76.6875</c:v>
                </c:pt>
                <c:pt idx="2">
                  <c:v>69.563249999999996</c:v>
                </c:pt>
                <c:pt idx="3">
                  <c:v>66.738500000000002</c:v>
                </c:pt>
                <c:pt idx="4">
                  <c:v>81.515000000000001</c:v>
                </c:pt>
                <c:pt idx="5">
                  <c:v>69.140249999999995</c:v>
                </c:pt>
                <c:pt idx="6">
                  <c:v>73.923500000000004</c:v>
                </c:pt>
                <c:pt idx="7">
                  <c:v>80.172749999999994</c:v>
                </c:pt>
                <c:pt idx="8">
                  <c:v>70.266249999999999</c:v>
                </c:pt>
                <c:pt idx="9">
                  <c:v>82.92</c:v>
                </c:pt>
                <c:pt idx="10">
                  <c:v>69.458749999999995</c:v>
                </c:pt>
                <c:pt idx="11">
                  <c:v>73.944749999999999</c:v>
                </c:pt>
                <c:pt idx="12">
                  <c:v>78.923249999999996</c:v>
                </c:pt>
                <c:pt idx="13">
                  <c:v>81.489999999999995</c:v>
                </c:pt>
                <c:pt idx="14">
                  <c:v>77.010999999999996</c:v>
                </c:pt>
                <c:pt idx="15">
                  <c:v>73.716999999999999</c:v>
                </c:pt>
                <c:pt idx="16">
                  <c:v>68.298500000000004</c:v>
                </c:pt>
                <c:pt idx="17">
                  <c:v>81.363249999999994</c:v>
                </c:pt>
                <c:pt idx="18">
                  <c:v>67.977500000000006</c:v>
                </c:pt>
                <c:pt idx="19">
                  <c:v>65.9285</c:v>
                </c:pt>
                <c:pt idx="20">
                  <c:v>71.902500000000003</c:v>
                </c:pt>
                <c:pt idx="21">
                  <c:v>67.558750000000003</c:v>
                </c:pt>
                <c:pt idx="22">
                  <c:v>72.10275</c:v>
                </c:pt>
                <c:pt idx="23">
                  <c:v>68.047250000000005</c:v>
                </c:pt>
                <c:pt idx="24">
                  <c:v>69.138000000000005</c:v>
                </c:pt>
                <c:pt idx="25">
                  <c:v>75.832250000000002</c:v>
                </c:pt>
                <c:pt idx="26">
                  <c:v>67.867249999999999</c:v>
                </c:pt>
                <c:pt idx="27">
                  <c:v>73.296999999999997</c:v>
                </c:pt>
                <c:pt idx="28">
                  <c:v>69.992249999999999</c:v>
                </c:pt>
                <c:pt idx="29">
                  <c:v>77.667249999999996</c:v>
                </c:pt>
                <c:pt idx="30">
                  <c:v>73.642250000000004</c:v>
                </c:pt>
                <c:pt idx="31">
                  <c:v>78.064750000000004</c:v>
                </c:pt>
                <c:pt idx="32">
                  <c:v>77.946250000000006</c:v>
                </c:pt>
                <c:pt idx="33">
                  <c:v>72.652749999999997</c:v>
                </c:pt>
                <c:pt idx="34">
                  <c:v>74.101749999999996</c:v>
                </c:pt>
                <c:pt idx="35">
                  <c:v>77.573499999999996</c:v>
                </c:pt>
                <c:pt idx="36">
                  <c:v>76.248249999999999</c:v>
                </c:pt>
                <c:pt idx="37">
                  <c:v>73.350499999999997</c:v>
                </c:pt>
                <c:pt idx="38">
                  <c:v>75.473749999999995</c:v>
                </c:pt>
                <c:pt idx="39">
                  <c:v>70.245500000000007</c:v>
                </c:pt>
                <c:pt idx="40">
                  <c:v>76.742999999999995</c:v>
                </c:pt>
                <c:pt idx="41">
                  <c:v>75.751750000000001</c:v>
                </c:pt>
                <c:pt idx="42">
                  <c:v>71.84075</c:v>
                </c:pt>
                <c:pt idx="43">
                  <c:v>76.287750000000003</c:v>
                </c:pt>
                <c:pt idx="44">
                  <c:v>77.219750000000005</c:v>
                </c:pt>
                <c:pt idx="45">
                  <c:v>69.163749999999993</c:v>
                </c:pt>
                <c:pt idx="46">
                  <c:v>75.228250000000003</c:v>
                </c:pt>
                <c:pt idx="47">
                  <c:v>71.296499999999995</c:v>
                </c:pt>
                <c:pt idx="48">
                  <c:v>71.164000000000001</c:v>
                </c:pt>
                <c:pt idx="49">
                  <c:v>73.168750000000003</c:v>
                </c:pt>
                <c:pt idx="50">
                  <c:v>77.060249999999996</c:v>
                </c:pt>
                <c:pt idx="51">
                  <c:v>67.301749999999998</c:v>
                </c:pt>
                <c:pt idx="52">
                  <c:v>64.227500000000006</c:v>
                </c:pt>
                <c:pt idx="53">
                  <c:v>61.954250000000002</c:v>
                </c:pt>
                <c:pt idx="54">
                  <c:v>65.525750000000002</c:v>
                </c:pt>
                <c:pt idx="55">
                  <c:v>74.906750000000002</c:v>
                </c:pt>
                <c:pt idx="56">
                  <c:v>80.564250000000001</c:v>
                </c:pt>
                <c:pt idx="57">
                  <c:v>67.590500000000006</c:v>
                </c:pt>
                <c:pt idx="58">
                  <c:v>73.180250000000001</c:v>
                </c:pt>
                <c:pt idx="59">
                  <c:v>75.034000000000006</c:v>
                </c:pt>
                <c:pt idx="60">
                  <c:v>68.441999999999993</c:v>
                </c:pt>
                <c:pt idx="61">
                  <c:v>64.836749999999995</c:v>
                </c:pt>
                <c:pt idx="62">
                  <c:v>66.087000000000003</c:v>
                </c:pt>
                <c:pt idx="63">
                  <c:v>72.808000000000007</c:v>
                </c:pt>
                <c:pt idx="64">
                  <c:v>72.396000000000001</c:v>
                </c:pt>
                <c:pt idx="65">
                  <c:v>69.297250000000005</c:v>
                </c:pt>
                <c:pt idx="66">
                  <c:v>66.781499999999994</c:v>
                </c:pt>
                <c:pt idx="67">
                  <c:v>66.496750000000006</c:v>
                </c:pt>
                <c:pt idx="68">
                  <c:v>65.281000000000006</c:v>
                </c:pt>
                <c:pt idx="69">
                  <c:v>64.187749999999994</c:v>
                </c:pt>
                <c:pt idx="70">
                  <c:v>65.477249999999998</c:v>
                </c:pt>
                <c:pt idx="71">
                  <c:v>66.047499999999999</c:v>
                </c:pt>
                <c:pt idx="72">
                  <c:v>62.9345</c:v>
                </c:pt>
                <c:pt idx="73">
                  <c:v>62.370000000000005</c:v>
                </c:pt>
                <c:pt idx="74">
                  <c:v>69.628749999999997</c:v>
                </c:pt>
                <c:pt idx="75">
                  <c:v>68.044499999999999</c:v>
                </c:pt>
                <c:pt idx="76">
                  <c:v>68.733500000000006</c:v>
                </c:pt>
                <c:pt idx="77">
                  <c:v>68.153000000000006</c:v>
                </c:pt>
                <c:pt idx="78">
                  <c:v>68.601249999999993</c:v>
                </c:pt>
                <c:pt idx="79">
                  <c:v>62.592749999999995</c:v>
                </c:pt>
                <c:pt idx="80">
                  <c:v>63.495750000000001</c:v>
                </c:pt>
                <c:pt idx="81">
                  <c:v>77.47475</c:v>
                </c:pt>
                <c:pt idx="82">
                  <c:v>76.91525</c:v>
                </c:pt>
                <c:pt idx="83">
                  <c:v>70.283249999999995</c:v>
                </c:pt>
                <c:pt idx="84">
                  <c:v>75.927999999999997</c:v>
                </c:pt>
                <c:pt idx="85">
                  <c:v>70.821749999999994</c:v>
                </c:pt>
                <c:pt idx="86">
                  <c:v>66.904499999999999</c:v>
                </c:pt>
                <c:pt idx="87">
                  <c:v>80.048249999999996</c:v>
                </c:pt>
                <c:pt idx="88">
                  <c:v>76.823250000000002</c:v>
                </c:pt>
                <c:pt idx="89">
                  <c:v>64.455500000000001</c:v>
                </c:pt>
                <c:pt idx="90">
                  <c:v>68.887249999999995</c:v>
                </c:pt>
                <c:pt idx="91">
                  <c:v>76.979500000000002</c:v>
                </c:pt>
                <c:pt idx="92">
                  <c:v>73.343249999999998</c:v>
                </c:pt>
                <c:pt idx="93">
                  <c:v>75.004499999999993</c:v>
                </c:pt>
                <c:pt idx="94">
                  <c:v>81.140500000000003</c:v>
                </c:pt>
                <c:pt idx="95">
                  <c:v>73.783500000000004</c:v>
                </c:pt>
                <c:pt idx="96">
                  <c:v>70.981499999999997</c:v>
                </c:pt>
                <c:pt idx="97">
                  <c:v>73.477249999999998</c:v>
                </c:pt>
                <c:pt idx="98">
                  <c:v>76.641999999999996</c:v>
                </c:pt>
                <c:pt idx="99">
                  <c:v>71.697000000000003</c:v>
                </c:pt>
                <c:pt idx="100">
                  <c:v>75.83175</c:v>
                </c:pt>
                <c:pt idx="101">
                  <c:v>77.680750000000003</c:v>
                </c:pt>
                <c:pt idx="102">
                  <c:v>72.848249999999993</c:v>
                </c:pt>
                <c:pt idx="103">
                  <c:v>76.196749999999994</c:v>
                </c:pt>
                <c:pt idx="104">
                  <c:v>72.912000000000006</c:v>
                </c:pt>
                <c:pt idx="105">
                  <c:v>74.035250000000005</c:v>
                </c:pt>
                <c:pt idx="106">
                  <c:v>78.511250000000004</c:v>
                </c:pt>
                <c:pt idx="107">
                  <c:v>78.964500000000001</c:v>
                </c:pt>
                <c:pt idx="108">
                  <c:v>75.937250000000006</c:v>
                </c:pt>
                <c:pt idx="109">
                  <c:v>76.170500000000004</c:v>
                </c:pt>
                <c:pt idx="110">
                  <c:v>68.457250000000002</c:v>
                </c:pt>
                <c:pt idx="111">
                  <c:v>75.662750000000003</c:v>
                </c:pt>
                <c:pt idx="112">
                  <c:v>64.781000000000006</c:v>
                </c:pt>
                <c:pt idx="113">
                  <c:v>59.510249999999999</c:v>
                </c:pt>
                <c:pt idx="114">
                  <c:v>52.519000000000005</c:v>
                </c:pt>
                <c:pt idx="115">
                  <c:v>53.478250000000003</c:v>
                </c:pt>
                <c:pt idx="116">
                  <c:v>57.674750000000003</c:v>
                </c:pt>
                <c:pt idx="117">
                  <c:v>76.181250000000006</c:v>
                </c:pt>
                <c:pt idx="118">
                  <c:v>73.251249999999999</c:v>
                </c:pt>
                <c:pt idx="119">
                  <c:v>66.178749999999994</c:v>
                </c:pt>
                <c:pt idx="120">
                  <c:v>68.671999999999997</c:v>
                </c:pt>
                <c:pt idx="121">
                  <c:v>63.932249999999996</c:v>
                </c:pt>
                <c:pt idx="122">
                  <c:v>67.418499999999995</c:v>
                </c:pt>
                <c:pt idx="123">
                  <c:v>60.915499999999994</c:v>
                </c:pt>
                <c:pt idx="124">
                  <c:v>71.373249999999999</c:v>
                </c:pt>
                <c:pt idx="125">
                  <c:v>60.248000000000005</c:v>
                </c:pt>
                <c:pt idx="126">
                  <c:v>64.083749999999995</c:v>
                </c:pt>
                <c:pt idx="127">
                  <c:v>65.379000000000005</c:v>
                </c:pt>
                <c:pt idx="128">
                  <c:v>63.595749999999995</c:v>
                </c:pt>
                <c:pt idx="129">
                  <c:v>62.522000000000006</c:v>
                </c:pt>
                <c:pt idx="130">
                  <c:v>67.867750000000001</c:v>
                </c:pt>
                <c:pt idx="131">
                  <c:v>59.270499999999998</c:v>
                </c:pt>
                <c:pt idx="132">
                  <c:v>62.392499999999998</c:v>
                </c:pt>
                <c:pt idx="133">
                  <c:v>42.751000000000005</c:v>
                </c:pt>
                <c:pt idx="134">
                  <c:v>47.630250000000004</c:v>
                </c:pt>
                <c:pt idx="135">
                  <c:v>45.341750000000005</c:v>
                </c:pt>
                <c:pt idx="136">
                  <c:v>48.91225</c:v>
                </c:pt>
                <c:pt idx="137">
                  <c:v>47.5655</c:v>
                </c:pt>
                <c:pt idx="138">
                  <c:v>44.858000000000004</c:v>
                </c:pt>
                <c:pt idx="139">
                  <c:v>49.738500000000002</c:v>
                </c:pt>
                <c:pt idx="140">
                  <c:v>49.403750000000002</c:v>
                </c:pt>
                <c:pt idx="141">
                  <c:v>46.037000000000006</c:v>
                </c:pt>
                <c:pt idx="142">
                  <c:v>43.385249999999999</c:v>
                </c:pt>
                <c:pt idx="143">
                  <c:v>45.3</c:v>
                </c:pt>
                <c:pt idx="144">
                  <c:v>45.084000000000003</c:v>
                </c:pt>
                <c:pt idx="145">
                  <c:v>74.791250000000005</c:v>
                </c:pt>
                <c:pt idx="146">
                  <c:v>78.037499999999994</c:v>
                </c:pt>
                <c:pt idx="147">
                  <c:v>79.782749999999993</c:v>
                </c:pt>
                <c:pt idx="148">
                  <c:v>72.612250000000003</c:v>
                </c:pt>
                <c:pt idx="149">
                  <c:v>75.768000000000001</c:v>
                </c:pt>
                <c:pt idx="150">
                  <c:v>77.521500000000003</c:v>
                </c:pt>
                <c:pt idx="151">
                  <c:v>80.322249999999997</c:v>
                </c:pt>
                <c:pt idx="152">
                  <c:v>67.971000000000004</c:v>
                </c:pt>
                <c:pt idx="153">
                  <c:v>80.494749999999996</c:v>
                </c:pt>
                <c:pt idx="154">
                  <c:v>74.242000000000004</c:v>
                </c:pt>
                <c:pt idx="155">
                  <c:v>73.169499999999999</c:v>
                </c:pt>
                <c:pt idx="156">
                  <c:v>75.358999999999995</c:v>
                </c:pt>
                <c:pt idx="157">
                  <c:v>69.527500000000003</c:v>
                </c:pt>
                <c:pt idx="158">
                  <c:v>74.111500000000007</c:v>
                </c:pt>
                <c:pt idx="159">
                  <c:v>76.056250000000006</c:v>
                </c:pt>
                <c:pt idx="160">
                  <c:v>71.962999999999994</c:v>
                </c:pt>
                <c:pt idx="161">
                  <c:v>80.514750000000006</c:v>
                </c:pt>
                <c:pt idx="162">
                  <c:v>71.192999999999998</c:v>
                </c:pt>
                <c:pt idx="163">
                  <c:v>75.853250000000003</c:v>
                </c:pt>
                <c:pt idx="164">
                  <c:v>72.339749999999995</c:v>
                </c:pt>
                <c:pt idx="165">
                  <c:v>73.5715</c:v>
                </c:pt>
                <c:pt idx="166">
                  <c:v>75.248500000000007</c:v>
                </c:pt>
                <c:pt idx="167">
                  <c:v>73.808999999999997</c:v>
                </c:pt>
                <c:pt idx="168">
                  <c:v>73.996250000000003</c:v>
                </c:pt>
                <c:pt idx="169">
                  <c:v>72.671499999999995</c:v>
                </c:pt>
                <c:pt idx="170">
                  <c:v>80.028750000000002</c:v>
                </c:pt>
                <c:pt idx="171">
                  <c:v>75.295249999999996</c:v>
                </c:pt>
                <c:pt idx="172">
                  <c:v>76.283749999999998</c:v>
                </c:pt>
                <c:pt idx="173">
                  <c:v>63.750500000000002</c:v>
                </c:pt>
                <c:pt idx="174">
                  <c:v>74.728499999999997</c:v>
                </c:pt>
                <c:pt idx="175">
                  <c:v>65.597499999999997</c:v>
                </c:pt>
                <c:pt idx="176">
                  <c:v>73.080749999999995</c:v>
                </c:pt>
                <c:pt idx="177">
                  <c:v>69.008499999999998</c:v>
                </c:pt>
                <c:pt idx="178">
                  <c:v>70.129750000000001</c:v>
                </c:pt>
                <c:pt idx="179">
                  <c:v>76.807749999999999</c:v>
                </c:pt>
                <c:pt idx="180">
                  <c:v>74.134249999999994</c:v>
                </c:pt>
                <c:pt idx="181">
                  <c:v>75.284000000000006</c:v>
                </c:pt>
                <c:pt idx="182">
                  <c:v>68.863749999999996</c:v>
                </c:pt>
                <c:pt idx="183">
                  <c:v>55.849999999999994</c:v>
                </c:pt>
                <c:pt idx="184">
                  <c:v>56.75</c:v>
                </c:pt>
                <c:pt idx="185">
                  <c:v>55.974999999999994</c:v>
                </c:pt>
                <c:pt idx="186">
                  <c:v>65.349999999999994</c:v>
                </c:pt>
                <c:pt idx="187">
                  <c:v>72.95</c:v>
                </c:pt>
                <c:pt idx="188">
                  <c:v>58.924999999999997</c:v>
                </c:pt>
                <c:pt idx="189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5-41E8-A5B3-522593C01396}"/>
            </c:ext>
          </c:extLst>
        </c:ser>
        <c:ser>
          <c:idx val="1"/>
          <c:order val="1"/>
          <c:tx>
            <c:strRef>
              <c:f>'SICA_adjusted (2)'!$O$1</c:f>
              <c:strCache>
                <c:ptCount val="1"/>
                <c:pt idx="0">
                  <c:v>GRMS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9414008398135181E-2"/>
                  <c:y val="-0.15465498944757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D8C1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'SICA_adjusted (2)'!$L$2:$L$343</c:f>
              <c:numCache>
                <c:formatCode>General</c:formatCode>
                <c:ptCount val="342"/>
                <c:pt idx="0">
                  <c:v>0.20845796335908273</c:v>
                </c:pt>
                <c:pt idx="1">
                  <c:v>0.20845796335908273</c:v>
                </c:pt>
                <c:pt idx="2">
                  <c:v>0.20845796335908273</c:v>
                </c:pt>
                <c:pt idx="3">
                  <c:v>0.20845796335908273</c:v>
                </c:pt>
                <c:pt idx="4">
                  <c:v>0.20845796335908273</c:v>
                </c:pt>
                <c:pt idx="5">
                  <c:v>0.20845796335908273</c:v>
                </c:pt>
                <c:pt idx="6">
                  <c:v>0.20845796335908273</c:v>
                </c:pt>
                <c:pt idx="7">
                  <c:v>0.20845796335908273</c:v>
                </c:pt>
                <c:pt idx="8">
                  <c:v>0.20845796335908273</c:v>
                </c:pt>
                <c:pt idx="9">
                  <c:v>0.20845796335908273</c:v>
                </c:pt>
                <c:pt idx="10">
                  <c:v>0.20845796335908273</c:v>
                </c:pt>
                <c:pt idx="11">
                  <c:v>0.20845796335908273</c:v>
                </c:pt>
                <c:pt idx="12">
                  <c:v>0.20845796335908273</c:v>
                </c:pt>
                <c:pt idx="13">
                  <c:v>0.20845796335908273</c:v>
                </c:pt>
                <c:pt idx="14">
                  <c:v>0.20845796335908273</c:v>
                </c:pt>
                <c:pt idx="15">
                  <c:v>0.20845796335908273</c:v>
                </c:pt>
                <c:pt idx="16">
                  <c:v>0.20845796335908273</c:v>
                </c:pt>
                <c:pt idx="17">
                  <c:v>0.20845796335908273</c:v>
                </c:pt>
                <c:pt idx="18">
                  <c:v>0.20845796335908273</c:v>
                </c:pt>
                <c:pt idx="19">
                  <c:v>0.20845796335908273</c:v>
                </c:pt>
                <c:pt idx="20">
                  <c:v>0.97355141215483254</c:v>
                </c:pt>
                <c:pt idx="21">
                  <c:v>0.97355141215483254</c:v>
                </c:pt>
                <c:pt idx="22">
                  <c:v>0.97355141215483254</c:v>
                </c:pt>
                <c:pt idx="23">
                  <c:v>0.97355141215483254</c:v>
                </c:pt>
                <c:pt idx="24">
                  <c:v>0.97355141215483254</c:v>
                </c:pt>
                <c:pt idx="25">
                  <c:v>0.97355141215483254</c:v>
                </c:pt>
                <c:pt idx="26">
                  <c:v>0.97355141215483254</c:v>
                </c:pt>
                <c:pt idx="27">
                  <c:v>0.97355141215483254</c:v>
                </c:pt>
                <c:pt idx="28">
                  <c:v>0.97355141215483254</c:v>
                </c:pt>
                <c:pt idx="29">
                  <c:v>0.97355141215483254</c:v>
                </c:pt>
                <c:pt idx="30">
                  <c:v>0.97355141215483254</c:v>
                </c:pt>
                <c:pt idx="31">
                  <c:v>0.97355141215483254</c:v>
                </c:pt>
                <c:pt idx="32">
                  <c:v>0.97355141215483254</c:v>
                </c:pt>
                <c:pt idx="33">
                  <c:v>0.97355141215483254</c:v>
                </c:pt>
                <c:pt idx="34">
                  <c:v>3.0231619608093281</c:v>
                </c:pt>
                <c:pt idx="35">
                  <c:v>3.0231619608093281</c:v>
                </c:pt>
                <c:pt idx="36">
                  <c:v>3.0231619608093281</c:v>
                </c:pt>
                <c:pt idx="37">
                  <c:v>3.0231619608093281</c:v>
                </c:pt>
                <c:pt idx="38">
                  <c:v>3.0231619608093281</c:v>
                </c:pt>
                <c:pt idx="39">
                  <c:v>3.0231619608093281</c:v>
                </c:pt>
                <c:pt idx="40">
                  <c:v>3.0231619608093281</c:v>
                </c:pt>
                <c:pt idx="41">
                  <c:v>3.0231619608093281</c:v>
                </c:pt>
                <c:pt idx="42">
                  <c:v>3.0231619608093281</c:v>
                </c:pt>
                <c:pt idx="43">
                  <c:v>3.0231619608093281</c:v>
                </c:pt>
                <c:pt idx="44">
                  <c:v>3.0231619608093281</c:v>
                </c:pt>
                <c:pt idx="45">
                  <c:v>3.0231619608093281</c:v>
                </c:pt>
                <c:pt idx="46">
                  <c:v>4.2803573224382276</c:v>
                </c:pt>
                <c:pt idx="47">
                  <c:v>4.2803573224382276</c:v>
                </c:pt>
                <c:pt idx="48">
                  <c:v>4.2803573224382276</c:v>
                </c:pt>
                <c:pt idx="49">
                  <c:v>4.2803573224382276</c:v>
                </c:pt>
                <c:pt idx="50">
                  <c:v>4.2803573224382276</c:v>
                </c:pt>
                <c:pt idx="51">
                  <c:v>4.2803573224382276</c:v>
                </c:pt>
                <c:pt idx="52">
                  <c:v>4.2803573224382276</c:v>
                </c:pt>
                <c:pt idx="53">
                  <c:v>4.2803573224382276</c:v>
                </c:pt>
                <c:pt idx="54">
                  <c:v>4.2803573224382276</c:v>
                </c:pt>
                <c:pt idx="55">
                  <c:v>4.2803573224382276</c:v>
                </c:pt>
                <c:pt idx="56">
                  <c:v>4.2803573224382276</c:v>
                </c:pt>
                <c:pt idx="57">
                  <c:v>4.2803573224382276</c:v>
                </c:pt>
                <c:pt idx="58">
                  <c:v>4.2803573224382276</c:v>
                </c:pt>
                <c:pt idx="59">
                  <c:v>4.2803573224382276</c:v>
                </c:pt>
                <c:pt idx="60">
                  <c:v>6.8983430984581355</c:v>
                </c:pt>
                <c:pt idx="61">
                  <c:v>6.8983430984581355</c:v>
                </c:pt>
                <c:pt idx="62">
                  <c:v>6.8983430984581355</c:v>
                </c:pt>
                <c:pt idx="63">
                  <c:v>6.8983430984581355</c:v>
                </c:pt>
                <c:pt idx="64">
                  <c:v>6.8983430984581355</c:v>
                </c:pt>
                <c:pt idx="65">
                  <c:v>6.8983430984581355</c:v>
                </c:pt>
                <c:pt idx="66">
                  <c:v>6.8983430984581355</c:v>
                </c:pt>
                <c:pt idx="67">
                  <c:v>6.8983430984581355</c:v>
                </c:pt>
                <c:pt idx="68">
                  <c:v>6.8983430984581355</c:v>
                </c:pt>
                <c:pt idx="69">
                  <c:v>6.8983430984581355</c:v>
                </c:pt>
                <c:pt idx="70">
                  <c:v>6.8983430984581355</c:v>
                </c:pt>
                <c:pt idx="71">
                  <c:v>6.8983430984581355</c:v>
                </c:pt>
                <c:pt idx="72">
                  <c:v>6.8983430984581355</c:v>
                </c:pt>
                <c:pt idx="73">
                  <c:v>6.8983430984581355</c:v>
                </c:pt>
                <c:pt idx="74">
                  <c:v>6.8983430984581355</c:v>
                </c:pt>
                <c:pt idx="75">
                  <c:v>6.8983430984581355</c:v>
                </c:pt>
                <c:pt idx="76">
                  <c:v>6.8983430984581355</c:v>
                </c:pt>
                <c:pt idx="77">
                  <c:v>6.8983430984581355</c:v>
                </c:pt>
                <c:pt idx="78">
                  <c:v>6.8983430984581355</c:v>
                </c:pt>
                <c:pt idx="79">
                  <c:v>6.8983430984581355</c:v>
                </c:pt>
                <c:pt idx="80">
                  <c:v>6.8983430984581355</c:v>
                </c:pt>
                <c:pt idx="81">
                  <c:v>6.2855041298130465E-2</c:v>
                </c:pt>
                <c:pt idx="82">
                  <c:v>6.2855041298130465E-2</c:v>
                </c:pt>
                <c:pt idx="83">
                  <c:v>6.2855041298130465E-2</c:v>
                </c:pt>
                <c:pt idx="84">
                  <c:v>6.2855041298130465E-2</c:v>
                </c:pt>
                <c:pt idx="85">
                  <c:v>6.2855041298130465E-2</c:v>
                </c:pt>
                <c:pt idx="86">
                  <c:v>6.2855041298130465E-2</c:v>
                </c:pt>
                <c:pt idx="87">
                  <c:v>6.2855041298130465E-2</c:v>
                </c:pt>
                <c:pt idx="88">
                  <c:v>6.2855041298130465E-2</c:v>
                </c:pt>
                <c:pt idx="89">
                  <c:v>6.2855041298130465E-2</c:v>
                </c:pt>
                <c:pt idx="90">
                  <c:v>6.2855041298130465E-2</c:v>
                </c:pt>
                <c:pt idx="91">
                  <c:v>6.2855041298130465E-2</c:v>
                </c:pt>
                <c:pt idx="92">
                  <c:v>2.7138579775645519</c:v>
                </c:pt>
                <c:pt idx="93">
                  <c:v>2.7138579775645519</c:v>
                </c:pt>
                <c:pt idx="94">
                  <c:v>2.7138579775645519</c:v>
                </c:pt>
                <c:pt idx="95">
                  <c:v>2.7138579775645519</c:v>
                </c:pt>
                <c:pt idx="96">
                  <c:v>2.7138579775645519</c:v>
                </c:pt>
                <c:pt idx="97">
                  <c:v>2.7138579775645519</c:v>
                </c:pt>
                <c:pt idx="98">
                  <c:v>2.7138579775645519</c:v>
                </c:pt>
                <c:pt idx="99">
                  <c:v>2.7138579775645519</c:v>
                </c:pt>
                <c:pt idx="100">
                  <c:v>6.3400695458465188</c:v>
                </c:pt>
                <c:pt idx="101">
                  <c:v>6.3400695458465188</c:v>
                </c:pt>
                <c:pt idx="102">
                  <c:v>6.3400695458465188</c:v>
                </c:pt>
                <c:pt idx="103">
                  <c:v>6.3400695458465188</c:v>
                </c:pt>
                <c:pt idx="104">
                  <c:v>6.3400695458465188</c:v>
                </c:pt>
                <c:pt idx="105">
                  <c:v>6.3400695458465188</c:v>
                </c:pt>
                <c:pt idx="106">
                  <c:v>6.3400695458465188</c:v>
                </c:pt>
                <c:pt idx="107">
                  <c:v>6.3400695458465188</c:v>
                </c:pt>
                <c:pt idx="108">
                  <c:v>6.3400695458465188</c:v>
                </c:pt>
                <c:pt idx="109">
                  <c:v>8.073406071570405</c:v>
                </c:pt>
                <c:pt idx="110">
                  <c:v>8.073406071570405</c:v>
                </c:pt>
                <c:pt idx="111">
                  <c:v>8.073406071570405</c:v>
                </c:pt>
                <c:pt idx="112">
                  <c:v>8.073406071570405</c:v>
                </c:pt>
                <c:pt idx="113">
                  <c:v>8.073406071570405</c:v>
                </c:pt>
                <c:pt idx="114">
                  <c:v>8.073406071570405</c:v>
                </c:pt>
                <c:pt idx="115">
                  <c:v>8.073406071570405</c:v>
                </c:pt>
                <c:pt idx="116">
                  <c:v>8.073406071570405</c:v>
                </c:pt>
                <c:pt idx="117">
                  <c:v>8.073406071570405</c:v>
                </c:pt>
                <c:pt idx="118">
                  <c:v>8.073406071570405</c:v>
                </c:pt>
                <c:pt idx="119">
                  <c:v>9.6352472759738816</c:v>
                </c:pt>
                <c:pt idx="120">
                  <c:v>9.6352472759738816</c:v>
                </c:pt>
                <c:pt idx="121">
                  <c:v>9.6352472759738816</c:v>
                </c:pt>
                <c:pt idx="122">
                  <c:v>9.6352472759738816</c:v>
                </c:pt>
                <c:pt idx="123">
                  <c:v>9.6352472759738816</c:v>
                </c:pt>
                <c:pt idx="124">
                  <c:v>9.6352472759738816</c:v>
                </c:pt>
                <c:pt idx="125">
                  <c:v>9.6352472759738816</c:v>
                </c:pt>
                <c:pt idx="126">
                  <c:v>9.6352472759738816</c:v>
                </c:pt>
                <c:pt idx="127">
                  <c:v>9.6352472759738816</c:v>
                </c:pt>
                <c:pt idx="128">
                  <c:v>9.6352472759738816</c:v>
                </c:pt>
                <c:pt idx="129">
                  <c:v>9.6352472759738816</c:v>
                </c:pt>
                <c:pt idx="130">
                  <c:v>9.6352472759738816</c:v>
                </c:pt>
                <c:pt idx="131">
                  <c:v>9.6352472759738816</c:v>
                </c:pt>
                <c:pt idx="132">
                  <c:v>9.6352472759738816</c:v>
                </c:pt>
                <c:pt idx="133">
                  <c:v>-8.4299131170760813</c:v>
                </c:pt>
                <c:pt idx="134">
                  <c:v>-8.4299131170760813</c:v>
                </c:pt>
                <c:pt idx="135">
                  <c:v>-8.4299131170760813</c:v>
                </c:pt>
                <c:pt idx="136">
                  <c:v>-8.4299131170760813</c:v>
                </c:pt>
                <c:pt idx="137">
                  <c:v>-8.4299131170760813</c:v>
                </c:pt>
                <c:pt idx="138">
                  <c:v>-8.4299131170760813</c:v>
                </c:pt>
                <c:pt idx="139">
                  <c:v>-8.4299131170760813</c:v>
                </c:pt>
                <c:pt idx="140">
                  <c:v>-8.4299131170760813</c:v>
                </c:pt>
                <c:pt idx="141">
                  <c:v>-8.4299131170760813</c:v>
                </c:pt>
                <c:pt idx="142">
                  <c:v>-8.4299131170760813</c:v>
                </c:pt>
                <c:pt idx="143">
                  <c:v>-8.4299131170760813</c:v>
                </c:pt>
                <c:pt idx="144">
                  <c:v>-8.4299131170760813</c:v>
                </c:pt>
                <c:pt idx="145">
                  <c:v>-4.2565782715540177</c:v>
                </c:pt>
                <c:pt idx="146">
                  <c:v>-4.2565782715540177</c:v>
                </c:pt>
                <c:pt idx="147">
                  <c:v>-4.2565782715540177</c:v>
                </c:pt>
                <c:pt idx="148">
                  <c:v>-4.2565782715540177</c:v>
                </c:pt>
                <c:pt idx="149">
                  <c:v>-4.2565782715540177</c:v>
                </c:pt>
                <c:pt idx="150">
                  <c:v>-4.2565782715540177</c:v>
                </c:pt>
                <c:pt idx="151">
                  <c:v>-4.2565782715540177</c:v>
                </c:pt>
                <c:pt idx="152">
                  <c:v>-4.2565782715540177</c:v>
                </c:pt>
                <c:pt idx="153">
                  <c:v>-4.2565782715540177</c:v>
                </c:pt>
                <c:pt idx="154">
                  <c:v>-4.2565782715540177</c:v>
                </c:pt>
                <c:pt idx="155">
                  <c:v>-4.2565782715540177</c:v>
                </c:pt>
                <c:pt idx="156">
                  <c:v>-4.2565782715540177</c:v>
                </c:pt>
                <c:pt idx="157">
                  <c:v>-0.65607332749237601</c:v>
                </c:pt>
                <c:pt idx="158">
                  <c:v>-0.65607332749237601</c:v>
                </c:pt>
                <c:pt idx="159">
                  <c:v>-0.65607332749237601</c:v>
                </c:pt>
                <c:pt idx="160">
                  <c:v>-0.65607332749237601</c:v>
                </c:pt>
                <c:pt idx="161">
                  <c:v>-0.65607332749237601</c:v>
                </c:pt>
                <c:pt idx="162">
                  <c:v>-0.65607332749237601</c:v>
                </c:pt>
                <c:pt idx="163">
                  <c:v>-0.65607332749237601</c:v>
                </c:pt>
                <c:pt idx="164">
                  <c:v>-0.65607332749237601</c:v>
                </c:pt>
                <c:pt idx="165">
                  <c:v>-0.65607332749237601</c:v>
                </c:pt>
                <c:pt idx="166">
                  <c:v>-0.65607332749237601</c:v>
                </c:pt>
                <c:pt idx="167">
                  <c:v>-0.65607332749237601</c:v>
                </c:pt>
                <c:pt idx="168">
                  <c:v>-0.65607332749237601</c:v>
                </c:pt>
                <c:pt idx="169">
                  <c:v>-0.65607332749237601</c:v>
                </c:pt>
                <c:pt idx="170">
                  <c:v>-0.65607332749237601</c:v>
                </c:pt>
                <c:pt idx="171">
                  <c:v>-0.65607332749237601</c:v>
                </c:pt>
                <c:pt idx="172">
                  <c:v>-0.65607332749237601</c:v>
                </c:pt>
                <c:pt idx="173">
                  <c:v>4.9924614170762016</c:v>
                </c:pt>
                <c:pt idx="174">
                  <c:v>4.9924614170762016</c:v>
                </c:pt>
                <c:pt idx="175">
                  <c:v>4.9924614170762016</c:v>
                </c:pt>
                <c:pt idx="176">
                  <c:v>4.9924614170762016</c:v>
                </c:pt>
                <c:pt idx="177">
                  <c:v>4.9924614170762016</c:v>
                </c:pt>
                <c:pt idx="178">
                  <c:v>4.9924614170762016</c:v>
                </c:pt>
                <c:pt idx="179">
                  <c:v>4.9924614170762016</c:v>
                </c:pt>
                <c:pt idx="180">
                  <c:v>4.9924614170762016</c:v>
                </c:pt>
                <c:pt idx="181">
                  <c:v>4.9924614170762016</c:v>
                </c:pt>
                <c:pt idx="182">
                  <c:v>4.9924614170762016</c:v>
                </c:pt>
                <c:pt idx="183">
                  <c:v>8.9892351965154216</c:v>
                </c:pt>
                <c:pt idx="184">
                  <c:v>8.9892351965154216</c:v>
                </c:pt>
                <c:pt idx="185">
                  <c:v>8.9892351965154216</c:v>
                </c:pt>
                <c:pt idx="186">
                  <c:v>8.9892351965154216</c:v>
                </c:pt>
                <c:pt idx="187">
                  <c:v>8.9892351965154216</c:v>
                </c:pt>
                <c:pt idx="188">
                  <c:v>8.9892351965154216</c:v>
                </c:pt>
                <c:pt idx="189">
                  <c:v>8.9892351965154216</c:v>
                </c:pt>
                <c:pt idx="190">
                  <c:v>9.5701848720000111</c:v>
                </c:pt>
                <c:pt idx="191">
                  <c:v>9.5701848720000111</c:v>
                </c:pt>
                <c:pt idx="192">
                  <c:v>9.5701848720000111</c:v>
                </c:pt>
                <c:pt idx="193">
                  <c:v>9.5701848720000111</c:v>
                </c:pt>
                <c:pt idx="194">
                  <c:v>9.5701848720000111</c:v>
                </c:pt>
                <c:pt idx="195">
                  <c:v>9.5701848720000111</c:v>
                </c:pt>
                <c:pt idx="196">
                  <c:v>9.5701848720000111</c:v>
                </c:pt>
                <c:pt idx="197">
                  <c:v>9.5701848720000111</c:v>
                </c:pt>
                <c:pt idx="198">
                  <c:v>9.5701848720000111</c:v>
                </c:pt>
                <c:pt idx="199">
                  <c:v>9.5701848720000111</c:v>
                </c:pt>
                <c:pt idx="200">
                  <c:v>9.5701848720000111</c:v>
                </c:pt>
                <c:pt idx="201">
                  <c:v>9.7666848720000115</c:v>
                </c:pt>
                <c:pt idx="202">
                  <c:v>9.7666848720000115</c:v>
                </c:pt>
                <c:pt idx="203">
                  <c:v>9.7666848720000115</c:v>
                </c:pt>
                <c:pt idx="204">
                  <c:v>9.7666848720000115</c:v>
                </c:pt>
                <c:pt idx="205">
                  <c:v>3.8722533479999943</c:v>
                </c:pt>
                <c:pt idx="206">
                  <c:v>3.8722533479999943</c:v>
                </c:pt>
                <c:pt idx="207">
                  <c:v>3.8722533479999943</c:v>
                </c:pt>
                <c:pt idx="208">
                  <c:v>3.8722533479999943</c:v>
                </c:pt>
                <c:pt idx="209">
                  <c:v>3.8722533479999943</c:v>
                </c:pt>
                <c:pt idx="210">
                  <c:v>3.8722533479999943</c:v>
                </c:pt>
                <c:pt idx="211">
                  <c:v>3.8722533479999943</c:v>
                </c:pt>
                <c:pt idx="212">
                  <c:v>3.8722533479999943</c:v>
                </c:pt>
                <c:pt idx="213">
                  <c:v>3.8722533479999943</c:v>
                </c:pt>
                <c:pt idx="214">
                  <c:v>3.8722533479999943</c:v>
                </c:pt>
                <c:pt idx="215">
                  <c:v>4.122253347999993</c:v>
                </c:pt>
                <c:pt idx="216">
                  <c:v>4.122253347999993</c:v>
                </c:pt>
                <c:pt idx="217">
                  <c:v>4.122253347999993</c:v>
                </c:pt>
                <c:pt idx="218">
                  <c:v>4.122253347999993</c:v>
                </c:pt>
                <c:pt idx="219">
                  <c:v>4.122253347999993</c:v>
                </c:pt>
                <c:pt idx="220">
                  <c:v>4.122253347999993</c:v>
                </c:pt>
                <c:pt idx="221">
                  <c:v>4.122253347999993</c:v>
                </c:pt>
                <c:pt idx="222">
                  <c:v>4.122253347999993</c:v>
                </c:pt>
                <c:pt idx="223">
                  <c:v>12.430171780000002</c:v>
                </c:pt>
                <c:pt idx="224">
                  <c:v>12.430171780000002</c:v>
                </c:pt>
                <c:pt idx="225">
                  <c:v>12.430171780000002</c:v>
                </c:pt>
                <c:pt idx="226">
                  <c:v>12.430171780000002</c:v>
                </c:pt>
                <c:pt idx="227">
                  <c:v>12.430171780000002</c:v>
                </c:pt>
                <c:pt idx="228">
                  <c:v>12.430171780000002</c:v>
                </c:pt>
                <c:pt idx="229">
                  <c:v>12.430171780000002</c:v>
                </c:pt>
                <c:pt idx="230">
                  <c:v>12.430171780000002</c:v>
                </c:pt>
                <c:pt idx="231">
                  <c:v>12.430171780000002</c:v>
                </c:pt>
                <c:pt idx="232">
                  <c:v>12.430171780000002</c:v>
                </c:pt>
                <c:pt idx="233">
                  <c:v>12.430171780000002</c:v>
                </c:pt>
                <c:pt idx="234">
                  <c:v>12.430171780000002</c:v>
                </c:pt>
                <c:pt idx="235">
                  <c:v>12.146951708000003</c:v>
                </c:pt>
                <c:pt idx="236">
                  <c:v>12.146951708000003</c:v>
                </c:pt>
                <c:pt idx="237">
                  <c:v>12.146951708000003</c:v>
                </c:pt>
                <c:pt idx="238">
                  <c:v>12.146951708000003</c:v>
                </c:pt>
                <c:pt idx="239">
                  <c:v>12.146951708000003</c:v>
                </c:pt>
                <c:pt idx="240">
                  <c:v>12.146951708000003</c:v>
                </c:pt>
                <c:pt idx="241">
                  <c:v>12.146951708000003</c:v>
                </c:pt>
                <c:pt idx="242">
                  <c:v>12.146951708000003</c:v>
                </c:pt>
                <c:pt idx="243">
                  <c:v>12.146951708000003</c:v>
                </c:pt>
                <c:pt idx="244">
                  <c:v>12.146951708000003</c:v>
                </c:pt>
                <c:pt idx="245">
                  <c:v>12.146951708000003</c:v>
                </c:pt>
                <c:pt idx="246">
                  <c:v>12.146951708000003</c:v>
                </c:pt>
                <c:pt idx="247">
                  <c:v>12.146951708000003</c:v>
                </c:pt>
                <c:pt idx="248">
                  <c:v>12.146951708000003</c:v>
                </c:pt>
                <c:pt idx="249">
                  <c:v>12.146951708000003</c:v>
                </c:pt>
                <c:pt idx="250">
                  <c:v>8.5401181280000067</c:v>
                </c:pt>
                <c:pt idx="251">
                  <c:v>8.5401181280000067</c:v>
                </c:pt>
                <c:pt idx="252">
                  <c:v>8.5401181280000067</c:v>
                </c:pt>
                <c:pt idx="253">
                  <c:v>8.5401181280000067</c:v>
                </c:pt>
                <c:pt idx="254">
                  <c:v>8.5401181280000067</c:v>
                </c:pt>
                <c:pt idx="255">
                  <c:v>8.5401181280000067</c:v>
                </c:pt>
                <c:pt idx="256">
                  <c:v>8.5401181280000067</c:v>
                </c:pt>
                <c:pt idx="257">
                  <c:v>8.5401181280000067</c:v>
                </c:pt>
                <c:pt idx="258">
                  <c:v>8.5401181280000067</c:v>
                </c:pt>
                <c:pt idx="259">
                  <c:v>8.5401181280000067</c:v>
                </c:pt>
                <c:pt idx="260">
                  <c:v>8.5401181280000067</c:v>
                </c:pt>
                <c:pt idx="261">
                  <c:v>8.3858643200000067</c:v>
                </c:pt>
                <c:pt idx="262">
                  <c:v>8.3858643200000067</c:v>
                </c:pt>
                <c:pt idx="263">
                  <c:v>8.3858643200000067</c:v>
                </c:pt>
                <c:pt idx="264">
                  <c:v>8.3858643200000067</c:v>
                </c:pt>
                <c:pt idx="265">
                  <c:v>8.3858643200000067</c:v>
                </c:pt>
                <c:pt idx="266">
                  <c:v>8.3858643200000067</c:v>
                </c:pt>
                <c:pt idx="267">
                  <c:v>8.3858643200000067</c:v>
                </c:pt>
                <c:pt idx="268">
                  <c:v>8.3858643200000067</c:v>
                </c:pt>
                <c:pt idx="269">
                  <c:v>1.9427700360000106</c:v>
                </c:pt>
                <c:pt idx="270">
                  <c:v>1.9427700360000106</c:v>
                </c:pt>
                <c:pt idx="271">
                  <c:v>1.9427700360000106</c:v>
                </c:pt>
                <c:pt idx="272">
                  <c:v>1.9427700360000106</c:v>
                </c:pt>
                <c:pt idx="273">
                  <c:v>1.9427700360000106</c:v>
                </c:pt>
                <c:pt idx="274">
                  <c:v>1.9427700360000106</c:v>
                </c:pt>
                <c:pt idx="275">
                  <c:v>1.9427700360000106</c:v>
                </c:pt>
                <c:pt idx="276">
                  <c:v>1.9427700360000106</c:v>
                </c:pt>
                <c:pt idx="277">
                  <c:v>1.9427700360000106</c:v>
                </c:pt>
                <c:pt idx="278">
                  <c:v>1.4996931319999911</c:v>
                </c:pt>
                <c:pt idx="279">
                  <c:v>1.4996931319999911</c:v>
                </c:pt>
                <c:pt idx="280">
                  <c:v>1.4996931319999911</c:v>
                </c:pt>
                <c:pt idx="281">
                  <c:v>1.4996931319999911</c:v>
                </c:pt>
                <c:pt idx="282">
                  <c:v>1.4996931319999911</c:v>
                </c:pt>
                <c:pt idx="283">
                  <c:v>1.4996931319999911</c:v>
                </c:pt>
                <c:pt idx="284">
                  <c:v>1.4996931319999911</c:v>
                </c:pt>
                <c:pt idx="285">
                  <c:v>1.4996931319999911</c:v>
                </c:pt>
                <c:pt idx="286">
                  <c:v>1.4996931319999911</c:v>
                </c:pt>
                <c:pt idx="287">
                  <c:v>1.4996931319999911</c:v>
                </c:pt>
                <c:pt idx="288">
                  <c:v>12.152132652000006</c:v>
                </c:pt>
                <c:pt idx="289">
                  <c:v>12.152132652000006</c:v>
                </c:pt>
                <c:pt idx="290">
                  <c:v>12.152132652000006</c:v>
                </c:pt>
                <c:pt idx="291">
                  <c:v>12.152132652000006</c:v>
                </c:pt>
                <c:pt idx="292">
                  <c:v>12.152132652000006</c:v>
                </c:pt>
                <c:pt idx="293">
                  <c:v>12.152132652000006</c:v>
                </c:pt>
                <c:pt idx="294">
                  <c:v>12.202132652000007</c:v>
                </c:pt>
                <c:pt idx="295">
                  <c:v>12.202132652000007</c:v>
                </c:pt>
                <c:pt idx="296">
                  <c:v>12.202132652000007</c:v>
                </c:pt>
                <c:pt idx="297">
                  <c:v>12.202132652000007</c:v>
                </c:pt>
                <c:pt idx="298">
                  <c:v>12.202132652000007</c:v>
                </c:pt>
                <c:pt idx="299">
                  <c:v>12.202132652000007</c:v>
                </c:pt>
                <c:pt idx="300">
                  <c:v>12.202132652000007</c:v>
                </c:pt>
                <c:pt idx="301">
                  <c:v>6.376071951999994</c:v>
                </c:pt>
                <c:pt idx="302">
                  <c:v>6.376071951999994</c:v>
                </c:pt>
                <c:pt idx="303">
                  <c:v>6.376071951999994</c:v>
                </c:pt>
                <c:pt idx="304">
                  <c:v>6.376071951999994</c:v>
                </c:pt>
                <c:pt idx="305">
                  <c:v>6.376071951999994</c:v>
                </c:pt>
                <c:pt idx="306">
                  <c:v>6.376071951999994</c:v>
                </c:pt>
                <c:pt idx="307">
                  <c:v>6.376071951999994</c:v>
                </c:pt>
                <c:pt idx="308">
                  <c:v>6.376071951999994</c:v>
                </c:pt>
                <c:pt idx="309">
                  <c:v>6.376071951999994</c:v>
                </c:pt>
                <c:pt idx="310">
                  <c:v>6.376071951999994</c:v>
                </c:pt>
                <c:pt idx="311">
                  <c:v>6.6174420760000041</c:v>
                </c:pt>
                <c:pt idx="312">
                  <c:v>6.6174420760000041</c:v>
                </c:pt>
                <c:pt idx="313">
                  <c:v>6.6174420760000041</c:v>
                </c:pt>
                <c:pt idx="314">
                  <c:v>6.6174420760000041</c:v>
                </c:pt>
                <c:pt idx="315">
                  <c:v>6.6174420760000041</c:v>
                </c:pt>
                <c:pt idx="316">
                  <c:v>6.6174420760000041</c:v>
                </c:pt>
                <c:pt idx="317">
                  <c:v>6.6174420760000041</c:v>
                </c:pt>
                <c:pt idx="318">
                  <c:v>6.6174420760000041</c:v>
                </c:pt>
                <c:pt idx="319">
                  <c:v>6.6174420760000041</c:v>
                </c:pt>
                <c:pt idx="320">
                  <c:v>6.6174420760000041</c:v>
                </c:pt>
                <c:pt idx="321">
                  <c:v>14.582539116</c:v>
                </c:pt>
                <c:pt idx="322">
                  <c:v>14.582539116</c:v>
                </c:pt>
                <c:pt idx="323">
                  <c:v>14.582539116</c:v>
                </c:pt>
                <c:pt idx="324">
                  <c:v>14.582539116</c:v>
                </c:pt>
                <c:pt idx="325">
                  <c:v>14.582539116</c:v>
                </c:pt>
                <c:pt idx="326">
                  <c:v>14.582539116</c:v>
                </c:pt>
                <c:pt idx="327">
                  <c:v>14.582539116</c:v>
                </c:pt>
                <c:pt idx="328">
                  <c:v>14.582539116</c:v>
                </c:pt>
                <c:pt idx="329">
                  <c:v>14.582539116</c:v>
                </c:pt>
                <c:pt idx="330">
                  <c:v>14.582539116</c:v>
                </c:pt>
                <c:pt idx="331">
                  <c:v>15.32846335999999</c:v>
                </c:pt>
                <c:pt idx="332">
                  <c:v>15.32846335999999</c:v>
                </c:pt>
                <c:pt idx="333">
                  <c:v>15.32846335999999</c:v>
                </c:pt>
                <c:pt idx="334">
                  <c:v>15.32846335999999</c:v>
                </c:pt>
                <c:pt idx="335">
                  <c:v>15.32846335999999</c:v>
                </c:pt>
                <c:pt idx="336">
                  <c:v>15.32846335999999</c:v>
                </c:pt>
                <c:pt idx="337">
                  <c:v>15.32846335999999</c:v>
                </c:pt>
                <c:pt idx="338">
                  <c:v>15.32846335999999</c:v>
                </c:pt>
              </c:numCache>
            </c:numRef>
          </c:xVal>
          <c:yVal>
            <c:numRef>
              <c:f>'SICA_adjusted (2)'!$O$2:$O$343</c:f>
              <c:numCache>
                <c:formatCode>General</c:formatCode>
                <c:ptCount val="342"/>
                <c:pt idx="190">
                  <c:v>61.801749999999998</c:v>
                </c:pt>
                <c:pt idx="191">
                  <c:v>53.124499999999998</c:v>
                </c:pt>
                <c:pt idx="192">
                  <c:v>64.987750000000005</c:v>
                </c:pt>
                <c:pt idx="193">
                  <c:v>72.350499999999997</c:v>
                </c:pt>
                <c:pt idx="194">
                  <c:v>69.716250000000002</c:v>
                </c:pt>
                <c:pt idx="195">
                  <c:v>74.718500000000006</c:v>
                </c:pt>
                <c:pt idx="196">
                  <c:v>64.784750000000003</c:v>
                </c:pt>
                <c:pt idx="197">
                  <c:v>56.6845</c:v>
                </c:pt>
                <c:pt idx="198">
                  <c:v>65.855249999999998</c:v>
                </c:pt>
                <c:pt idx="199">
                  <c:v>57.735249999999994</c:v>
                </c:pt>
                <c:pt idx="200">
                  <c:v>60.078999999999994</c:v>
                </c:pt>
                <c:pt idx="201">
                  <c:v>57.751999999999995</c:v>
                </c:pt>
                <c:pt idx="202">
                  <c:v>72.12</c:v>
                </c:pt>
                <c:pt idx="203">
                  <c:v>77.09075</c:v>
                </c:pt>
                <c:pt idx="204">
                  <c:v>69.174250000000001</c:v>
                </c:pt>
                <c:pt idx="205">
                  <c:v>61.452250000000006</c:v>
                </c:pt>
                <c:pt idx="206">
                  <c:v>68.610249999999994</c:v>
                </c:pt>
                <c:pt idx="207">
                  <c:v>55.808250000000001</c:v>
                </c:pt>
                <c:pt idx="208">
                  <c:v>72.615499999999997</c:v>
                </c:pt>
                <c:pt idx="209">
                  <c:v>73.906499999999994</c:v>
                </c:pt>
                <c:pt idx="210">
                  <c:v>74.3245</c:v>
                </c:pt>
                <c:pt idx="211">
                  <c:v>68.482249999999993</c:v>
                </c:pt>
                <c:pt idx="212">
                  <c:v>63.798749999999998</c:v>
                </c:pt>
                <c:pt idx="213">
                  <c:v>64.712249999999997</c:v>
                </c:pt>
                <c:pt idx="214">
                  <c:v>56.342749999999995</c:v>
                </c:pt>
                <c:pt idx="215">
                  <c:v>71.579750000000004</c:v>
                </c:pt>
                <c:pt idx="216">
                  <c:v>73.746499999999997</c:v>
                </c:pt>
                <c:pt idx="217">
                  <c:v>66.460499999999996</c:v>
                </c:pt>
                <c:pt idx="218">
                  <c:v>67.751750000000001</c:v>
                </c:pt>
                <c:pt idx="219">
                  <c:v>71.864000000000004</c:v>
                </c:pt>
                <c:pt idx="220">
                  <c:v>77.188500000000005</c:v>
                </c:pt>
                <c:pt idx="221">
                  <c:v>80.233000000000004</c:v>
                </c:pt>
                <c:pt idx="222">
                  <c:v>66.320750000000004</c:v>
                </c:pt>
                <c:pt idx="223">
                  <c:v>66.893500000000003</c:v>
                </c:pt>
                <c:pt idx="224">
                  <c:v>81.660499999999999</c:v>
                </c:pt>
                <c:pt idx="225">
                  <c:v>72.416499999999999</c:v>
                </c:pt>
                <c:pt idx="226">
                  <c:v>65.866249999999994</c:v>
                </c:pt>
                <c:pt idx="227">
                  <c:v>75.326750000000004</c:v>
                </c:pt>
                <c:pt idx="228">
                  <c:v>71.574749999999995</c:v>
                </c:pt>
                <c:pt idx="229">
                  <c:v>82.138000000000005</c:v>
                </c:pt>
                <c:pt idx="230">
                  <c:v>72.459999999999994</c:v>
                </c:pt>
                <c:pt idx="231">
                  <c:v>78.288749999999993</c:v>
                </c:pt>
                <c:pt idx="232">
                  <c:v>79.266000000000005</c:v>
                </c:pt>
                <c:pt idx="233">
                  <c:v>74.896000000000001</c:v>
                </c:pt>
                <c:pt idx="234">
                  <c:v>74.737250000000003</c:v>
                </c:pt>
                <c:pt idx="235">
                  <c:v>69.0565</c:v>
                </c:pt>
                <c:pt idx="236">
                  <c:v>70.078749999999999</c:v>
                </c:pt>
                <c:pt idx="237">
                  <c:v>78.636750000000006</c:v>
                </c:pt>
                <c:pt idx="238">
                  <c:v>66.914000000000001</c:v>
                </c:pt>
                <c:pt idx="239">
                  <c:v>70.268749999999997</c:v>
                </c:pt>
                <c:pt idx="240">
                  <c:v>73.590249999999997</c:v>
                </c:pt>
                <c:pt idx="241">
                  <c:v>71.209000000000003</c:v>
                </c:pt>
                <c:pt idx="242">
                  <c:v>69.923249999999996</c:v>
                </c:pt>
                <c:pt idx="243">
                  <c:v>72.986500000000007</c:v>
                </c:pt>
                <c:pt idx="244">
                  <c:v>73.941500000000005</c:v>
                </c:pt>
                <c:pt idx="245">
                  <c:v>71.51925</c:v>
                </c:pt>
                <c:pt idx="246">
                  <c:v>63.005499999999998</c:v>
                </c:pt>
                <c:pt idx="247">
                  <c:v>76.78725</c:v>
                </c:pt>
                <c:pt idx="248">
                  <c:v>72.307249999999996</c:v>
                </c:pt>
                <c:pt idx="249">
                  <c:v>76.546250000000001</c:v>
                </c:pt>
                <c:pt idx="250">
                  <c:v>67.457999999999998</c:v>
                </c:pt>
                <c:pt idx="251">
                  <c:v>70.489999999999995</c:v>
                </c:pt>
                <c:pt idx="252">
                  <c:v>60.255250000000004</c:v>
                </c:pt>
                <c:pt idx="253">
                  <c:v>71.189499999999995</c:v>
                </c:pt>
                <c:pt idx="254">
                  <c:v>74.820750000000004</c:v>
                </c:pt>
                <c:pt idx="255">
                  <c:v>70.762</c:v>
                </c:pt>
                <c:pt idx="256">
                  <c:v>73.534999999999997</c:v>
                </c:pt>
                <c:pt idx="257">
                  <c:v>68.245999999999995</c:v>
                </c:pt>
                <c:pt idx="258">
                  <c:v>77.494749999999996</c:v>
                </c:pt>
                <c:pt idx="259">
                  <c:v>77.151499999999999</c:v>
                </c:pt>
                <c:pt idx="260">
                  <c:v>71.0685</c:v>
                </c:pt>
                <c:pt idx="261">
                  <c:v>77.197500000000005</c:v>
                </c:pt>
                <c:pt idx="262">
                  <c:v>71.883499999999998</c:v>
                </c:pt>
                <c:pt idx="263">
                  <c:v>75.876999999999995</c:v>
                </c:pt>
                <c:pt idx="264">
                  <c:v>73.278000000000006</c:v>
                </c:pt>
                <c:pt idx="265">
                  <c:v>62.786000000000001</c:v>
                </c:pt>
                <c:pt idx="266">
                  <c:v>70.564250000000001</c:v>
                </c:pt>
                <c:pt idx="267">
                  <c:v>60.857500000000002</c:v>
                </c:pt>
                <c:pt idx="268">
                  <c:v>70.515000000000001</c:v>
                </c:pt>
                <c:pt idx="269">
                  <c:v>62.034499999999994</c:v>
                </c:pt>
                <c:pt idx="270">
                  <c:v>64.097999999999999</c:v>
                </c:pt>
                <c:pt idx="271">
                  <c:v>66.070499999999996</c:v>
                </c:pt>
                <c:pt idx="272">
                  <c:v>64.358999999999995</c:v>
                </c:pt>
                <c:pt idx="273">
                  <c:v>64.386750000000006</c:v>
                </c:pt>
                <c:pt idx="274">
                  <c:v>64.91825</c:v>
                </c:pt>
                <c:pt idx="275">
                  <c:v>63.464749999999995</c:v>
                </c:pt>
                <c:pt idx="276">
                  <c:v>64.401499999999999</c:v>
                </c:pt>
                <c:pt idx="277">
                  <c:v>60.358500000000006</c:v>
                </c:pt>
                <c:pt idx="278">
                  <c:v>73.606250000000003</c:v>
                </c:pt>
                <c:pt idx="279">
                  <c:v>73.959249999999997</c:v>
                </c:pt>
                <c:pt idx="280">
                  <c:v>74.582750000000004</c:v>
                </c:pt>
                <c:pt idx="281">
                  <c:v>77.698750000000004</c:v>
                </c:pt>
                <c:pt idx="282">
                  <c:v>75.792749999999998</c:v>
                </c:pt>
                <c:pt idx="283">
                  <c:v>75.799750000000003</c:v>
                </c:pt>
                <c:pt idx="284">
                  <c:v>71.466250000000002</c:v>
                </c:pt>
                <c:pt idx="285">
                  <c:v>74.690250000000006</c:v>
                </c:pt>
                <c:pt idx="286">
                  <c:v>75.964250000000007</c:v>
                </c:pt>
                <c:pt idx="287">
                  <c:v>75.179749999999999</c:v>
                </c:pt>
                <c:pt idx="288">
                  <c:v>66.342500000000001</c:v>
                </c:pt>
                <c:pt idx="289">
                  <c:v>73.388499999999993</c:v>
                </c:pt>
                <c:pt idx="290">
                  <c:v>71.013249999999999</c:v>
                </c:pt>
                <c:pt idx="291">
                  <c:v>75.055750000000003</c:v>
                </c:pt>
                <c:pt idx="292">
                  <c:v>78.205500000000001</c:v>
                </c:pt>
                <c:pt idx="293">
                  <c:v>78.96875</c:v>
                </c:pt>
                <c:pt idx="294">
                  <c:v>74.054749999999999</c:v>
                </c:pt>
                <c:pt idx="295">
                  <c:v>74.791250000000005</c:v>
                </c:pt>
                <c:pt idx="296">
                  <c:v>67.599999999999994</c:v>
                </c:pt>
                <c:pt idx="297">
                  <c:v>64.681749999999994</c:v>
                </c:pt>
                <c:pt idx="298">
                  <c:v>67.825749999999999</c:v>
                </c:pt>
                <c:pt idx="299">
                  <c:v>65.484750000000005</c:v>
                </c:pt>
                <c:pt idx="300">
                  <c:v>77.291499999999999</c:v>
                </c:pt>
                <c:pt idx="301">
                  <c:v>83.308499999999995</c:v>
                </c:pt>
                <c:pt idx="302">
                  <c:v>82.948499999999996</c:v>
                </c:pt>
                <c:pt idx="303">
                  <c:v>70.364500000000007</c:v>
                </c:pt>
                <c:pt idx="304">
                  <c:v>66.692250000000001</c:v>
                </c:pt>
                <c:pt idx="305">
                  <c:v>72.786249999999995</c:v>
                </c:pt>
                <c:pt idx="306">
                  <c:v>76.325749999999999</c:v>
                </c:pt>
                <c:pt idx="307">
                  <c:v>75.438000000000002</c:v>
                </c:pt>
                <c:pt idx="308">
                  <c:v>75.391750000000002</c:v>
                </c:pt>
                <c:pt idx="309">
                  <c:v>83.333250000000007</c:v>
                </c:pt>
                <c:pt idx="310">
                  <c:v>73.309749999999994</c:v>
                </c:pt>
                <c:pt idx="311">
                  <c:v>65.238</c:v>
                </c:pt>
                <c:pt idx="312">
                  <c:v>70.255499999999998</c:v>
                </c:pt>
                <c:pt idx="313">
                  <c:v>64.192499999999995</c:v>
                </c:pt>
                <c:pt idx="314">
                  <c:v>68.926000000000002</c:v>
                </c:pt>
                <c:pt idx="315">
                  <c:v>65.261750000000006</c:v>
                </c:pt>
                <c:pt idx="316">
                  <c:v>68.194249999999997</c:v>
                </c:pt>
                <c:pt idx="317">
                  <c:v>67.949749999999995</c:v>
                </c:pt>
                <c:pt idx="318">
                  <c:v>69.40325</c:v>
                </c:pt>
                <c:pt idx="319">
                  <c:v>67.777000000000001</c:v>
                </c:pt>
                <c:pt idx="320">
                  <c:v>70.790000000000006</c:v>
                </c:pt>
                <c:pt idx="321">
                  <c:v>69.434250000000006</c:v>
                </c:pt>
                <c:pt idx="322">
                  <c:v>68.284999999999997</c:v>
                </c:pt>
                <c:pt idx="323">
                  <c:v>69.519499999999994</c:v>
                </c:pt>
                <c:pt idx="324">
                  <c:v>69.006500000000003</c:v>
                </c:pt>
                <c:pt idx="325">
                  <c:v>70.947000000000003</c:v>
                </c:pt>
                <c:pt idx="326">
                  <c:v>71.025750000000002</c:v>
                </c:pt>
                <c:pt idx="327">
                  <c:v>71.959249999999997</c:v>
                </c:pt>
                <c:pt idx="328">
                  <c:v>67.175250000000005</c:v>
                </c:pt>
                <c:pt idx="329">
                  <c:v>68.65325</c:v>
                </c:pt>
                <c:pt idx="330">
                  <c:v>68.779750000000007</c:v>
                </c:pt>
                <c:pt idx="331">
                  <c:v>67.592250000000007</c:v>
                </c:pt>
                <c:pt idx="332">
                  <c:v>67.016000000000005</c:v>
                </c:pt>
                <c:pt idx="333">
                  <c:v>79.293750000000003</c:v>
                </c:pt>
                <c:pt idx="334">
                  <c:v>68.154499999999999</c:v>
                </c:pt>
                <c:pt idx="335">
                  <c:v>67.481999999999999</c:v>
                </c:pt>
                <c:pt idx="336">
                  <c:v>61.647999999999996</c:v>
                </c:pt>
                <c:pt idx="337">
                  <c:v>71.407749999999993</c:v>
                </c:pt>
                <c:pt idx="338">
                  <c:v>64.258499999999998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05-41E8-A5B3-522593C0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333088"/>
        <c:axId val="672332608"/>
      </c:scatterChart>
      <c:valAx>
        <c:axId val="67233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2608"/>
        <c:crosses val="autoZero"/>
        <c:crossBetween val="midCat"/>
      </c:valAx>
      <c:valAx>
        <c:axId val="6723326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GR</a:t>
                </a:r>
              </a:p>
            </c:rich>
          </c:tx>
          <c:layout>
            <c:manualLayout>
              <c:xMode val="edge"/>
              <c:yMode val="edge"/>
              <c:x val="0.28419182948490229"/>
              <c:y val="3.24105803090319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7233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349250</xdr:colOff>
      <xdr:row>5</xdr:row>
      <xdr:rowOff>144462</xdr:rowOff>
    </xdr:from>
    <xdr:to>
      <xdr:col>26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089F9-4173-12BD-3F54-334A0B4C9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349250</xdr:colOff>
      <xdr:row>5</xdr:row>
      <xdr:rowOff>144462</xdr:rowOff>
    </xdr:from>
    <xdr:to>
      <xdr:col>26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8C7E7-B1AF-471D-8DF3-7ADC71F73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6</xdr:row>
      <xdr:rowOff>11112</xdr:rowOff>
    </xdr:from>
    <xdr:to>
      <xdr:col>25</xdr:col>
      <xdr:colOff>495300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BC25-75D3-4430-AD77-A07E108B0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C017-3E1D-49C0-AFA0-C989450D82D7}">
  <dimension ref="A1:U343"/>
  <sheetViews>
    <sheetView topLeftCell="K1" zoomScale="142" workbookViewId="0">
      <selection activeCell="R21" sqref="R21"/>
    </sheetView>
  </sheetViews>
  <sheetFormatPr baseColWidth="10" defaultColWidth="8.83203125" defaultRowHeight="15" x14ac:dyDescent="0.2"/>
  <cols>
    <col min="7" max="7" width="10" style="11" bestFit="1" customWidth="1"/>
  </cols>
  <sheetData>
    <row r="1" spans="1:21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5</v>
      </c>
      <c r="I1" s="9" t="s">
        <v>13</v>
      </c>
      <c r="J1" s="9" t="s">
        <v>14</v>
      </c>
      <c r="K1" s="9" t="s">
        <v>15</v>
      </c>
      <c r="L1" s="9" t="s">
        <v>19</v>
      </c>
      <c r="N1" s="9" t="s">
        <v>23</v>
      </c>
      <c r="O1" s="9" t="s">
        <v>24</v>
      </c>
      <c r="P1" s="9" t="s">
        <v>25</v>
      </c>
      <c r="Q1" s="9" t="s">
        <v>26</v>
      </c>
      <c r="T1" s="9" t="s">
        <v>16</v>
      </c>
    </row>
    <row r="2" spans="1:21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 s="10">
        <v>72.665999999999997</v>
      </c>
      <c r="I2">
        <f>(E2-0.17)*$U$2</f>
        <v>1.999999999999999E-2</v>
      </c>
      <c r="J2">
        <f>(8-D2)*$U$4</f>
        <v>1.7909212977110123E-2</v>
      </c>
      <c r="K2">
        <f>(C2-20)*$U$3</f>
        <v>-0.30000000000000071</v>
      </c>
      <c r="L2">
        <f>SUM(I2:K2)</f>
        <v>-0.26209078702289057</v>
      </c>
      <c r="N2">
        <f t="shared" ref="N2:N33" si="0">G2</f>
        <v>72.665999999999997</v>
      </c>
      <c r="T2" t="s">
        <v>17</v>
      </c>
      <c r="U2">
        <v>1</v>
      </c>
    </row>
    <row r="3" spans="1:21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 s="10">
        <v>76.6875</v>
      </c>
      <c r="I3">
        <f t="shared" ref="I3:I66" si="1">(E3-0.17)*$U$2</f>
        <v>1.999999999999999E-2</v>
      </c>
      <c r="J3">
        <f t="shared" ref="J3:J66" si="2">(8-D3)*$U$4</f>
        <v>1.7909212977110123E-2</v>
      </c>
      <c r="K3">
        <f t="shared" ref="K3:K66" si="3">(C3-20)*$U$3</f>
        <v>-0.30000000000000071</v>
      </c>
      <c r="L3">
        <f t="shared" ref="L3:L66" si="4">SUM(I3:K3)</f>
        <v>-0.26209078702289057</v>
      </c>
      <c r="N3">
        <f t="shared" si="0"/>
        <v>76.6875</v>
      </c>
      <c r="T3" t="s">
        <v>18</v>
      </c>
      <c r="U3">
        <v>1</v>
      </c>
    </row>
    <row r="4" spans="1:21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 s="10">
        <v>69.563249999999996</v>
      </c>
      <c r="I4">
        <f t="shared" si="1"/>
        <v>1.999999999999999E-2</v>
      </c>
      <c r="J4">
        <f t="shared" si="2"/>
        <v>1.7909212977110123E-2</v>
      </c>
      <c r="K4">
        <f t="shared" si="3"/>
        <v>-0.30000000000000071</v>
      </c>
      <c r="L4">
        <f t="shared" si="4"/>
        <v>-0.26209078702289057</v>
      </c>
      <c r="N4">
        <f t="shared" si="0"/>
        <v>69.563249999999996</v>
      </c>
      <c r="T4" t="s">
        <v>8</v>
      </c>
      <c r="U4">
        <v>1</v>
      </c>
    </row>
    <row r="5" spans="1:21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 s="10">
        <v>66.738500000000002</v>
      </c>
      <c r="I5">
        <f t="shared" si="1"/>
        <v>1.999999999999999E-2</v>
      </c>
      <c r="J5">
        <f t="shared" si="2"/>
        <v>1.7909212977110123E-2</v>
      </c>
      <c r="K5">
        <f t="shared" si="3"/>
        <v>-0.30000000000000071</v>
      </c>
      <c r="L5">
        <f t="shared" si="4"/>
        <v>-0.26209078702289057</v>
      </c>
      <c r="N5">
        <f t="shared" si="0"/>
        <v>66.738500000000002</v>
      </c>
      <c r="U5" t="s">
        <v>20</v>
      </c>
    </row>
    <row r="6" spans="1:21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 s="10">
        <v>81.515000000000001</v>
      </c>
      <c r="I6">
        <f t="shared" si="1"/>
        <v>1.999999999999999E-2</v>
      </c>
      <c r="J6">
        <f t="shared" si="2"/>
        <v>1.7909212977110123E-2</v>
      </c>
      <c r="K6">
        <f t="shared" si="3"/>
        <v>-0.30000000000000071</v>
      </c>
      <c r="L6">
        <f t="shared" si="4"/>
        <v>-0.26209078702289057</v>
      </c>
      <c r="N6">
        <f t="shared" si="0"/>
        <v>81.515000000000001</v>
      </c>
    </row>
    <row r="7" spans="1:21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 s="10">
        <v>69.140249999999995</v>
      </c>
      <c r="I7">
        <f t="shared" si="1"/>
        <v>1.999999999999999E-2</v>
      </c>
      <c r="J7">
        <f t="shared" si="2"/>
        <v>1.7909212977110123E-2</v>
      </c>
      <c r="K7">
        <f t="shared" si="3"/>
        <v>-0.30000000000000071</v>
      </c>
      <c r="L7">
        <f t="shared" si="4"/>
        <v>-0.26209078702289057</v>
      </c>
      <c r="N7">
        <f t="shared" si="0"/>
        <v>69.140249999999995</v>
      </c>
    </row>
    <row r="8" spans="1:21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 s="10">
        <v>73.923500000000004</v>
      </c>
      <c r="I8">
        <f t="shared" si="1"/>
        <v>1.999999999999999E-2</v>
      </c>
      <c r="J8">
        <f t="shared" si="2"/>
        <v>1.7909212977110123E-2</v>
      </c>
      <c r="K8">
        <f t="shared" si="3"/>
        <v>-0.30000000000000071</v>
      </c>
      <c r="L8">
        <f t="shared" si="4"/>
        <v>-0.26209078702289057</v>
      </c>
      <c r="N8">
        <f t="shared" si="0"/>
        <v>73.923500000000004</v>
      </c>
    </row>
    <row r="9" spans="1:21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 s="10">
        <v>80.172749999999994</v>
      </c>
      <c r="I9">
        <f t="shared" si="1"/>
        <v>1.999999999999999E-2</v>
      </c>
      <c r="J9">
        <f t="shared" si="2"/>
        <v>1.7909212977110123E-2</v>
      </c>
      <c r="K9">
        <f t="shared" si="3"/>
        <v>-0.30000000000000071</v>
      </c>
      <c r="L9">
        <f t="shared" si="4"/>
        <v>-0.26209078702289057</v>
      </c>
      <c r="N9">
        <f t="shared" si="0"/>
        <v>80.172749999999994</v>
      </c>
    </row>
    <row r="10" spans="1:21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 s="10">
        <v>70.266249999999999</v>
      </c>
      <c r="I10">
        <f t="shared" si="1"/>
        <v>1.999999999999999E-2</v>
      </c>
      <c r="J10">
        <f t="shared" si="2"/>
        <v>1.7909212977110123E-2</v>
      </c>
      <c r="K10">
        <f t="shared" si="3"/>
        <v>-0.30000000000000071</v>
      </c>
      <c r="L10">
        <f t="shared" si="4"/>
        <v>-0.26209078702289057</v>
      </c>
      <c r="N10">
        <f t="shared" si="0"/>
        <v>70.266249999999999</v>
      </c>
    </row>
    <row r="11" spans="1:21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 s="10">
        <v>82.92</v>
      </c>
      <c r="I11">
        <f t="shared" si="1"/>
        <v>1.999999999999999E-2</v>
      </c>
      <c r="J11">
        <f t="shared" si="2"/>
        <v>1.7909212977110123E-2</v>
      </c>
      <c r="K11">
        <f t="shared" si="3"/>
        <v>-0.30000000000000071</v>
      </c>
      <c r="L11">
        <f t="shared" si="4"/>
        <v>-0.26209078702289057</v>
      </c>
      <c r="N11">
        <f t="shared" si="0"/>
        <v>82.92</v>
      </c>
    </row>
    <row r="12" spans="1:21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 s="10">
        <v>69.458749999999995</v>
      </c>
      <c r="I12">
        <f t="shared" si="1"/>
        <v>1.999999999999999E-2</v>
      </c>
      <c r="J12">
        <f t="shared" si="2"/>
        <v>1.7909212977110123E-2</v>
      </c>
      <c r="K12">
        <f t="shared" si="3"/>
        <v>-0.30000000000000071</v>
      </c>
      <c r="L12">
        <f t="shared" si="4"/>
        <v>-0.26209078702289057</v>
      </c>
      <c r="N12">
        <f t="shared" si="0"/>
        <v>69.458749999999995</v>
      </c>
    </row>
    <row r="13" spans="1:21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 s="10">
        <v>73.944749999999999</v>
      </c>
      <c r="I13">
        <f t="shared" si="1"/>
        <v>1.999999999999999E-2</v>
      </c>
      <c r="J13">
        <f t="shared" si="2"/>
        <v>1.7909212977110123E-2</v>
      </c>
      <c r="K13">
        <f t="shared" si="3"/>
        <v>-0.30000000000000071</v>
      </c>
      <c r="L13">
        <f t="shared" si="4"/>
        <v>-0.26209078702289057</v>
      </c>
      <c r="N13">
        <f t="shared" si="0"/>
        <v>73.944749999999999</v>
      </c>
    </row>
    <row r="14" spans="1:21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 s="10">
        <v>78.923249999999996</v>
      </c>
      <c r="I14">
        <f t="shared" si="1"/>
        <v>1.999999999999999E-2</v>
      </c>
      <c r="J14">
        <f t="shared" si="2"/>
        <v>1.7909212977110123E-2</v>
      </c>
      <c r="K14">
        <f t="shared" si="3"/>
        <v>-0.30000000000000071</v>
      </c>
      <c r="L14">
        <f t="shared" si="4"/>
        <v>-0.26209078702289057</v>
      </c>
      <c r="N14">
        <f t="shared" si="0"/>
        <v>78.923249999999996</v>
      </c>
    </row>
    <row r="15" spans="1:21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 s="10">
        <v>81.489999999999995</v>
      </c>
      <c r="I15">
        <f t="shared" si="1"/>
        <v>1.999999999999999E-2</v>
      </c>
      <c r="J15">
        <f t="shared" si="2"/>
        <v>1.7909212977110123E-2</v>
      </c>
      <c r="K15">
        <f t="shared" si="3"/>
        <v>-0.30000000000000071</v>
      </c>
      <c r="L15">
        <f t="shared" si="4"/>
        <v>-0.26209078702289057</v>
      </c>
      <c r="N15">
        <f t="shared" si="0"/>
        <v>81.489999999999995</v>
      </c>
    </row>
    <row r="16" spans="1:21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 s="10">
        <v>77.010999999999996</v>
      </c>
      <c r="I16">
        <f t="shared" si="1"/>
        <v>1.999999999999999E-2</v>
      </c>
      <c r="J16">
        <f t="shared" si="2"/>
        <v>1.7909212977110123E-2</v>
      </c>
      <c r="K16">
        <f t="shared" si="3"/>
        <v>-0.30000000000000071</v>
      </c>
      <c r="L16">
        <f t="shared" si="4"/>
        <v>-0.26209078702289057</v>
      </c>
      <c r="N16">
        <f t="shared" si="0"/>
        <v>77.010999999999996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 s="10">
        <v>73.716999999999999</v>
      </c>
      <c r="I17">
        <f t="shared" si="1"/>
        <v>1.999999999999999E-2</v>
      </c>
      <c r="J17">
        <f t="shared" si="2"/>
        <v>1.7909212977110123E-2</v>
      </c>
      <c r="K17">
        <f t="shared" si="3"/>
        <v>-0.30000000000000071</v>
      </c>
      <c r="L17">
        <f t="shared" si="4"/>
        <v>-0.26209078702289057</v>
      </c>
      <c r="N17">
        <f t="shared" si="0"/>
        <v>73.716999999999999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 s="10">
        <v>68.298500000000004</v>
      </c>
      <c r="I18">
        <f t="shared" si="1"/>
        <v>1.999999999999999E-2</v>
      </c>
      <c r="J18">
        <f t="shared" si="2"/>
        <v>1.7909212977110123E-2</v>
      </c>
      <c r="K18">
        <f t="shared" si="3"/>
        <v>-0.30000000000000071</v>
      </c>
      <c r="L18">
        <f t="shared" si="4"/>
        <v>-0.26209078702289057</v>
      </c>
      <c r="N18">
        <f t="shared" si="0"/>
        <v>68.298500000000004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 s="10">
        <v>81.363249999999994</v>
      </c>
      <c r="I19">
        <f t="shared" si="1"/>
        <v>1.999999999999999E-2</v>
      </c>
      <c r="J19">
        <f t="shared" si="2"/>
        <v>1.7909212977110123E-2</v>
      </c>
      <c r="K19">
        <f t="shared" si="3"/>
        <v>-0.30000000000000071</v>
      </c>
      <c r="L19">
        <f t="shared" si="4"/>
        <v>-0.26209078702289057</v>
      </c>
      <c r="N19">
        <f t="shared" si="0"/>
        <v>81.363249999999994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 s="10">
        <v>67.977500000000006</v>
      </c>
      <c r="I20">
        <f t="shared" si="1"/>
        <v>1.999999999999999E-2</v>
      </c>
      <c r="J20">
        <f t="shared" si="2"/>
        <v>1.7909212977110123E-2</v>
      </c>
      <c r="K20">
        <f t="shared" si="3"/>
        <v>-0.30000000000000071</v>
      </c>
      <c r="L20">
        <f t="shared" si="4"/>
        <v>-0.26209078702289057</v>
      </c>
      <c r="N20">
        <f t="shared" si="0"/>
        <v>67.977500000000006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 s="10">
        <v>65.9285</v>
      </c>
      <c r="I21">
        <f t="shared" si="1"/>
        <v>1.999999999999999E-2</v>
      </c>
      <c r="J21">
        <f t="shared" si="2"/>
        <v>1.7909212977110123E-2</v>
      </c>
      <c r="K21">
        <f t="shared" si="3"/>
        <v>-0.30000000000000071</v>
      </c>
      <c r="L21">
        <f t="shared" si="4"/>
        <v>-0.26209078702289057</v>
      </c>
      <c r="N21">
        <f t="shared" si="0"/>
        <v>65.9285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 s="10">
        <v>71.902500000000003</v>
      </c>
      <c r="I22">
        <f t="shared" si="1"/>
        <v>2.83</v>
      </c>
      <c r="J22">
        <f t="shared" si="2"/>
        <v>1.0108979005529761E-2</v>
      </c>
      <c r="K22">
        <f t="shared" si="3"/>
        <v>-0.30000000000000071</v>
      </c>
      <c r="L22">
        <f t="shared" si="4"/>
        <v>2.5401089790055291</v>
      </c>
      <c r="N22">
        <f t="shared" si="0"/>
        <v>71.902500000000003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 s="10">
        <v>67.558750000000003</v>
      </c>
      <c r="I23">
        <f t="shared" si="1"/>
        <v>2.83</v>
      </c>
      <c r="J23">
        <f t="shared" si="2"/>
        <v>1.0108979005529761E-2</v>
      </c>
      <c r="K23">
        <f t="shared" si="3"/>
        <v>-0.30000000000000071</v>
      </c>
      <c r="L23">
        <f t="shared" si="4"/>
        <v>2.5401089790055291</v>
      </c>
      <c r="N23">
        <f t="shared" si="0"/>
        <v>67.558750000000003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 s="10">
        <v>72.10275</v>
      </c>
      <c r="I24">
        <f t="shared" si="1"/>
        <v>2.83</v>
      </c>
      <c r="J24">
        <f t="shared" si="2"/>
        <v>1.0108979005529761E-2</v>
      </c>
      <c r="K24">
        <f t="shared" si="3"/>
        <v>-0.30000000000000071</v>
      </c>
      <c r="L24">
        <f t="shared" si="4"/>
        <v>2.5401089790055291</v>
      </c>
      <c r="N24">
        <f t="shared" si="0"/>
        <v>72.10275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 s="10">
        <v>68.047250000000005</v>
      </c>
      <c r="I25">
        <f t="shared" si="1"/>
        <v>2.83</v>
      </c>
      <c r="J25">
        <f t="shared" si="2"/>
        <v>1.0108979005529761E-2</v>
      </c>
      <c r="K25">
        <f t="shared" si="3"/>
        <v>-0.30000000000000071</v>
      </c>
      <c r="L25">
        <f t="shared" si="4"/>
        <v>2.5401089790055291</v>
      </c>
      <c r="N25">
        <f t="shared" si="0"/>
        <v>68.047250000000005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 s="10">
        <v>69.138000000000005</v>
      </c>
      <c r="I26">
        <f t="shared" si="1"/>
        <v>2.83</v>
      </c>
      <c r="J26">
        <f t="shared" si="2"/>
        <v>1.0108979005529761E-2</v>
      </c>
      <c r="K26">
        <f t="shared" si="3"/>
        <v>-0.30000000000000071</v>
      </c>
      <c r="L26">
        <f t="shared" si="4"/>
        <v>2.5401089790055291</v>
      </c>
      <c r="N26">
        <f t="shared" si="0"/>
        <v>69.138000000000005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 s="10">
        <v>75.832250000000002</v>
      </c>
      <c r="I27">
        <f t="shared" si="1"/>
        <v>2.83</v>
      </c>
      <c r="J27">
        <f t="shared" si="2"/>
        <v>1.0108979005529761E-2</v>
      </c>
      <c r="K27">
        <f t="shared" si="3"/>
        <v>-0.30000000000000071</v>
      </c>
      <c r="L27">
        <f t="shared" si="4"/>
        <v>2.5401089790055291</v>
      </c>
      <c r="N27">
        <f t="shared" si="0"/>
        <v>75.832250000000002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 s="10">
        <v>67.867249999999999</v>
      </c>
      <c r="I28">
        <f t="shared" si="1"/>
        <v>2.83</v>
      </c>
      <c r="J28">
        <f t="shared" si="2"/>
        <v>1.0108979005529761E-2</v>
      </c>
      <c r="K28">
        <f t="shared" si="3"/>
        <v>-0.30000000000000071</v>
      </c>
      <c r="L28">
        <f t="shared" si="4"/>
        <v>2.5401089790055291</v>
      </c>
      <c r="N28">
        <f t="shared" si="0"/>
        <v>67.867249999999999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 s="10">
        <v>73.296999999999997</v>
      </c>
      <c r="I29">
        <f t="shared" si="1"/>
        <v>2.83</v>
      </c>
      <c r="J29">
        <f t="shared" si="2"/>
        <v>1.0108979005529761E-2</v>
      </c>
      <c r="K29">
        <f t="shared" si="3"/>
        <v>-0.30000000000000071</v>
      </c>
      <c r="L29">
        <f t="shared" si="4"/>
        <v>2.5401089790055291</v>
      </c>
      <c r="N29">
        <f t="shared" si="0"/>
        <v>73.296999999999997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 s="10">
        <v>69.992249999999999</v>
      </c>
      <c r="I30">
        <f t="shared" si="1"/>
        <v>2.83</v>
      </c>
      <c r="J30">
        <f t="shared" si="2"/>
        <v>1.0108979005529761E-2</v>
      </c>
      <c r="K30">
        <f t="shared" si="3"/>
        <v>-0.30000000000000071</v>
      </c>
      <c r="L30">
        <f t="shared" si="4"/>
        <v>2.5401089790055291</v>
      </c>
      <c r="N30">
        <f t="shared" si="0"/>
        <v>69.992249999999999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 s="10">
        <v>77.667249999999996</v>
      </c>
      <c r="I31">
        <f t="shared" si="1"/>
        <v>2.83</v>
      </c>
      <c r="J31">
        <f t="shared" si="2"/>
        <v>1.0108979005529761E-2</v>
      </c>
      <c r="K31">
        <f t="shared" si="3"/>
        <v>-0.30000000000000071</v>
      </c>
      <c r="L31">
        <f t="shared" si="4"/>
        <v>2.5401089790055291</v>
      </c>
      <c r="N31">
        <f t="shared" si="0"/>
        <v>77.667249999999996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 s="10">
        <v>73.642250000000004</v>
      </c>
      <c r="I32">
        <f t="shared" si="1"/>
        <v>2.83</v>
      </c>
      <c r="J32">
        <f t="shared" si="2"/>
        <v>1.0108979005529761E-2</v>
      </c>
      <c r="K32">
        <f t="shared" si="3"/>
        <v>-0.30000000000000071</v>
      </c>
      <c r="L32">
        <f t="shared" si="4"/>
        <v>2.5401089790055291</v>
      </c>
      <c r="N32">
        <f t="shared" si="0"/>
        <v>73.642250000000004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 s="10">
        <v>78.064750000000004</v>
      </c>
      <c r="I33">
        <f t="shared" si="1"/>
        <v>2.83</v>
      </c>
      <c r="J33">
        <f t="shared" si="2"/>
        <v>1.0108979005529761E-2</v>
      </c>
      <c r="K33">
        <f t="shared" si="3"/>
        <v>-0.30000000000000071</v>
      </c>
      <c r="L33">
        <f t="shared" si="4"/>
        <v>2.5401089790055291</v>
      </c>
      <c r="N33">
        <f t="shared" si="0"/>
        <v>78.064750000000004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 s="10">
        <v>77.946250000000006</v>
      </c>
      <c r="I34">
        <f t="shared" si="1"/>
        <v>2.83</v>
      </c>
      <c r="J34">
        <f t="shared" si="2"/>
        <v>1.0108979005529761E-2</v>
      </c>
      <c r="K34">
        <f t="shared" si="3"/>
        <v>-0.30000000000000071</v>
      </c>
      <c r="L34">
        <f t="shared" si="4"/>
        <v>2.5401089790055291</v>
      </c>
      <c r="N34">
        <f t="shared" ref="N34:N65" si="5">G34</f>
        <v>77.946250000000006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 s="10">
        <v>72.652749999999997</v>
      </c>
      <c r="I35">
        <f t="shared" si="1"/>
        <v>2.83</v>
      </c>
      <c r="J35">
        <f t="shared" si="2"/>
        <v>1.0108979005529761E-2</v>
      </c>
      <c r="K35">
        <f t="shared" si="3"/>
        <v>-0.30000000000000071</v>
      </c>
      <c r="L35">
        <f t="shared" si="4"/>
        <v>2.5401089790055291</v>
      </c>
      <c r="N35">
        <f t="shared" si="5"/>
        <v>72.652749999999997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 s="10">
        <v>74.101749999999996</v>
      </c>
      <c r="I36">
        <f t="shared" si="1"/>
        <v>7.83</v>
      </c>
      <c r="J36">
        <f t="shared" si="2"/>
        <v>2.0809355743190316E-2</v>
      </c>
      <c r="K36">
        <f t="shared" si="3"/>
        <v>-0.30000000000000071</v>
      </c>
      <c r="L36">
        <f t="shared" si="4"/>
        <v>7.5508093557431897</v>
      </c>
      <c r="N36">
        <f t="shared" si="5"/>
        <v>74.101749999999996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 s="10">
        <v>77.573499999999996</v>
      </c>
      <c r="I37">
        <f t="shared" si="1"/>
        <v>7.83</v>
      </c>
      <c r="J37">
        <f t="shared" si="2"/>
        <v>2.0809355743190316E-2</v>
      </c>
      <c r="K37">
        <f t="shared" si="3"/>
        <v>-0.30000000000000071</v>
      </c>
      <c r="L37">
        <f t="shared" si="4"/>
        <v>7.5508093557431897</v>
      </c>
      <c r="N37">
        <f t="shared" si="5"/>
        <v>77.573499999999996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 s="10">
        <v>76.248249999999999</v>
      </c>
      <c r="I38">
        <f t="shared" si="1"/>
        <v>7.83</v>
      </c>
      <c r="J38">
        <f t="shared" si="2"/>
        <v>2.0809355743190316E-2</v>
      </c>
      <c r="K38">
        <f t="shared" si="3"/>
        <v>-0.30000000000000071</v>
      </c>
      <c r="L38">
        <f t="shared" si="4"/>
        <v>7.5508093557431897</v>
      </c>
      <c r="N38">
        <f t="shared" si="5"/>
        <v>76.248249999999999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 s="10">
        <v>73.350499999999997</v>
      </c>
      <c r="I39">
        <f t="shared" si="1"/>
        <v>7.83</v>
      </c>
      <c r="J39">
        <f t="shared" si="2"/>
        <v>2.0809355743190316E-2</v>
      </c>
      <c r="K39">
        <f t="shared" si="3"/>
        <v>-0.30000000000000071</v>
      </c>
      <c r="L39">
        <f t="shared" si="4"/>
        <v>7.5508093557431897</v>
      </c>
      <c r="N39">
        <f t="shared" si="5"/>
        <v>73.350499999999997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 s="10">
        <v>75.473749999999995</v>
      </c>
      <c r="I40">
        <f t="shared" si="1"/>
        <v>7.83</v>
      </c>
      <c r="J40">
        <f t="shared" si="2"/>
        <v>2.0809355743190316E-2</v>
      </c>
      <c r="K40">
        <f t="shared" si="3"/>
        <v>-0.30000000000000071</v>
      </c>
      <c r="L40">
        <f t="shared" si="4"/>
        <v>7.5508093557431897</v>
      </c>
      <c r="N40">
        <f t="shared" si="5"/>
        <v>75.473749999999995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 s="10">
        <v>70.245500000000007</v>
      </c>
      <c r="I41">
        <f t="shared" si="1"/>
        <v>7.83</v>
      </c>
      <c r="J41">
        <f t="shared" si="2"/>
        <v>2.0809355743190316E-2</v>
      </c>
      <c r="K41">
        <f t="shared" si="3"/>
        <v>-0.30000000000000071</v>
      </c>
      <c r="L41">
        <f t="shared" si="4"/>
        <v>7.5508093557431897</v>
      </c>
      <c r="N41">
        <f t="shared" si="5"/>
        <v>70.245500000000007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 s="10">
        <v>76.742999999999995</v>
      </c>
      <c r="I42">
        <f t="shared" si="1"/>
        <v>7.83</v>
      </c>
      <c r="J42">
        <f t="shared" si="2"/>
        <v>2.0809355743190316E-2</v>
      </c>
      <c r="K42">
        <f t="shared" si="3"/>
        <v>-0.30000000000000071</v>
      </c>
      <c r="L42">
        <f t="shared" si="4"/>
        <v>7.5508093557431897</v>
      </c>
      <c r="N42">
        <f t="shared" si="5"/>
        <v>76.742999999999995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 s="10">
        <v>75.751750000000001</v>
      </c>
      <c r="I43">
        <f t="shared" si="1"/>
        <v>7.83</v>
      </c>
      <c r="J43">
        <f t="shared" si="2"/>
        <v>2.0809355743190316E-2</v>
      </c>
      <c r="K43">
        <f t="shared" si="3"/>
        <v>-0.30000000000000071</v>
      </c>
      <c r="L43">
        <f t="shared" si="4"/>
        <v>7.5508093557431897</v>
      </c>
      <c r="N43">
        <f t="shared" si="5"/>
        <v>75.751750000000001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 s="10">
        <v>71.84075</v>
      </c>
      <c r="I44">
        <f t="shared" si="1"/>
        <v>7.83</v>
      </c>
      <c r="J44">
        <f t="shared" si="2"/>
        <v>2.0809355743190316E-2</v>
      </c>
      <c r="K44">
        <f t="shared" si="3"/>
        <v>-0.30000000000000071</v>
      </c>
      <c r="L44">
        <f t="shared" si="4"/>
        <v>7.5508093557431897</v>
      </c>
      <c r="N44">
        <f t="shared" si="5"/>
        <v>71.84075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 s="10">
        <v>76.287750000000003</v>
      </c>
      <c r="I45">
        <f t="shared" si="1"/>
        <v>7.83</v>
      </c>
      <c r="J45">
        <f t="shared" si="2"/>
        <v>2.0809355743190316E-2</v>
      </c>
      <c r="K45">
        <f t="shared" si="3"/>
        <v>-0.30000000000000071</v>
      </c>
      <c r="L45">
        <f t="shared" si="4"/>
        <v>7.5508093557431897</v>
      </c>
      <c r="N45">
        <f t="shared" si="5"/>
        <v>76.287750000000003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 s="10">
        <v>77.219750000000005</v>
      </c>
      <c r="I46">
        <f t="shared" si="1"/>
        <v>7.83</v>
      </c>
      <c r="J46">
        <f t="shared" si="2"/>
        <v>2.0809355743190316E-2</v>
      </c>
      <c r="K46">
        <f t="shared" si="3"/>
        <v>-0.30000000000000071</v>
      </c>
      <c r="L46">
        <f t="shared" si="4"/>
        <v>7.5508093557431897</v>
      </c>
      <c r="N46">
        <f t="shared" si="5"/>
        <v>77.219750000000005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 s="10">
        <v>69.163749999999993</v>
      </c>
      <c r="I47">
        <f t="shared" si="1"/>
        <v>7.83</v>
      </c>
      <c r="J47">
        <f t="shared" si="2"/>
        <v>2.0809355743190316E-2</v>
      </c>
      <c r="K47">
        <f t="shared" si="3"/>
        <v>-0.30000000000000071</v>
      </c>
      <c r="L47">
        <f t="shared" si="4"/>
        <v>7.5508093557431897</v>
      </c>
      <c r="N47">
        <f t="shared" si="5"/>
        <v>69.163749999999993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 s="10">
        <v>75.228250000000003</v>
      </c>
      <c r="I48">
        <f t="shared" si="1"/>
        <v>11.83</v>
      </c>
      <c r="J48">
        <f t="shared" si="2"/>
        <v>1.5709190087079605E-2</v>
      </c>
      <c r="K48">
        <f t="shared" si="3"/>
        <v>-0.30000000000000071</v>
      </c>
      <c r="L48">
        <f t="shared" si="4"/>
        <v>11.545709190087079</v>
      </c>
      <c r="N48">
        <f t="shared" si="5"/>
        <v>75.228250000000003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 s="10">
        <v>71.296499999999995</v>
      </c>
      <c r="I49">
        <f t="shared" si="1"/>
        <v>11.83</v>
      </c>
      <c r="J49">
        <f t="shared" si="2"/>
        <v>1.5709190087079605E-2</v>
      </c>
      <c r="K49">
        <f t="shared" si="3"/>
        <v>-0.30000000000000071</v>
      </c>
      <c r="L49">
        <f t="shared" si="4"/>
        <v>11.545709190087079</v>
      </c>
      <c r="N49">
        <f t="shared" si="5"/>
        <v>71.296499999999995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 s="10">
        <v>71.164000000000001</v>
      </c>
      <c r="I50">
        <f t="shared" si="1"/>
        <v>11.83</v>
      </c>
      <c r="J50">
        <f t="shared" si="2"/>
        <v>1.5709190087079605E-2</v>
      </c>
      <c r="K50">
        <f t="shared" si="3"/>
        <v>-0.30000000000000071</v>
      </c>
      <c r="L50">
        <f t="shared" si="4"/>
        <v>11.545709190087079</v>
      </c>
      <c r="N50">
        <f t="shared" si="5"/>
        <v>71.164000000000001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 s="10">
        <v>73.168750000000003</v>
      </c>
      <c r="I51">
        <f t="shared" si="1"/>
        <v>11.83</v>
      </c>
      <c r="J51">
        <f t="shared" si="2"/>
        <v>1.5709190087079605E-2</v>
      </c>
      <c r="K51">
        <f t="shared" si="3"/>
        <v>-0.30000000000000071</v>
      </c>
      <c r="L51">
        <f t="shared" si="4"/>
        <v>11.545709190087079</v>
      </c>
      <c r="N51">
        <f t="shared" si="5"/>
        <v>73.168750000000003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 s="10">
        <v>77.060249999999996</v>
      </c>
      <c r="I52">
        <f t="shared" si="1"/>
        <v>11.83</v>
      </c>
      <c r="J52">
        <f t="shared" si="2"/>
        <v>1.5709190087079605E-2</v>
      </c>
      <c r="K52">
        <f t="shared" si="3"/>
        <v>-0.30000000000000071</v>
      </c>
      <c r="L52">
        <f t="shared" si="4"/>
        <v>11.545709190087079</v>
      </c>
      <c r="N52">
        <f t="shared" si="5"/>
        <v>77.060249999999996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 s="10">
        <v>67.301749999999998</v>
      </c>
      <c r="I53">
        <f t="shared" si="1"/>
        <v>11.83</v>
      </c>
      <c r="J53">
        <f t="shared" si="2"/>
        <v>1.5709190087079605E-2</v>
      </c>
      <c r="K53">
        <f t="shared" si="3"/>
        <v>-0.30000000000000071</v>
      </c>
      <c r="L53">
        <f t="shared" si="4"/>
        <v>11.545709190087079</v>
      </c>
      <c r="N53">
        <f t="shared" si="5"/>
        <v>67.301749999999998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 s="10">
        <v>64.227500000000006</v>
      </c>
      <c r="I54">
        <f t="shared" si="1"/>
        <v>11.83</v>
      </c>
      <c r="J54">
        <f t="shared" si="2"/>
        <v>1.5709190087079605E-2</v>
      </c>
      <c r="K54">
        <f t="shared" si="3"/>
        <v>-0.30000000000000071</v>
      </c>
      <c r="L54">
        <f t="shared" si="4"/>
        <v>11.545709190087079</v>
      </c>
      <c r="N54">
        <f t="shared" si="5"/>
        <v>64.227500000000006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 s="10">
        <v>61.954250000000002</v>
      </c>
      <c r="I55">
        <f t="shared" si="1"/>
        <v>11.83</v>
      </c>
      <c r="J55">
        <f t="shared" si="2"/>
        <v>1.5709190087079605E-2</v>
      </c>
      <c r="K55">
        <f t="shared" si="3"/>
        <v>-0.30000000000000071</v>
      </c>
      <c r="L55">
        <f t="shared" si="4"/>
        <v>11.545709190087079</v>
      </c>
      <c r="N55">
        <f t="shared" si="5"/>
        <v>61.954250000000002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 s="10">
        <v>65.525750000000002</v>
      </c>
      <c r="I56">
        <f t="shared" si="1"/>
        <v>11.83</v>
      </c>
      <c r="J56">
        <f t="shared" si="2"/>
        <v>1.5709190087079605E-2</v>
      </c>
      <c r="K56">
        <f t="shared" si="3"/>
        <v>-0.30000000000000071</v>
      </c>
      <c r="L56">
        <f t="shared" si="4"/>
        <v>11.545709190087079</v>
      </c>
      <c r="N56">
        <f t="shared" si="5"/>
        <v>65.525750000000002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 s="10">
        <v>74.906750000000002</v>
      </c>
      <c r="I57">
        <f t="shared" si="1"/>
        <v>11.83</v>
      </c>
      <c r="J57">
        <f t="shared" si="2"/>
        <v>1.5709190087079605E-2</v>
      </c>
      <c r="K57">
        <f t="shared" si="3"/>
        <v>-0.30000000000000071</v>
      </c>
      <c r="L57">
        <f t="shared" si="4"/>
        <v>11.545709190087079</v>
      </c>
      <c r="N57">
        <f t="shared" si="5"/>
        <v>74.906750000000002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 s="10">
        <v>80.564250000000001</v>
      </c>
      <c r="I58">
        <f t="shared" si="1"/>
        <v>11.83</v>
      </c>
      <c r="J58">
        <f t="shared" si="2"/>
        <v>1.5709190087079605E-2</v>
      </c>
      <c r="K58">
        <f t="shared" si="3"/>
        <v>-0.30000000000000071</v>
      </c>
      <c r="L58">
        <f t="shared" si="4"/>
        <v>11.545709190087079</v>
      </c>
      <c r="N58">
        <f t="shared" si="5"/>
        <v>80.564250000000001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 s="10">
        <v>67.590500000000006</v>
      </c>
      <c r="I59">
        <f t="shared" si="1"/>
        <v>11.83</v>
      </c>
      <c r="J59">
        <f t="shared" si="2"/>
        <v>1.5709190087079605E-2</v>
      </c>
      <c r="K59">
        <f t="shared" si="3"/>
        <v>-0.30000000000000071</v>
      </c>
      <c r="L59">
        <f t="shared" si="4"/>
        <v>11.545709190087079</v>
      </c>
      <c r="N59">
        <f t="shared" si="5"/>
        <v>67.590500000000006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 s="10">
        <v>73.180250000000001</v>
      </c>
      <c r="I60">
        <f t="shared" si="1"/>
        <v>11.83</v>
      </c>
      <c r="J60">
        <f t="shared" si="2"/>
        <v>1.5709190087079605E-2</v>
      </c>
      <c r="K60">
        <f t="shared" si="3"/>
        <v>-0.30000000000000071</v>
      </c>
      <c r="L60">
        <f t="shared" si="4"/>
        <v>11.545709190087079</v>
      </c>
      <c r="N60">
        <f t="shared" si="5"/>
        <v>73.180250000000001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 s="10">
        <v>75.034000000000006</v>
      </c>
      <c r="I61">
        <f t="shared" si="1"/>
        <v>11.83</v>
      </c>
      <c r="J61">
        <f t="shared" si="2"/>
        <v>1.5709190087079605E-2</v>
      </c>
      <c r="K61">
        <f t="shared" si="3"/>
        <v>-0.30000000000000071</v>
      </c>
      <c r="L61">
        <f t="shared" si="4"/>
        <v>11.545709190087079</v>
      </c>
      <c r="N61">
        <f t="shared" si="5"/>
        <v>75.034000000000006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 s="10">
        <v>68.441999999999993</v>
      </c>
      <c r="I62">
        <f t="shared" si="1"/>
        <v>20.83</v>
      </c>
      <c r="J62">
        <f t="shared" si="2"/>
        <v>-3.2913179122093794E-3</v>
      </c>
      <c r="K62">
        <f t="shared" si="3"/>
        <v>-0.30000000000000071</v>
      </c>
      <c r="L62">
        <f t="shared" si="4"/>
        <v>20.52670868208779</v>
      </c>
      <c r="N62">
        <f t="shared" si="5"/>
        <v>68.441999999999993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 s="10">
        <v>64.836749999999995</v>
      </c>
      <c r="I63">
        <f t="shared" si="1"/>
        <v>20.83</v>
      </c>
      <c r="J63">
        <f t="shared" si="2"/>
        <v>-3.2913179122093794E-3</v>
      </c>
      <c r="K63">
        <f t="shared" si="3"/>
        <v>-0.30000000000000071</v>
      </c>
      <c r="L63">
        <f t="shared" si="4"/>
        <v>20.52670868208779</v>
      </c>
      <c r="N63">
        <f t="shared" si="5"/>
        <v>64.836749999999995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 s="10">
        <v>66.087000000000003</v>
      </c>
      <c r="I64">
        <f t="shared" si="1"/>
        <v>20.83</v>
      </c>
      <c r="J64">
        <f t="shared" si="2"/>
        <v>-3.2913179122093794E-3</v>
      </c>
      <c r="K64">
        <f t="shared" si="3"/>
        <v>-0.30000000000000071</v>
      </c>
      <c r="L64">
        <f t="shared" si="4"/>
        <v>20.52670868208779</v>
      </c>
      <c r="N64">
        <f t="shared" si="5"/>
        <v>66.087000000000003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 s="10">
        <v>72.808000000000007</v>
      </c>
      <c r="I65">
        <f t="shared" si="1"/>
        <v>20.83</v>
      </c>
      <c r="J65">
        <f t="shared" si="2"/>
        <v>-3.2913179122093794E-3</v>
      </c>
      <c r="K65">
        <f t="shared" si="3"/>
        <v>-0.30000000000000071</v>
      </c>
      <c r="L65">
        <f t="shared" si="4"/>
        <v>20.52670868208779</v>
      </c>
      <c r="N65">
        <f t="shared" si="5"/>
        <v>72.808000000000007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 s="10">
        <v>72.396000000000001</v>
      </c>
      <c r="I66">
        <f t="shared" si="1"/>
        <v>20.83</v>
      </c>
      <c r="J66">
        <f t="shared" si="2"/>
        <v>-3.2913179122093794E-3</v>
      </c>
      <c r="K66">
        <f t="shared" si="3"/>
        <v>-0.30000000000000071</v>
      </c>
      <c r="L66">
        <f t="shared" si="4"/>
        <v>20.52670868208779</v>
      </c>
      <c r="N66">
        <f t="shared" ref="N66:N82" si="6">G66</f>
        <v>72.396000000000001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 s="10">
        <v>69.297250000000005</v>
      </c>
      <c r="I67">
        <f t="shared" ref="I67:I130" si="7">(E67-0.17)*$U$2</f>
        <v>20.83</v>
      </c>
      <c r="J67">
        <f t="shared" ref="J67:J130" si="8">(8-D67)*$U$4</f>
        <v>-3.2913179122093794E-3</v>
      </c>
      <c r="K67">
        <f t="shared" ref="K67:K130" si="9">(C67-20)*$U$3</f>
        <v>-0.30000000000000071</v>
      </c>
      <c r="L67">
        <f t="shared" ref="L67:L130" si="10">SUM(I67:K67)</f>
        <v>20.52670868208779</v>
      </c>
      <c r="N67">
        <f t="shared" si="6"/>
        <v>69.297250000000005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 s="10">
        <v>66.781499999999994</v>
      </c>
      <c r="I68">
        <f t="shared" si="7"/>
        <v>20.83</v>
      </c>
      <c r="J68">
        <f t="shared" si="8"/>
        <v>-3.2913179122093794E-3</v>
      </c>
      <c r="K68">
        <f t="shared" si="9"/>
        <v>-0.30000000000000071</v>
      </c>
      <c r="L68">
        <f t="shared" si="10"/>
        <v>20.52670868208779</v>
      </c>
      <c r="N68">
        <f t="shared" si="6"/>
        <v>66.781499999999994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 s="10">
        <v>66.496750000000006</v>
      </c>
      <c r="I69">
        <f t="shared" si="7"/>
        <v>20.83</v>
      </c>
      <c r="J69">
        <f t="shared" si="8"/>
        <v>-3.2913179122093794E-3</v>
      </c>
      <c r="K69">
        <f t="shared" si="9"/>
        <v>-0.30000000000000071</v>
      </c>
      <c r="L69">
        <f t="shared" si="10"/>
        <v>20.52670868208779</v>
      </c>
      <c r="N69">
        <f t="shared" si="6"/>
        <v>66.496750000000006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 s="10">
        <v>65.281000000000006</v>
      </c>
      <c r="I70">
        <f t="shared" si="7"/>
        <v>20.83</v>
      </c>
      <c r="J70">
        <f t="shared" si="8"/>
        <v>-3.2913179122093794E-3</v>
      </c>
      <c r="K70">
        <f t="shared" si="9"/>
        <v>-0.30000000000000071</v>
      </c>
      <c r="L70">
        <f t="shared" si="10"/>
        <v>20.52670868208779</v>
      </c>
      <c r="N70">
        <f t="shared" si="6"/>
        <v>65.281000000000006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 s="10">
        <v>64.187749999999994</v>
      </c>
      <c r="I71">
        <f t="shared" si="7"/>
        <v>20.83</v>
      </c>
      <c r="J71">
        <f t="shared" si="8"/>
        <v>-3.2913179122093794E-3</v>
      </c>
      <c r="K71">
        <f t="shared" si="9"/>
        <v>-0.30000000000000071</v>
      </c>
      <c r="L71">
        <f t="shared" si="10"/>
        <v>20.52670868208779</v>
      </c>
      <c r="N71">
        <f t="shared" si="6"/>
        <v>64.187749999999994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 s="10">
        <v>65.477249999999998</v>
      </c>
      <c r="I72">
        <f t="shared" si="7"/>
        <v>20.83</v>
      </c>
      <c r="J72">
        <f t="shared" si="8"/>
        <v>-3.2913179122093794E-3</v>
      </c>
      <c r="K72">
        <f t="shared" si="9"/>
        <v>-0.30000000000000071</v>
      </c>
      <c r="L72">
        <f t="shared" si="10"/>
        <v>20.52670868208779</v>
      </c>
      <c r="N72">
        <f t="shared" si="6"/>
        <v>65.477249999999998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 s="10">
        <v>66.047499999999999</v>
      </c>
      <c r="I73">
        <f t="shared" si="7"/>
        <v>20.83</v>
      </c>
      <c r="J73">
        <f t="shared" si="8"/>
        <v>-3.2913179122093794E-3</v>
      </c>
      <c r="K73">
        <f t="shared" si="9"/>
        <v>-0.30000000000000071</v>
      </c>
      <c r="L73">
        <f t="shared" si="10"/>
        <v>20.52670868208779</v>
      </c>
      <c r="N73">
        <f t="shared" si="6"/>
        <v>66.047499999999999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 s="10">
        <v>62.9345</v>
      </c>
      <c r="I74">
        <f t="shared" si="7"/>
        <v>20.83</v>
      </c>
      <c r="J74">
        <f t="shared" si="8"/>
        <v>-3.2913179122093794E-3</v>
      </c>
      <c r="K74">
        <f t="shared" si="9"/>
        <v>-0.30000000000000071</v>
      </c>
      <c r="L74">
        <f t="shared" si="10"/>
        <v>20.52670868208779</v>
      </c>
      <c r="N74">
        <f t="shared" si="6"/>
        <v>62.9345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 s="10">
        <v>62.370000000000005</v>
      </c>
      <c r="I75">
        <f t="shared" si="7"/>
        <v>20.83</v>
      </c>
      <c r="J75">
        <f t="shared" si="8"/>
        <v>-3.2913179122093794E-3</v>
      </c>
      <c r="K75">
        <f t="shared" si="9"/>
        <v>-0.30000000000000071</v>
      </c>
      <c r="L75">
        <f t="shared" si="10"/>
        <v>20.52670868208779</v>
      </c>
      <c r="N75">
        <f t="shared" si="6"/>
        <v>62.370000000000005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 s="10">
        <v>69.628749999999997</v>
      </c>
      <c r="I76">
        <f t="shared" si="7"/>
        <v>20.83</v>
      </c>
      <c r="J76">
        <f t="shared" si="8"/>
        <v>-3.2913179122093794E-3</v>
      </c>
      <c r="K76">
        <f t="shared" si="9"/>
        <v>-0.30000000000000071</v>
      </c>
      <c r="L76">
        <f t="shared" si="10"/>
        <v>20.52670868208779</v>
      </c>
      <c r="N76">
        <f t="shared" si="6"/>
        <v>69.628749999999997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 s="10">
        <v>68.044499999999999</v>
      </c>
      <c r="I77">
        <f t="shared" si="7"/>
        <v>20.83</v>
      </c>
      <c r="J77">
        <f t="shared" si="8"/>
        <v>-3.2913179122093794E-3</v>
      </c>
      <c r="K77">
        <f t="shared" si="9"/>
        <v>-0.30000000000000071</v>
      </c>
      <c r="L77">
        <f t="shared" si="10"/>
        <v>20.52670868208779</v>
      </c>
      <c r="N77">
        <f t="shared" si="6"/>
        <v>68.044499999999999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 s="10">
        <v>68.733500000000006</v>
      </c>
      <c r="I78">
        <f t="shared" si="7"/>
        <v>20.83</v>
      </c>
      <c r="J78">
        <f t="shared" si="8"/>
        <v>-3.2913179122093794E-3</v>
      </c>
      <c r="K78">
        <f t="shared" si="9"/>
        <v>-0.30000000000000071</v>
      </c>
      <c r="L78">
        <f t="shared" si="10"/>
        <v>20.52670868208779</v>
      </c>
      <c r="N78">
        <f t="shared" si="6"/>
        <v>68.733500000000006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 s="10">
        <v>68.153000000000006</v>
      </c>
      <c r="I79">
        <f t="shared" si="7"/>
        <v>20.83</v>
      </c>
      <c r="J79">
        <f t="shared" si="8"/>
        <v>-3.2913179122093794E-3</v>
      </c>
      <c r="K79">
        <f t="shared" si="9"/>
        <v>-0.30000000000000071</v>
      </c>
      <c r="L79">
        <f t="shared" si="10"/>
        <v>20.52670868208779</v>
      </c>
      <c r="N79">
        <f t="shared" si="6"/>
        <v>68.153000000000006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 s="10">
        <v>68.601249999999993</v>
      </c>
      <c r="I80">
        <f t="shared" si="7"/>
        <v>20.83</v>
      </c>
      <c r="J80">
        <f t="shared" si="8"/>
        <v>-3.2913179122093794E-3</v>
      </c>
      <c r="K80">
        <f t="shared" si="9"/>
        <v>-0.30000000000000071</v>
      </c>
      <c r="L80">
        <f t="shared" si="10"/>
        <v>20.52670868208779</v>
      </c>
      <c r="N80">
        <f t="shared" si="6"/>
        <v>68.601249999999993</v>
      </c>
    </row>
    <row r="81" spans="1:15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 s="10">
        <v>62.592749999999995</v>
      </c>
      <c r="I81">
        <f t="shared" si="7"/>
        <v>20.83</v>
      </c>
      <c r="J81">
        <f t="shared" si="8"/>
        <v>-3.2913179122093794E-3</v>
      </c>
      <c r="K81">
        <f t="shared" si="9"/>
        <v>-0.30000000000000071</v>
      </c>
      <c r="L81">
        <f t="shared" si="10"/>
        <v>20.52670868208779</v>
      </c>
      <c r="N81">
        <f t="shared" si="6"/>
        <v>62.592749999999995</v>
      </c>
    </row>
    <row r="82" spans="1:15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 s="10">
        <v>63.495750000000001</v>
      </c>
      <c r="I82">
        <f t="shared" si="7"/>
        <v>20.83</v>
      </c>
      <c r="J82">
        <f t="shared" si="8"/>
        <v>-3.2913179122093794E-3</v>
      </c>
      <c r="K82">
        <f t="shared" si="9"/>
        <v>-0.30000000000000071</v>
      </c>
      <c r="L82">
        <f t="shared" si="10"/>
        <v>20.52670868208779</v>
      </c>
      <c r="N82">
        <f t="shared" si="6"/>
        <v>63.495750000000001</v>
      </c>
    </row>
    <row r="83" spans="1:15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 s="10">
        <v>77.47475</v>
      </c>
      <c r="I83">
        <f t="shared" si="7"/>
        <v>1.999999999999999E-2</v>
      </c>
      <c r="J83">
        <f t="shared" si="8"/>
        <v>1.2709108617790399E-2</v>
      </c>
      <c r="K83">
        <f t="shared" si="9"/>
        <v>-0.30000000000000071</v>
      </c>
      <c r="L83">
        <f t="shared" si="10"/>
        <v>-0.26729089138221029</v>
      </c>
      <c r="O83">
        <f t="shared" ref="O83:O114" si="11">G83</f>
        <v>77.47475</v>
      </c>
    </row>
    <row r="84" spans="1:15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 s="10">
        <v>76.91525</v>
      </c>
      <c r="I84">
        <f t="shared" si="7"/>
        <v>1.999999999999999E-2</v>
      </c>
      <c r="J84">
        <f t="shared" si="8"/>
        <v>1.2709108617790399E-2</v>
      </c>
      <c r="K84">
        <f t="shared" si="9"/>
        <v>-0.30000000000000071</v>
      </c>
      <c r="L84">
        <f t="shared" si="10"/>
        <v>-0.26729089138221029</v>
      </c>
      <c r="O84">
        <f t="shared" si="11"/>
        <v>76.91525</v>
      </c>
    </row>
    <row r="85" spans="1:15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 s="10">
        <v>70.283249999999995</v>
      </c>
      <c r="I85">
        <f t="shared" si="7"/>
        <v>1.999999999999999E-2</v>
      </c>
      <c r="J85">
        <f t="shared" si="8"/>
        <v>1.2709108617790399E-2</v>
      </c>
      <c r="K85">
        <f t="shared" si="9"/>
        <v>-0.30000000000000071</v>
      </c>
      <c r="L85">
        <f t="shared" si="10"/>
        <v>-0.26729089138221029</v>
      </c>
      <c r="O85">
        <f t="shared" si="11"/>
        <v>70.283249999999995</v>
      </c>
    </row>
    <row r="86" spans="1:15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 s="10">
        <v>75.927999999999997</v>
      </c>
      <c r="I86">
        <f t="shared" si="7"/>
        <v>1.999999999999999E-2</v>
      </c>
      <c r="J86">
        <f t="shared" si="8"/>
        <v>1.2709108617790399E-2</v>
      </c>
      <c r="K86">
        <f t="shared" si="9"/>
        <v>-0.30000000000000071</v>
      </c>
      <c r="L86">
        <f t="shared" si="10"/>
        <v>-0.26729089138221029</v>
      </c>
      <c r="O86">
        <f t="shared" si="11"/>
        <v>75.927999999999997</v>
      </c>
    </row>
    <row r="87" spans="1:15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 s="11">
        <v>70.821749999999994</v>
      </c>
      <c r="I87">
        <f t="shared" si="7"/>
        <v>1.999999999999999E-2</v>
      </c>
      <c r="J87">
        <f t="shared" si="8"/>
        <v>1.2709108617790399E-2</v>
      </c>
      <c r="K87">
        <f t="shared" si="9"/>
        <v>-0.30000000000000071</v>
      </c>
      <c r="L87">
        <f t="shared" si="10"/>
        <v>-0.26729089138221029</v>
      </c>
      <c r="O87">
        <f t="shared" si="11"/>
        <v>70.821749999999994</v>
      </c>
    </row>
    <row r="88" spans="1:15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 s="10">
        <v>66.904499999999999</v>
      </c>
      <c r="I88">
        <f t="shared" si="7"/>
        <v>1.999999999999999E-2</v>
      </c>
      <c r="J88">
        <f t="shared" si="8"/>
        <v>1.2709108617790399E-2</v>
      </c>
      <c r="K88">
        <f t="shared" si="9"/>
        <v>-0.30000000000000071</v>
      </c>
      <c r="L88">
        <f t="shared" si="10"/>
        <v>-0.26729089138221029</v>
      </c>
      <c r="O88">
        <f t="shared" si="11"/>
        <v>66.904499999999999</v>
      </c>
    </row>
    <row r="89" spans="1:15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 s="11">
        <v>80.048249999999996</v>
      </c>
      <c r="I89">
        <f t="shared" si="7"/>
        <v>1.999999999999999E-2</v>
      </c>
      <c r="J89">
        <f t="shared" si="8"/>
        <v>1.2709108617790399E-2</v>
      </c>
      <c r="K89">
        <f t="shared" si="9"/>
        <v>-0.30000000000000071</v>
      </c>
      <c r="L89">
        <f t="shared" si="10"/>
        <v>-0.26729089138221029</v>
      </c>
      <c r="O89">
        <f t="shared" si="11"/>
        <v>80.048249999999996</v>
      </c>
    </row>
    <row r="90" spans="1:15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 s="11">
        <v>76.823250000000002</v>
      </c>
      <c r="I90">
        <f t="shared" si="7"/>
        <v>1.999999999999999E-2</v>
      </c>
      <c r="J90">
        <f t="shared" si="8"/>
        <v>1.2709108617790399E-2</v>
      </c>
      <c r="K90">
        <f t="shared" si="9"/>
        <v>-0.30000000000000071</v>
      </c>
      <c r="L90">
        <f t="shared" si="10"/>
        <v>-0.26729089138221029</v>
      </c>
      <c r="O90">
        <f t="shared" si="11"/>
        <v>76.823250000000002</v>
      </c>
    </row>
    <row r="91" spans="1:15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 s="11">
        <v>64.455500000000001</v>
      </c>
      <c r="I91">
        <f t="shared" si="7"/>
        <v>1.999999999999999E-2</v>
      </c>
      <c r="J91">
        <f t="shared" si="8"/>
        <v>1.2709108617790399E-2</v>
      </c>
      <c r="K91">
        <f t="shared" si="9"/>
        <v>-0.30000000000000071</v>
      </c>
      <c r="L91">
        <f t="shared" si="10"/>
        <v>-0.26729089138221029</v>
      </c>
      <c r="O91">
        <f t="shared" si="11"/>
        <v>64.455500000000001</v>
      </c>
    </row>
    <row r="92" spans="1:15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 s="10">
        <v>68.887249999999995</v>
      </c>
      <c r="I92">
        <f t="shared" si="7"/>
        <v>1.999999999999999E-2</v>
      </c>
      <c r="J92">
        <f t="shared" si="8"/>
        <v>1.2709108617790399E-2</v>
      </c>
      <c r="K92">
        <f t="shared" si="9"/>
        <v>-0.30000000000000071</v>
      </c>
      <c r="L92">
        <f t="shared" si="10"/>
        <v>-0.26729089138221029</v>
      </c>
      <c r="O92">
        <f t="shared" si="11"/>
        <v>68.887249999999995</v>
      </c>
    </row>
    <row r="93" spans="1:15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 s="10">
        <v>76.979500000000002</v>
      </c>
      <c r="I93">
        <f t="shared" si="7"/>
        <v>1.999999999999999E-2</v>
      </c>
      <c r="J93">
        <f t="shared" si="8"/>
        <v>1.2709108617790399E-2</v>
      </c>
      <c r="K93">
        <f t="shared" si="9"/>
        <v>-0.30000000000000071</v>
      </c>
      <c r="L93">
        <f t="shared" si="10"/>
        <v>-0.26729089138221029</v>
      </c>
      <c r="O93">
        <f t="shared" si="11"/>
        <v>76.979500000000002</v>
      </c>
    </row>
    <row r="94" spans="1:15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 s="10">
        <v>73.343249999999998</v>
      </c>
      <c r="I94">
        <f t="shared" si="7"/>
        <v>9.9999999999999811E-3</v>
      </c>
      <c r="J94">
        <f t="shared" si="8"/>
        <v>0.10751278491301974</v>
      </c>
      <c r="K94">
        <f t="shared" si="9"/>
        <v>-0.30000000000000071</v>
      </c>
      <c r="L94">
        <f t="shared" si="10"/>
        <v>-0.18248721508698099</v>
      </c>
      <c r="O94">
        <f t="shared" si="11"/>
        <v>73.343249999999998</v>
      </c>
    </row>
    <row r="95" spans="1:15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 s="10">
        <v>75.004499999999993</v>
      </c>
      <c r="I95">
        <f t="shared" si="7"/>
        <v>9.9999999999999811E-3</v>
      </c>
      <c r="J95">
        <f t="shared" si="8"/>
        <v>0.10751278491301974</v>
      </c>
      <c r="K95">
        <f t="shared" si="9"/>
        <v>-0.30000000000000071</v>
      </c>
      <c r="L95">
        <f t="shared" si="10"/>
        <v>-0.18248721508698099</v>
      </c>
      <c r="O95">
        <f t="shared" si="11"/>
        <v>75.004499999999993</v>
      </c>
    </row>
    <row r="96" spans="1:15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 s="10">
        <v>81.140500000000003</v>
      </c>
      <c r="I96">
        <f t="shared" si="7"/>
        <v>9.9999999999999811E-3</v>
      </c>
      <c r="J96">
        <f t="shared" si="8"/>
        <v>0.10751278491301974</v>
      </c>
      <c r="K96">
        <f t="shared" si="9"/>
        <v>-0.30000000000000071</v>
      </c>
      <c r="L96">
        <f t="shared" si="10"/>
        <v>-0.18248721508698099</v>
      </c>
      <c r="O96">
        <f t="shared" si="11"/>
        <v>81.140500000000003</v>
      </c>
    </row>
    <row r="97" spans="1:15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 s="10">
        <v>73.783500000000004</v>
      </c>
      <c r="I97">
        <f t="shared" si="7"/>
        <v>9.9999999999999811E-3</v>
      </c>
      <c r="J97">
        <f t="shared" si="8"/>
        <v>0.10751278491301974</v>
      </c>
      <c r="K97">
        <f t="shared" si="9"/>
        <v>-0.30000000000000071</v>
      </c>
      <c r="L97">
        <f t="shared" si="10"/>
        <v>-0.18248721508698099</v>
      </c>
      <c r="O97">
        <f t="shared" si="11"/>
        <v>73.783500000000004</v>
      </c>
    </row>
    <row r="98" spans="1:15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 s="10">
        <v>70.981499999999997</v>
      </c>
      <c r="I98">
        <f t="shared" si="7"/>
        <v>9.9999999999999811E-3</v>
      </c>
      <c r="J98">
        <f t="shared" si="8"/>
        <v>0.10751278491301974</v>
      </c>
      <c r="K98">
        <f t="shared" si="9"/>
        <v>-0.30000000000000071</v>
      </c>
      <c r="L98">
        <f t="shared" si="10"/>
        <v>-0.18248721508698099</v>
      </c>
      <c r="O98">
        <f t="shared" si="11"/>
        <v>70.981499999999997</v>
      </c>
    </row>
    <row r="99" spans="1:15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 s="10">
        <v>73.477249999999998</v>
      </c>
      <c r="I99">
        <f t="shared" si="7"/>
        <v>9.9999999999999811E-3</v>
      </c>
      <c r="J99">
        <f t="shared" si="8"/>
        <v>0.10751278491301974</v>
      </c>
      <c r="K99">
        <f t="shared" si="9"/>
        <v>-0.30000000000000071</v>
      </c>
      <c r="L99">
        <f t="shared" si="10"/>
        <v>-0.18248721508698099</v>
      </c>
      <c r="O99">
        <f t="shared" si="11"/>
        <v>73.477249999999998</v>
      </c>
    </row>
    <row r="100" spans="1:15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 s="10">
        <v>76.641999999999996</v>
      </c>
      <c r="I100">
        <f t="shared" si="7"/>
        <v>9.9999999999999811E-3</v>
      </c>
      <c r="J100">
        <f t="shared" si="8"/>
        <v>0.10751278491301974</v>
      </c>
      <c r="K100">
        <f t="shared" si="9"/>
        <v>-0.30000000000000071</v>
      </c>
      <c r="L100">
        <f t="shared" si="10"/>
        <v>-0.18248721508698099</v>
      </c>
      <c r="O100">
        <f t="shared" si="11"/>
        <v>76.641999999999996</v>
      </c>
    </row>
    <row r="101" spans="1:15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 s="10">
        <v>71.697000000000003</v>
      </c>
      <c r="I101">
        <f t="shared" si="7"/>
        <v>9.9999999999999811E-3</v>
      </c>
      <c r="J101">
        <f t="shared" si="8"/>
        <v>0.10751278491301974</v>
      </c>
      <c r="K101">
        <f t="shared" si="9"/>
        <v>-0.30000000000000071</v>
      </c>
      <c r="L101">
        <f t="shared" si="10"/>
        <v>-0.18248721508698099</v>
      </c>
      <c r="O101">
        <f t="shared" si="11"/>
        <v>71.697000000000003</v>
      </c>
    </row>
    <row r="102" spans="1:15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 s="10">
        <v>75.83175</v>
      </c>
      <c r="I102">
        <f t="shared" si="7"/>
        <v>9.9999999999999811E-3</v>
      </c>
      <c r="J102">
        <f t="shared" si="8"/>
        <v>0.23702034092308999</v>
      </c>
      <c r="K102">
        <f t="shared" si="9"/>
        <v>-0.30000000000000071</v>
      </c>
      <c r="L102">
        <f t="shared" si="10"/>
        <v>-5.297965907691074E-2</v>
      </c>
      <c r="O102">
        <f t="shared" si="11"/>
        <v>75.83175</v>
      </c>
    </row>
    <row r="103" spans="1:15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 s="10">
        <v>77.680750000000003</v>
      </c>
      <c r="I103">
        <f t="shared" si="7"/>
        <v>9.9999999999999811E-3</v>
      </c>
      <c r="J103">
        <f t="shared" si="8"/>
        <v>0.23702034092308999</v>
      </c>
      <c r="K103">
        <f t="shared" si="9"/>
        <v>-0.30000000000000071</v>
      </c>
      <c r="L103">
        <f t="shared" si="10"/>
        <v>-5.297965907691074E-2</v>
      </c>
      <c r="O103">
        <f t="shared" si="11"/>
        <v>77.680750000000003</v>
      </c>
    </row>
    <row r="104" spans="1:15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 s="10">
        <v>72.848249999999993</v>
      </c>
      <c r="I104">
        <f t="shared" si="7"/>
        <v>9.9999999999999811E-3</v>
      </c>
      <c r="J104">
        <f t="shared" si="8"/>
        <v>0.23702034092308999</v>
      </c>
      <c r="K104">
        <f t="shared" si="9"/>
        <v>-0.30000000000000071</v>
      </c>
      <c r="L104">
        <f t="shared" si="10"/>
        <v>-5.297965907691074E-2</v>
      </c>
      <c r="O104">
        <f t="shared" si="11"/>
        <v>72.848249999999993</v>
      </c>
    </row>
    <row r="105" spans="1:15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 s="10">
        <v>76.196749999999994</v>
      </c>
      <c r="I105">
        <f t="shared" si="7"/>
        <v>9.9999999999999811E-3</v>
      </c>
      <c r="J105">
        <f t="shared" si="8"/>
        <v>0.23702034092308999</v>
      </c>
      <c r="K105">
        <f t="shared" si="9"/>
        <v>-0.30000000000000071</v>
      </c>
      <c r="L105">
        <f t="shared" si="10"/>
        <v>-5.297965907691074E-2</v>
      </c>
      <c r="O105">
        <f t="shared" si="11"/>
        <v>76.196749999999994</v>
      </c>
    </row>
    <row r="106" spans="1:15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 s="10">
        <v>72.912000000000006</v>
      </c>
      <c r="I106">
        <f t="shared" si="7"/>
        <v>9.9999999999999811E-3</v>
      </c>
      <c r="J106">
        <f t="shared" si="8"/>
        <v>0.23702034092308999</v>
      </c>
      <c r="K106">
        <f t="shared" si="9"/>
        <v>-0.30000000000000071</v>
      </c>
      <c r="L106">
        <f t="shared" si="10"/>
        <v>-5.297965907691074E-2</v>
      </c>
      <c r="O106">
        <f t="shared" si="11"/>
        <v>72.912000000000006</v>
      </c>
    </row>
    <row r="107" spans="1:15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 s="10">
        <v>74.035250000000005</v>
      </c>
      <c r="I107">
        <f t="shared" si="7"/>
        <v>9.9999999999999811E-3</v>
      </c>
      <c r="J107">
        <f t="shared" si="8"/>
        <v>0.23702034092308999</v>
      </c>
      <c r="K107">
        <f t="shared" si="9"/>
        <v>-0.30000000000000071</v>
      </c>
      <c r="L107">
        <f t="shared" si="10"/>
        <v>-5.297965907691074E-2</v>
      </c>
      <c r="O107">
        <f t="shared" si="11"/>
        <v>74.035250000000005</v>
      </c>
    </row>
    <row r="108" spans="1:15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 s="10">
        <v>78.511250000000004</v>
      </c>
      <c r="I108">
        <f t="shared" si="7"/>
        <v>9.9999999999999811E-3</v>
      </c>
      <c r="J108">
        <f t="shared" si="8"/>
        <v>0.23702034092308999</v>
      </c>
      <c r="K108">
        <f t="shared" si="9"/>
        <v>-0.30000000000000071</v>
      </c>
      <c r="L108">
        <f t="shared" si="10"/>
        <v>-5.297965907691074E-2</v>
      </c>
      <c r="O108">
        <f t="shared" si="11"/>
        <v>78.511250000000004</v>
      </c>
    </row>
    <row r="109" spans="1:15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 s="10">
        <v>78.964500000000001</v>
      </c>
      <c r="I109">
        <f t="shared" si="7"/>
        <v>9.9999999999999811E-3</v>
      </c>
      <c r="J109">
        <f t="shared" si="8"/>
        <v>0.23702034092308999</v>
      </c>
      <c r="K109">
        <f t="shared" si="9"/>
        <v>-0.30000000000000071</v>
      </c>
      <c r="L109">
        <f t="shared" si="10"/>
        <v>-5.297965907691074E-2</v>
      </c>
      <c r="O109">
        <f t="shared" si="11"/>
        <v>78.964500000000001</v>
      </c>
    </row>
    <row r="110" spans="1:15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 s="10">
        <v>75.937250000000006</v>
      </c>
      <c r="I110">
        <f t="shared" si="7"/>
        <v>9.9999999999999811E-3</v>
      </c>
      <c r="J110">
        <f t="shared" si="8"/>
        <v>0.23702034092308999</v>
      </c>
      <c r="K110">
        <f t="shared" si="9"/>
        <v>-0.30000000000000071</v>
      </c>
      <c r="L110">
        <f t="shared" si="10"/>
        <v>-5.297965907691074E-2</v>
      </c>
      <c r="O110">
        <f t="shared" si="11"/>
        <v>75.937250000000006</v>
      </c>
    </row>
    <row r="111" spans="1:15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 s="10">
        <v>76.170500000000004</v>
      </c>
      <c r="I111">
        <f t="shared" si="7"/>
        <v>9.9999999999999811E-3</v>
      </c>
      <c r="J111">
        <f t="shared" si="8"/>
        <v>0.29892521684180018</v>
      </c>
      <c r="K111">
        <f t="shared" si="9"/>
        <v>-0.30000000000000071</v>
      </c>
      <c r="L111">
        <f t="shared" si="10"/>
        <v>8.9252168417994771E-3</v>
      </c>
      <c r="O111">
        <f t="shared" si="11"/>
        <v>76.170500000000004</v>
      </c>
    </row>
    <row r="112" spans="1:15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 s="10">
        <v>68.457250000000002</v>
      </c>
      <c r="I112">
        <f t="shared" si="7"/>
        <v>9.9999999999999811E-3</v>
      </c>
      <c r="J112">
        <f t="shared" si="8"/>
        <v>0.29892521684180018</v>
      </c>
      <c r="K112">
        <f t="shared" si="9"/>
        <v>-0.30000000000000071</v>
      </c>
      <c r="L112">
        <f t="shared" si="10"/>
        <v>8.9252168417994771E-3</v>
      </c>
      <c r="O112">
        <f t="shared" si="11"/>
        <v>68.457250000000002</v>
      </c>
    </row>
    <row r="113" spans="1:15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 s="10">
        <v>75.662750000000003</v>
      </c>
      <c r="I113">
        <f t="shared" si="7"/>
        <v>9.9999999999999811E-3</v>
      </c>
      <c r="J113">
        <f t="shared" si="8"/>
        <v>0.29892521684180018</v>
      </c>
      <c r="K113">
        <f t="shared" si="9"/>
        <v>-0.30000000000000071</v>
      </c>
      <c r="L113">
        <f t="shared" si="10"/>
        <v>8.9252168417994771E-3</v>
      </c>
      <c r="O113">
        <f t="shared" si="11"/>
        <v>75.662750000000003</v>
      </c>
    </row>
    <row r="114" spans="1:15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 s="10">
        <v>64.781000000000006</v>
      </c>
      <c r="I114">
        <f t="shared" si="7"/>
        <v>9.9999999999999811E-3</v>
      </c>
      <c r="J114">
        <f t="shared" si="8"/>
        <v>0.29892521684180018</v>
      </c>
      <c r="K114">
        <f t="shared" si="9"/>
        <v>-0.30000000000000071</v>
      </c>
      <c r="L114">
        <f t="shared" si="10"/>
        <v>8.9252168417994771E-3</v>
      </c>
      <c r="O114">
        <f t="shared" si="11"/>
        <v>64.781000000000006</v>
      </c>
    </row>
    <row r="115" spans="1:15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 s="10">
        <v>59.510249999999999</v>
      </c>
      <c r="I115">
        <f t="shared" si="7"/>
        <v>9.9999999999999811E-3</v>
      </c>
      <c r="J115">
        <f t="shared" si="8"/>
        <v>0.29892521684180018</v>
      </c>
      <c r="K115">
        <f t="shared" si="9"/>
        <v>-0.30000000000000071</v>
      </c>
      <c r="L115">
        <f t="shared" si="10"/>
        <v>8.9252168417994771E-3</v>
      </c>
      <c r="O115">
        <f t="shared" ref="O115:O134" si="12">G115</f>
        <v>59.510249999999999</v>
      </c>
    </row>
    <row r="116" spans="1:15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 s="10">
        <v>52.519000000000005</v>
      </c>
      <c r="I116">
        <f t="shared" si="7"/>
        <v>9.9999999999999811E-3</v>
      </c>
      <c r="J116">
        <f t="shared" si="8"/>
        <v>0.29892521684180018</v>
      </c>
      <c r="K116">
        <f t="shared" si="9"/>
        <v>-0.30000000000000071</v>
      </c>
      <c r="L116">
        <f t="shared" si="10"/>
        <v>8.9252168417994771E-3</v>
      </c>
      <c r="O116">
        <f t="shared" si="12"/>
        <v>52.519000000000005</v>
      </c>
    </row>
    <row r="117" spans="1:15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 s="10">
        <v>53.478250000000003</v>
      </c>
      <c r="I117">
        <f t="shared" si="7"/>
        <v>9.9999999999999811E-3</v>
      </c>
      <c r="J117">
        <f t="shared" si="8"/>
        <v>0.29892521684180018</v>
      </c>
      <c r="K117">
        <f t="shared" si="9"/>
        <v>-0.30000000000000071</v>
      </c>
      <c r="L117">
        <f t="shared" si="10"/>
        <v>8.9252168417994771E-3</v>
      </c>
      <c r="O117">
        <f t="shared" si="12"/>
        <v>53.478250000000003</v>
      </c>
    </row>
    <row r="118" spans="1:15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 s="10">
        <v>57.674750000000003</v>
      </c>
      <c r="I118">
        <f t="shared" si="7"/>
        <v>9.9999999999999811E-3</v>
      </c>
      <c r="J118">
        <f t="shared" si="8"/>
        <v>0.29892521684180018</v>
      </c>
      <c r="K118">
        <f t="shared" si="9"/>
        <v>-0.30000000000000071</v>
      </c>
      <c r="L118">
        <f t="shared" si="10"/>
        <v>8.9252168417994771E-3</v>
      </c>
      <c r="O118">
        <f t="shared" si="12"/>
        <v>57.674750000000003</v>
      </c>
    </row>
    <row r="119" spans="1:15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 s="10">
        <v>76.181250000000006</v>
      </c>
      <c r="I119">
        <f t="shared" si="7"/>
        <v>9.9999999999999811E-3</v>
      </c>
      <c r="J119">
        <f t="shared" si="8"/>
        <v>0.29892521684180018</v>
      </c>
      <c r="K119">
        <f t="shared" si="9"/>
        <v>-0.30000000000000071</v>
      </c>
      <c r="L119">
        <f t="shared" si="10"/>
        <v>8.9252168417994771E-3</v>
      </c>
      <c r="O119">
        <f t="shared" si="12"/>
        <v>76.181250000000006</v>
      </c>
    </row>
    <row r="120" spans="1:15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 s="10">
        <v>73.251249999999999</v>
      </c>
      <c r="I120">
        <f t="shared" si="7"/>
        <v>9.9999999999999811E-3</v>
      </c>
      <c r="J120">
        <f t="shared" si="8"/>
        <v>0.29892521684180018</v>
      </c>
      <c r="K120">
        <f t="shared" si="9"/>
        <v>-0.30000000000000071</v>
      </c>
      <c r="L120">
        <f t="shared" si="10"/>
        <v>8.9252168417994771E-3</v>
      </c>
      <c r="O120">
        <f t="shared" si="12"/>
        <v>73.251249999999999</v>
      </c>
    </row>
    <row r="121" spans="1:15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 s="10">
        <v>66.178749999999994</v>
      </c>
      <c r="I121">
        <f t="shared" si="7"/>
        <v>0</v>
      </c>
      <c r="J121">
        <f t="shared" si="8"/>
        <v>0.35483025985621008</v>
      </c>
      <c r="K121">
        <f t="shared" si="9"/>
        <v>-0.30000000000000071</v>
      </c>
      <c r="L121">
        <f t="shared" si="10"/>
        <v>5.4830259856209373E-2</v>
      </c>
      <c r="O121">
        <f t="shared" si="12"/>
        <v>66.178749999999994</v>
      </c>
    </row>
    <row r="122" spans="1:15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 s="10">
        <v>68.671999999999997</v>
      </c>
      <c r="I122">
        <f t="shared" si="7"/>
        <v>0</v>
      </c>
      <c r="J122">
        <f t="shared" si="8"/>
        <v>0.35483025985621008</v>
      </c>
      <c r="K122">
        <f t="shared" si="9"/>
        <v>-0.30000000000000071</v>
      </c>
      <c r="L122">
        <f t="shared" si="10"/>
        <v>5.4830259856209373E-2</v>
      </c>
      <c r="O122">
        <f t="shared" si="12"/>
        <v>68.671999999999997</v>
      </c>
    </row>
    <row r="123" spans="1:15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 s="10">
        <v>63.932249999999996</v>
      </c>
      <c r="I123">
        <f t="shared" si="7"/>
        <v>0</v>
      </c>
      <c r="J123">
        <f t="shared" si="8"/>
        <v>0.35483025985621008</v>
      </c>
      <c r="K123">
        <f t="shared" si="9"/>
        <v>-0.30000000000000071</v>
      </c>
      <c r="L123">
        <f t="shared" si="10"/>
        <v>5.4830259856209373E-2</v>
      </c>
      <c r="O123">
        <f t="shared" si="12"/>
        <v>63.932249999999996</v>
      </c>
    </row>
    <row r="124" spans="1:15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 s="10">
        <v>67.418499999999995</v>
      </c>
      <c r="I124">
        <f t="shared" si="7"/>
        <v>0</v>
      </c>
      <c r="J124">
        <f t="shared" si="8"/>
        <v>0.35483025985621008</v>
      </c>
      <c r="K124">
        <f t="shared" si="9"/>
        <v>-0.30000000000000071</v>
      </c>
      <c r="L124">
        <f t="shared" si="10"/>
        <v>5.4830259856209373E-2</v>
      </c>
      <c r="O124">
        <f t="shared" si="12"/>
        <v>67.418499999999995</v>
      </c>
    </row>
    <row r="125" spans="1:15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 s="10">
        <v>60.915499999999994</v>
      </c>
      <c r="I125">
        <f t="shared" si="7"/>
        <v>0</v>
      </c>
      <c r="J125">
        <f t="shared" si="8"/>
        <v>0.35483025985621008</v>
      </c>
      <c r="K125">
        <f t="shared" si="9"/>
        <v>-0.30000000000000071</v>
      </c>
      <c r="L125">
        <f t="shared" si="10"/>
        <v>5.4830259856209373E-2</v>
      </c>
      <c r="O125">
        <f t="shared" si="12"/>
        <v>60.915499999999994</v>
      </c>
    </row>
    <row r="126" spans="1:15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 s="10">
        <v>71.373249999999999</v>
      </c>
      <c r="I126">
        <f t="shared" si="7"/>
        <v>0</v>
      </c>
      <c r="J126">
        <f t="shared" si="8"/>
        <v>0.35483025985621008</v>
      </c>
      <c r="K126">
        <f t="shared" si="9"/>
        <v>-0.30000000000000071</v>
      </c>
      <c r="L126">
        <f t="shared" si="10"/>
        <v>5.4830259856209373E-2</v>
      </c>
      <c r="O126">
        <f t="shared" si="12"/>
        <v>71.373249999999999</v>
      </c>
    </row>
    <row r="127" spans="1:15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 s="10">
        <v>60.248000000000005</v>
      </c>
      <c r="I127">
        <f t="shared" si="7"/>
        <v>0</v>
      </c>
      <c r="J127">
        <f t="shared" si="8"/>
        <v>0.35483025985621008</v>
      </c>
      <c r="K127">
        <f t="shared" si="9"/>
        <v>-0.30000000000000071</v>
      </c>
      <c r="L127">
        <f t="shared" si="10"/>
        <v>5.4830259856209373E-2</v>
      </c>
      <c r="O127">
        <f t="shared" si="12"/>
        <v>60.248000000000005</v>
      </c>
    </row>
    <row r="128" spans="1:15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 s="10">
        <v>64.083749999999995</v>
      </c>
      <c r="I128">
        <f t="shared" si="7"/>
        <v>0</v>
      </c>
      <c r="J128">
        <f t="shared" si="8"/>
        <v>0.35483025985621008</v>
      </c>
      <c r="K128">
        <f t="shared" si="9"/>
        <v>-0.30000000000000071</v>
      </c>
      <c r="L128">
        <f t="shared" si="10"/>
        <v>5.4830259856209373E-2</v>
      </c>
      <c r="O128">
        <f t="shared" si="12"/>
        <v>64.083749999999995</v>
      </c>
    </row>
    <row r="129" spans="1:16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 s="10">
        <v>65.379000000000005</v>
      </c>
      <c r="I129">
        <f t="shared" si="7"/>
        <v>0</v>
      </c>
      <c r="J129">
        <f t="shared" si="8"/>
        <v>0.35483025985621008</v>
      </c>
      <c r="K129">
        <f t="shared" si="9"/>
        <v>-0.30000000000000071</v>
      </c>
      <c r="L129">
        <f t="shared" si="10"/>
        <v>5.4830259856209373E-2</v>
      </c>
      <c r="O129">
        <f t="shared" si="12"/>
        <v>65.379000000000005</v>
      </c>
    </row>
    <row r="130" spans="1:16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 s="10">
        <v>63.595749999999995</v>
      </c>
      <c r="I130">
        <f t="shared" si="7"/>
        <v>0</v>
      </c>
      <c r="J130">
        <f t="shared" si="8"/>
        <v>0.35483025985621008</v>
      </c>
      <c r="K130">
        <f t="shared" si="9"/>
        <v>-0.30000000000000071</v>
      </c>
      <c r="L130">
        <f t="shared" si="10"/>
        <v>5.4830259856209373E-2</v>
      </c>
      <c r="O130">
        <f t="shared" si="12"/>
        <v>63.595749999999995</v>
      </c>
    </row>
    <row r="131" spans="1:16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 s="10">
        <v>62.522000000000006</v>
      </c>
      <c r="I131">
        <f t="shared" ref="I131:I194" si="13">(E131-0.17)*$U$2</f>
        <v>0</v>
      </c>
      <c r="J131">
        <f t="shared" ref="J131:J194" si="14">(8-D131)*$U$4</f>
        <v>0.35483025985621008</v>
      </c>
      <c r="K131">
        <f t="shared" ref="K131:K194" si="15">(C131-20)*$U$3</f>
        <v>-0.30000000000000071</v>
      </c>
      <c r="L131">
        <f t="shared" ref="L131:L194" si="16">SUM(I131:K131)</f>
        <v>5.4830259856209373E-2</v>
      </c>
      <c r="O131">
        <f t="shared" si="12"/>
        <v>62.522000000000006</v>
      </c>
    </row>
    <row r="132" spans="1:16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 s="10">
        <v>67.867750000000001</v>
      </c>
      <c r="I132">
        <f t="shared" si="13"/>
        <v>0</v>
      </c>
      <c r="J132">
        <f t="shared" si="14"/>
        <v>0.35483025985621008</v>
      </c>
      <c r="K132">
        <f t="shared" si="15"/>
        <v>-0.30000000000000071</v>
      </c>
      <c r="L132">
        <f t="shared" si="16"/>
        <v>5.4830259856209373E-2</v>
      </c>
      <c r="O132">
        <f t="shared" si="12"/>
        <v>67.867750000000001</v>
      </c>
    </row>
    <row r="133" spans="1:16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 s="10">
        <v>59.270499999999998</v>
      </c>
      <c r="I133">
        <f t="shared" si="13"/>
        <v>0</v>
      </c>
      <c r="J133">
        <f t="shared" si="14"/>
        <v>0.35483025985621008</v>
      </c>
      <c r="K133">
        <f t="shared" si="15"/>
        <v>-0.30000000000000071</v>
      </c>
      <c r="L133">
        <f t="shared" si="16"/>
        <v>5.4830259856209373E-2</v>
      </c>
      <c r="O133">
        <f t="shared" si="12"/>
        <v>59.270499999999998</v>
      </c>
    </row>
    <row r="134" spans="1:16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 s="10">
        <v>62.392499999999998</v>
      </c>
      <c r="I134">
        <f t="shared" si="13"/>
        <v>0</v>
      </c>
      <c r="J134">
        <f t="shared" si="14"/>
        <v>0.35483025985621008</v>
      </c>
      <c r="K134">
        <f t="shared" si="15"/>
        <v>-0.30000000000000071</v>
      </c>
      <c r="L134">
        <f t="shared" si="16"/>
        <v>5.4830259856209373E-2</v>
      </c>
      <c r="O134">
        <f t="shared" si="12"/>
        <v>62.392499999999998</v>
      </c>
    </row>
    <row r="135" spans="1:16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 s="10">
        <v>42.751000000000005</v>
      </c>
      <c r="I135">
        <f t="shared" si="13"/>
        <v>9.9999999999999811E-3</v>
      </c>
      <c r="J135">
        <f t="shared" si="14"/>
        <v>-2.6193325609860096E-2</v>
      </c>
      <c r="K135">
        <f t="shared" si="15"/>
        <v>-7.6999999999999993</v>
      </c>
      <c r="L135">
        <f t="shared" si="16"/>
        <v>-7.7161933256098596</v>
      </c>
      <c r="P135">
        <f t="shared" ref="P135:P166" si="17">G135</f>
        <v>42.751000000000005</v>
      </c>
    </row>
    <row r="136" spans="1:16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 s="10">
        <v>47.630250000000004</v>
      </c>
      <c r="I136">
        <f t="shared" si="13"/>
        <v>9.9999999999999811E-3</v>
      </c>
      <c r="J136">
        <f t="shared" si="14"/>
        <v>-2.6193325609860096E-2</v>
      </c>
      <c r="K136">
        <f t="shared" si="15"/>
        <v>-7.6999999999999993</v>
      </c>
      <c r="L136">
        <f t="shared" si="16"/>
        <v>-7.7161933256098596</v>
      </c>
      <c r="P136">
        <f t="shared" si="17"/>
        <v>47.630250000000004</v>
      </c>
    </row>
    <row r="137" spans="1:16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 s="10">
        <v>45.341750000000005</v>
      </c>
      <c r="I137">
        <f t="shared" si="13"/>
        <v>9.9999999999999811E-3</v>
      </c>
      <c r="J137">
        <f t="shared" si="14"/>
        <v>-2.6193325609860096E-2</v>
      </c>
      <c r="K137">
        <f t="shared" si="15"/>
        <v>-7.6999999999999993</v>
      </c>
      <c r="L137">
        <f t="shared" si="16"/>
        <v>-7.7161933256098596</v>
      </c>
      <c r="P137">
        <f t="shared" si="17"/>
        <v>45.341750000000005</v>
      </c>
    </row>
    <row r="138" spans="1:16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 s="10">
        <v>48.91225</v>
      </c>
      <c r="I138">
        <f t="shared" si="13"/>
        <v>9.9999999999999811E-3</v>
      </c>
      <c r="J138">
        <f t="shared" si="14"/>
        <v>-2.6193325609860096E-2</v>
      </c>
      <c r="K138">
        <f t="shared" si="15"/>
        <v>-7.6999999999999993</v>
      </c>
      <c r="L138">
        <f t="shared" si="16"/>
        <v>-7.7161933256098596</v>
      </c>
      <c r="P138">
        <f t="shared" si="17"/>
        <v>48.91225</v>
      </c>
    </row>
    <row r="139" spans="1:16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 s="12">
        <v>47.5655</v>
      </c>
      <c r="I139">
        <f t="shared" si="13"/>
        <v>9.9999999999999811E-3</v>
      </c>
      <c r="J139">
        <f t="shared" si="14"/>
        <v>-2.6193325609860096E-2</v>
      </c>
      <c r="K139">
        <f t="shared" si="15"/>
        <v>-7.6999999999999993</v>
      </c>
      <c r="L139">
        <f t="shared" si="16"/>
        <v>-7.7161933256098596</v>
      </c>
      <c r="P139">
        <f t="shared" si="17"/>
        <v>47.5655</v>
      </c>
    </row>
    <row r="140" spans="1:16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 s="12">
        <v>44.858000000000004</v>
      </c>
      <c r="I140">
        <f t="shared" si="13"/>
        <v>9.9999999999999811E-3</v>
      </c>
      <c r="J140">
        <f t="shared" si="14"/>
        <v>-2.6193325609860096E-2</v>
      </c>
      <c r="K140">
        <f t="shared" si="15"/>
        <v>-7.6999999999999993</v>
      </c>
      <c r="L140">
        <f t="shared" si="16"/>
        <v>-7.7161933256098596</v>
      </c>
      <c r="P140">
        <f t="shared" si="17"/>
        <v>44.858000000000004</v>
      </c>
    </row>
    <row r="141" spans="1:16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 s="12">
        <v>49.738500000000002</v>
      </c>
      <c r="I141">
        <f t="shared" si="13"/>
        <v>9.9999999999999811E-3</v>
      </c>
      <c r="J141">
        <f t="shared" si="14"/>
        <v>-2.6193325609860096E-2</v>
      </c>
      <c r="K141">
        <f t="shared" si="15"/>
        <v>-7.6999999999999993</v>
      </c>
      <c r="L141">
        <f t="shared" si="16"/>
        <v>-7.7161933256098596</v>
      </c>
      <c r="P141">
        <f t="shared" si="17"/>
        <v>49.738500000000002</v>
      </c>
    </row>
    <row r="142" spans="1:16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 s="12">
        <v>49.403750000000002</v>
      </c>
      <c r="I142">
        <f t="shared" si="13"/>
        <v>9.9999999999999811E-3</v>
      </c>
      <c r="J142">
        <f t="shared" si="14"/>
        <v>-2.6193325609860096E-2</v>
      </c>
      <c r="K142">
        <f t="shared" si="15"/>
        <v>-7.6999999999999993</v>
      </c>
      <c r="L142">
        <f t="shared" si="16"/>
        <v>-7.7161933256098596</v>
      </c>
      <c r="P142">
        <f t="shared" si="17"/>
        <v>49.403750000000002</v>
      </c>
    </row>
    <row r="143" spans="1:16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 s="12">
        <v>46.037000000000006</v>
      </c>
      <c r="I143">
        <f t="shared" si="13"/>
        <v>9.9999999999999811E-3</v>
      </c>
      <c r="J143">
        <f t="shared" si="14"/>
        <v>-2.6193325609860096E-2</v>
      </c>
      <c r="K143">
        <f t="shared" si="15"/>
        <v>-7.6999999999999993</v>
      </c>
      <c r="L143">
        <f t="shared" si="16"/>
        <v>-7.7161933256098596</v>
      </c>
      <c r="P143">
        <f t="shared" si="17"/>
        <v>46.037000000000006</v>
      </c>
    </row>
    <row r="144" spans="1:16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 s="12">
        <v>43.385249999999999</v>
      </c>
      <c r="I144">
        <f t="shared" si="13"/>
        <v>9.9999999999999811E-3</v>
      </c>
      <c r="J144">
        <f t="shared" si="14"/>
        <v>-2.6193325609860096E-2</v>
      </c>
      <c r="K144">
        <f t="shared" si="15"/>
        <v>-7.6999999999999993</v>
      </c>
      <c r="L144">
        <f t="shared" si="16"/>
        <v>-7.7161933256098596</v>
      </c>
      <c r="P144">
        <f t="shared" si="17"/>
        <v>43.385249999999999</v>
      </c>
    </row>
    <row r="145" spans="1:16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 s="12">
        <v>45.3</v>
      </c>
      <c r="I145">
        <f t="shared" si="13"/>
        <v>9.9999999999999811E-3</v>
      </c>
      <c r="J145">
        <f t="shared" si="14"/>
        <v>-2.6193325609860096E-2</v>
      </c>
      <c r="K145">
        <f t="shared" si="15"/>
        <v>-7.6999999999999993</v>
      </c>
      <c r="L145">
        <f t="shared" si="16"/>
        <v>-7.7161933256098596</v>
      </c>
      <c r="P145">
        <f t="shared" si="17"/>
        <v>45.3</v>
      </c>
    </row>
    <row r="146" spans="1:16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 s="12">
        <v>45.084000000000003</v>
      </c>
      <c r="I146">
        <f t="shared" si="13"/>
        <v>9.9999999999999811E-3</v>
      </c>
      <c r="J146">
        <f t="shared" si="14"/>
        <v>-2.6193325609860096E-2</v>
      </c>
      <c r="K146">
        <f t="shared" si="15"/>
        <v>-7.6999999999999993</v>
      </c>
      <c r="L146">
        <f t="shared" si="16"/>
        <v>-7.7161933256098596</v>
      </c>
      <c r="P146">
        <f t="shared" si="17"/>
        <v>45.084000000000003</v>
      </c>
    </row>
    <row r="147" spans="1:16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 s="12">
        <v>74.791250000000005</v>
      </c>
      <c r="I147">
        <f t="shared" si="13"/>
        <v>0</v>
      </c>
      <c r="J147">
        <f t="shared" si="14"/>
        <v>-5.5920811269292159E-3</v>
      </c>
      <c r="K147">
        <f t="shared" si="15"/>
        <v>-4.0999999999999996</v>
      </c>
      <c r="L147">
        <f t="shared" si="16"/>
        <v>-4.1055920811269289</v>
      </c>
      <c r="P147">
        <f t="shared" si="17"/>
        <v>74.791250000000005</v>
      </c>
    </row>
    <row r="148" spans="1:16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 s="12">
        <v>78.037499999999994</v>
      </c>
      <c r="I148">
        <f t="shared" si="13"/>
        <v>0</v>
      </c>
      <c r="J148">
        <f t="shared" si="14"/>
        <v>-5.5920811269292159E-3</v>
      </c>
      <c r="K148">
        <f t="shared" si="15"/>
        <v>-4.0999999999999996</v>
      </c>
      <c r="L148">
        <f t="shared" si="16"/>
        <v>-4.1055920811269289</v>
      </c>
      <c r="P148">
        <f t="shared" si="17"/>
        <v>78.037499999999994</v>
      </c>
    </row>
    <row r="149" spans="1:16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 s="12">
        <v>79.782749999999993</v>
      </c>
      <c r="I149">
        <f t="shared" si="13"/>
        <v>0</v>
      </c>
      <c r="J149">
        <f t="shared" si="14"/>
        <v>-5.5920811269292159E-3</v>
      </c>
      <c r="K149">
        <f t="shared" si="15"/>
        <v>-4.0999999999999996</v>
      </c>
      <c r="L149">
        <f t="shared" si="16"/>
        <v>-4.1055920811269289</v>
      </c>
      <c r="P149">
        <f t="shared" si="17"/>
        <v>79.782749999999993</v>
      </c>
    </row>
    <row r="150" spans="1:16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 s="12">
        <v>72.612250000000003</v>
      </c>
      <c r="I150">
        <f t="shared" si="13"/>
        <v>0</v>
      </c>
      <c r="J150">
        <f t="shared" si="14"/>
        <v>-5.5920811269292159E-3</v>
      </c>
      <c r="K150">
        <f t="shared" si="15"/>
        <v>-4.0999999999999996</v>
      </c>
      <c r="L150">
        <f t="shared" si="16"/>
        <v>-4.1055920811269289</v>
      </c>
      <c r="P150">
        <f t="shared" si="17"/>
        <v>72.612250000000003</v>
      </c>
    </row>
    <row r="151" spans="1:16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 s="12">
        <v>75.768000000000001</v>
      </c>
      <c r="I151">
        <f t="shared" si="13"/>
        <v>0</v>
      </c>
      <c r="J151">
        <f t="shared" si="14"/>
        <v>-5.5920811269292159E-3</v>
      </c>
      <c r="K151">
        <f t="shared" si="15"/>
        <v>-4.0999999999999996</v>
      </c>
      <c r="L151">
        <f t="shared" si="16"/>
        <v>-4.1055920811269289</v>
      </c>
      <c r="P151">
        <f t="shared" si="17"/>
        <v>75.768000000000001</v>
      </c>
    </row>
    <row r="152" spans="1:16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 s="12">
        <v>77.521500000000003</v>
      </c>
      <c r="I152">
        <f t="shared" si="13"/>
        <v>0</v>
      </c>
      <c r="J152">
        <f t="shared" si="14"/>
        <v>-5.5920811269292159E-3</v>
      </c>
      <c r="K152">
        <f t="shared" si="15"/>
        <v>-4.0999999999999996</v>
      </c>
      <c r="L152">
        <f t="shared" si="16"/>
        <v>-4.1055920811269289</v>
      </c>
      <c r="P152">
        <f t="shared" si="17"/>
        <v>77.521500000000003</v>
      </c>
    </row>
    <row r="153" spans="1:16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 s="12">
        <v>80.322249999999997</v>
      </c>
      <c r="I153">
        <f t="shared" si="13"/>
        <v>0</v>
      </c>
      <c r="J153">
        <f t="shared" si="14"/>
        <v>-5.5920811269292159E-3</v>
      </c>
      <c r="K153">
        <f t="shared" si="15"/>
        <v>-4.0999999999999996</v>
      </c>
      <c r="L153">
        <f t="shared" si="16"/>
        <v>-4.1055920811269289</v>
      </c>
      <c r="P153">
        <f t="shared" si="17"/>
        <v>80.322249999999997</v>
      </c>
    </row>
    <row r="154" spans="1:16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 s="12">
        <v>67.971000000000004</v>
      </c>
      <c r="I154">
        <f t="shared" si="13"/>
        <v>0</v>
      </c>
      <c r="J154">
        <f t="shared" si="14"/>
        <v>-5.5920811269292159E-3</v>
      </c>
      <c r="K154">
        <f t="shared" si="15"/>
        <v>-4.0999999999999996</v>
      </c>
      <c r="L154">
        <f t="shared" si="16"/>
        <v>-4.1055920811269289</v>
      </c>
      <c r="P154">
        <f t="shared" si="17"/>
        <v>67.971000000000004</v>
      </c>
    </row>
    <row r="155" spans="1:16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 s="12">
        <v>80.494749999999996</v>
      </c>
      <c r="I155">
        <f t="shared" si="13"/>
        <v>0</v>
      </c>
      <c r="J155">
        <f t="shared" si="14"/>
        <v>-5.5920811269292159E-3</v>
      </c>
      <c r="K155">
        <f t="shared" si="15"/>
        <v>-4.0999999999999996</v>
      </c>
      <c r="L155">
        <f t="shared" si="16"/>
        <v>-4.1055920811269289</v>
      </c>
      <c r="P155">
        <f t="shared" si="17"/>
        <v>80.494749999999996</v>
      </c>
    </row>
    <row r="156" spans="1:16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 s="12">
        <v>74.242000000000004</v>
      </c>
      <c r="I156">
        <f t="shared" si="13"/>
        <v>0</v>
      </c>
      <c r="J156">
        <f t="shared" si="14"/>
        <v>-5.5920811269292159E-3</v>
      </c>
      <c r="K156">
        <f t="shared" si="15"/>
        <v>-4.0999999999999996</v>
      </c>
      <c r="L156">
        <f t="shared" si="16"/>
        <v>-4.1055920811269289</v>
      </c>
      <c r="P156">
        <f t="shared" si="17"/>
        <v>74.242000000000004</v>
      </c>
    </row>
    <row r="157" spans="1:16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 s="12">
        <v>73.169499999999999</v>
      </c>
      <c r="I157">
        <f t="shared" si="13"/>
        <v>0</v>
      </c>
      <c r="J157">
        <f t="shared" si="14"/>
        <v>-5.5920811269292159E-3</v>
      </c>
      <c r="K157">
        <f t="shared" si="15"/>
        <v>-4.0999999999999996</v>
      </c>
      <c r="L157">
        <f t="shared" si="16"/>
        <v>-4.1055920811269289</v>
      </c>
      <c r="P157">
        <f t="shared" si="17"/>
        <v>73.169499999999999</v>
      </c>
    </row>
    <row r="158" spans="1:16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 s="12">
        <v>75.358999999999995</v>
      </c>
      <c r="I158">
        <f t="shared" si="13"/>
        <v>0</v>
      </c>
      <c r="J158">
        <f t="shared" si="14"/>
        <v>-5.5920811269292159E-3</v>
      </c>
      <c r="K158">
        <f t="shared" si="15"/>
        <v>-4.0999999999999996</v>
      </c>
      <c r="L158">
        <f t="shared" si="16"/>
        <v>-4.1055920811269289</v>
      </c>
      <c r="P158">
        <f t="shared" si="17"/>
        <v>75.358999999999995</v>
      </c>
    </row>
    <row r="159" spans="1:16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 s="12">
        <v>69.527500000000003</v>
      </c>
      <c r="I159">
        <f t="shared" si="13"/>
        <v>0.03</v>
      </c>
      <c r="J159">
        <f t="shared" si="14"/>
        <v>-1.3091904553299116E-2</v>
      </c>
      <c r="K159">
        <f t="shared" si="15"/>
        <v>-0.30000000000000071</v>
      </c>
      <c r="L159">
        <f t="shared" si="16"/>
        <v>-0.2830919045532998</v>
      </c>
      <c r="P159">
        <f t="shared" si="17"/>
        <v>69.527500000000003</v>
      </c>
    </row>
    <row r="160" spans="1:16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 s="12">
        <v>74.111500000000007</v>
      </c>
      <c r="I160">
        <f t="shared" si="13"/>
        <v>0.03</v>
      </c>
      <c r="J160">
        <f t="shared" si="14"/>
        <v>-1.3091904553299116E-2</v>
      </c>
      <c r="K160">
        <f t="shared" si="15"/>
        <v>-0.30000000000000071</v>
      </c>
      <c r="L160">
        <f t="shared" si="16"/>
        <v>-0.2830919045532998</v>
      </c>
      <c r="P160">
        <f t="shared" si="17"/>
        <v>74.111500000000007</v>
      </c>
    </row>
    <row r="161" spans="1:16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 s="12">
        <v>76.056250000000006</v>
      </c>
      <c r="I161">
        <f t="shared" si="13"/>
        <v>0.03</v>
      </c>
      <c r="J161">
        <f t="shared" si="14"/>
        <v>-1.3091904553299116E-2</v>
      </c>
      <c r="K161">
        <f t="shared" si="15"/>
        <v>-0.30000000000000071</v>
      </c>
      <c r="L161">
        <f t="shared" si="16"/>
        <v>-0.2830919045532998</v>
      </c>
      <c r="P161">
        <f t="shared" si="17"/>
        <v>76.056250000000006</v>
      </c>
    </row>
    <row r="162" spans="1:16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 s="12">
        <v>71.962999999999994</v>
      </c>
      <c r="I162">
        <f t="shared" si="13"/>
        <v>0.03</v>
      </c>
      <c r="J162">
        <f t="shared" si="14"/>
        <v>-1.3091904553299116E-2</v>
      </c>
      <c r="K162">
        <f t="shared" si="15"/>
        <v>-0.30000000000000071</v>
      </c>
      <c r="L162">
        <f t="shared" si="16"/>
        <v>-0.2830919045532998</v>
      </c>
      <c r="P162">
        <f t="shared" si="17"/>
        <v>71.962999999999994</v>
      </c>
    </row>
    <row r="163" spans="1:16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 s="12">
        <v>80.514750000000006</v>
      </c>
      <c r="I163">
        <f t="shared" si="13"/>
        <v>0.03</v>
      </c>
      <c r="J163">
        <f t="shared" si="14"/>
        <v>-1.3091904553299116E-2</v>
      </c>
      <c r="K163">
        <f t="shared" si="15"/>
        <v>-0.30000000000000071</v>
      </c>
      <c r="L163">
        <f t="shared" si="16"/>
        <v>-0.2830919045532998</v>
      </c>
      <c r="P163">
        <f t="shared" si="17"/>
        <v>80.514750000000006</v>
      </c>
    </row>
    <row r="164" spans="1:16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 s="12">
        <v>71.192999999999998</v>
      </c>
      <c r="I164">
        <f t="shared" si="13"/>
        <v>0.03</v>
      </c>
      <c r="J164">
        <f t="shared" si="14"/>
        <v>-1.3091904553299116E-2</v>
      </c>
      <c r="K164">
        <f t="shared" si="15"/>
        <v>-0.30000000000000071</v>
      </c>
      <c r="L164">
        <f t="shared" si="16"/>
        <v>-0.2830919045532998</v>
      </c>
      <c r="P164">
        <f t="shared" si="17"/>
        <v>71.192999999999998</v>
      </c>
    </row>
    <row r="165" spans="1:16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 s="12">
        <v>75.853250000000003</v>
      </c>
      <c r="I165">
        <f t="shared" si="13"/>
        <v>0.03</v>
      </c>
      <c r="J165">
        <f t="shared" si="14"/>
        <v>-1.3091904553299116E-2</v>
      </c>
      <c r="K165">
        <f t="shared" si="15"/>
        <v>-0.30000000000000071</v>
      </c>
      <c r="L165">
        <f t="shared" si="16"/>
        <v>-0.2830919045532998</v>
      </c>
      <c r="P165">
        <f t="shared" si="17"/>
        <v>75.853250000000003</v>
      </c>
    </row>
    <row r="166" spans="1:16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 s="12">
        <v>72.339749999999995</v>
      </c>
      <c r="I166">
        <f t="shared" si="13"/>
        <v>0.03</v>
      </c>
      <c r="J166">
        <f t="shared" si="14"/>
        <v>-1.3091904553299116E-2</v>
      </c>
      <c r="K166">
        <f t="shared" si="15"/>
        <v>-0.30000000000000071</v>
      </c>
      <c r="L166">
        <f t="shared" si="16"/>
        <v>-0.2830919045532998</v>
      </c>
      <c r="P166">
        <f t="shared" si="17"/>
        <v>72.339749999999995</v>
      </c>
    </row>
    <row r="167" spans="1:16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 s="12">
        <v>73.5715</v>
      </c>
      <c r="I167">
        <f t="shared" si="13"/>
        <v>0.03</v>
      </c>
      <c r="J167">
        <f t="shared" si="14"/>
        <v>-1.3091904553299116E-2</v>
      </c>
      <c r="K167">
        <f t="shared" si="15"/>
        <v>-0.30000000000000071</v>
      </c>
      <c r="L167">
        <f t="shared" si="16"/>
        <v>-0.2830919045532998</v>
      </c>
      <c r="P167">
        <f t="shared" ref="P167:P191" si="18">G167</f>
        <v>73.5715</v>
      </c>
    </row>
    <row r="168" spans="1:16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 s="12">
        <v>75.248500000000007</v>
      </c>
      <c r="I168">
        <f t="shared" si="13"/>
        <v>0.03</v>
      </c>
      <c r="J168">
        <f t="shared" si="14"/>
        <v>-1.3091904553299116E-2</v>
      </c>
      <c r="K168">
        <f t="shared" si="15"/>
        <v>-0.30000000000000071</v>
      </c>
      <c r="L168">
        <f t="shared" si="16"/>
        <v>-0.2830919045532998</v>
      </c>
      <c r="P168">
        <f t="shared" si="18"/>
        <v>75.248500000000007</v>
      </c>
    </row>
    <row r="169" spans="1:16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 s="12">
        <v>73.808999999999997</v>
      </c>
      <c r="I169">
        <f t="shared" si="13"/>
        <v>0.03</v>
      </c>
      <c r="J169">
        <f t="shared" si="14"/>
        <v>-1.3091904553299116E-2</v>
      </c>
      <c r="K169">
        <f t="shared" si="15"/>
        <v>-0.30000000000000071</v>
      </c>
      <c r="L169">
        <f t="shared" si="16"/>
        <v>-0.2830919045532998</v>
      </c>
      <c r="P169">
        <f t="shared" si="18"/>
        <v>73.808999999999997</v>
      </c>
    </row>
    <row r="170" spans="1:16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 s="12">
        <v>73.996250000000003</v>
      </c>
      <c r="I170">
        <f t="shared" si="13"/>
        <v>0.03</v>
      </c>
      <c r="J170">
        <f t="shared" si="14"/>
        <v>-1.3091904553299116E-2</v>
      </c>
      <c r="K170">
        <f t="shared" si="15"/>
        <v>-0.30000000000000071</v>
      </c>
      <c r="L170">
        <f t="shared" si="16"/>
        <v>-0.2830919045532998</v>
      </c>
      <c r="P170">
        <f t="shared" si="18"/>
        <v>73.996250000000003</v>
      </c>
    </row>
    <row r="171" spans="1:16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 s="12">
        <v>72.671499999999995</v>
      </c>
      <c r="I171">
        <f t="shared" si="13"/>
        <v>0.03</v>
      </c>
      <c r="J171">
        <f t="shared" si="14"/>
        <v>-1.3091904553299116E-2</v>
      </c>
      <c r="K171">
        <f t="shared" si="15"/>
        <v>-0.30000000000000071</v>
      </c>
      <c r="L171">
        <f t="shared" si="16"/>
        <v>-0.2830919045532998</v>
      </c>
      <c r="P171">
        <f t="shared" si="18"/>
        <v>72.671499999999995</v>
      </c>
    </row>
    <row r="172" spans="1:16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 s="12">
        <v>80.028750000000002</v>
      </c>
      <c r="I172">
        <f t="shared" si="13"/>
        <v>0.03</v>
      </c>
      <c r="J172">
        <f t="shared" si="14"/>
        <v>-1.3091904553299116E-2</v>
      </c>
      <c r="K172">
        <f t="shared" si="15"/>
        <v>-0.30000000000000071</v>
      </c>
      <c r="L172">
        <f t="shared" si="16"/>
        <v>-0.2830919045532998</v>
      </c>
      <c r="P172">
        <f t="shared" si="18"/>
        <v>80.028750000000002</v>
      </c>
    </row>
    <row r="173" spans="1:16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 s="12">
        <v>75.295249999999996</v>
      </c>
      <c r="I173">
        <f t="shared" si="13"/>
        <v>0.03</v>
      </c>
      <c r="J173">
        <f t="shared" si="14"/>
        <v>-1.3091904553299116E-2</v>
      </c>
      <c r="K173">
        <f t="shared" si="15"/>
        <v>-0.30000000000000071</v>
      </c>
      <c r="L173">
        <f t="shared" si="16"/>
        <v>-0.2830919045532998</v>
      </c>
      <c r="P173">
        <f t="shared" si="18"/>
        <v>75.295249999999996</v>
      </c>
    </row>
    <row r="174" spans="1:16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 s="12">
        <v>76.283749999999998</v>
      </c>
      <c r="I174">
        <f t="shared" si="13"/>
        <v>0.03</v>
      </c>
      <c r="J174">
        <f t="shared" si="14"/>
        <v>-1.3091904553299116E-2</v>
      </c>
      <c r="K174">
        <f t="shared" si="15"/>
        <v>-0.30000000000000071</v>
      </c>
      <c r="L174">
        <f t="shared" si="16"/>
        <v>-0.2830919045532998</v>
      </c>
      <c r="P174">
        <f t="shared" si="18"/>
        <v>76.283749999999998</v>
      </c>
    </row>
    <row r="175" spans="1:16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 s="12">
        <v>63.750500000000002</v>
      </c>
      <c r="I175">
        <f t="shared" si="13"/>
        <v>1.999999999999999E-2</v>
      </c>
      <c r="J175">
        <f t="shared" si="14"/>
        <v>-4.0906636758499815E-3</v>
      </c>
      <c r="K175">
        <f t="shared" si="15"/>
        <v>5.1000000000000014</v>
      </c>
      <c r="L175">
        <f t="shared" si="16"/>
        <v>5.115909336324151</v>
      </c>
      <c r="P175">
        <f t="shared" si="18"/>
        <v>63.750500000000002</v>
      </c>
    </row>
    <row r="176" spans="1:16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 s="12">
        <v>74.728499999999997</v>
      </c>
      <c r="I176">
        <f t="shared" si="13"/>
        <v>1.999999999999999E-2</v>
      </c>
      <c r="J176">
        <f t="shared" si="14"/>
        <v>-4.0906636758499815E-3</v>
      </c>
      <c r="K176">
        <f t="shared" si="15"/>
        <v>5.1000000000000014</v>
      </c>
      <c r="L176">
        <f t="shared" si="16"/>
        <v>5.115909336324151</v>
      </c>
      <c r="P176">
        <f t="shared" si="18"/>
        <v>74.728499999999997</v>
      </c>
    </row>
    <row r="177" spans="1:17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 s="12">
        <v>65.597499999999997</v>
      </c>
      <c r="I177">
        <f t="shared" si="13"/>
        <v>1.999999999999999E-2</v>
      </c>
      <c r="J177">
        <f t="shared" si="14"/>
        <v>-4.0906636758499815E-3</v>
      </c>
      <c r="K177">
        <f t="shared" si="15"/>
        <v>5.1000000000000014</v>
      </c>
      <c r="L177">
        <f t="shared" si="16"/>
        <v>5.115909336324151</v>
      </c>
      <c r="P177">
        <f t="shared" si="18"/>
        <v>65.597499999999997</v>
      </c>
    </row>
    <row r="178" spans="1:17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 s="12">
        <v>73.080749999999995</v>
      </c>
      <c r="I178">
        <f t="shared" si="13"/>
        <v>1.999999999999999E-2</v>
      </c>
      <c r="J178">
        <f t="shared" si="14"/>
        <v>-4.0906636758499815E-3</v>
      </c>
      <c r="K178">
        <f t="shared" si="15"/>
        <v>5.1000000000000014</v>
      </c>
      <c r="L178">
        <f t="shared" si="16"/>
        <v>5.115909336324151</v>
      </c>
      <c r="P178">
        <f t="shared" si="18"/>
        <v>73.080749999999995</v>
      </c>
    </row>
    <row r="179" spans="1:17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 s="12">
        <v>69.008499999999998</v>
      </c>
      <c r="I179">
        <f t="shared" si="13"/>
        <v>1.999999999999999E-2</v>
      </c>
      <c r="J179">
        <f t="shared" si="14"/>
        <v>-4.0906636758499815E-3</v>
      </c>
      <c r="K179">
        <f t="shared" si="15"/>
        <v>5.1000000000000014</v>
      </c>
      <c r="L179">
        <f t="shared" si="16"/>
        <v>5.115909336324151</v>
      </c>
      <c r="P179">
        <f t="shared" si="18"/>
        <v>69.008499999999998</v>
      </c>
    </row>
    <row r="180" spans="1:17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 s="12">
        <v>70.129750000000001</v>
      </c>
      <c r="I180">
        <f t="shared" si="13"/>
        <v>1.999999999999999E-2</v>
      </c>
      <c r="J180">
        <f t="shared" si="14"/>
        <v>-4.0906636758499815E-3</v>
      </c>
      <c r="K180">
        <f t="shared" si="15"/>
        <v>5.1000000000000014</v>
      </c>
      <c r="L180">
        <f t="shared" si="16"/>
        <v>5.115909336324151</v>
      </c>
      <c r="P180">
        <f t="shared" si="18"/>
        <v>70.129750000000001</v>
      </c>
    </row>
    <row r="181" spans="1:17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 s="12">
        <v>76.807749999999999</v>
      </c>
      <c r="I181">
        <f t="shared" si="13"/>
        <v>1.999999999999999E-2</v>
      </c>
      <c r="J181">
        <f t="shared" si="14"/>
        <v>-4.0906636758499815E-3</v>
      </c>
      <c r="K181">
        <f t="shared" si="15"/>
        <v>5.1000000000000014</v>
      </c>
      <c r="L181">
        <f t="shared" si="16"/>
        <v>5.115909336324151</v>
      </c>
      <c r="P181">
        <f t="shared" si="18"/>
        <v>76.807749999999999</v>
      </c>
    </row>
    <row r="182" spans="1:17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 s="12">
        <v>74.134249999999994</v>
      </c>
      <c r="I182">
        <f t="shared" si="13"/>
        <v>1.999999999999999E-2</v>
      </c>
      <c r="J182">
        <f t="shared" si="14"/>
        <v>-4.0906636758499815E-3</v>
      </c>
      <c r="K182">
        <f t="shared" si="15"/>
        <v>5.1000000000000014</v>
      </c>
      <c r="L182">
        <f t="shared" si="16"/>
        <v>5.115909336324151</v>
      </c>
      <c r="P182">
        <f t="shared" si="18"/>
        <v>74.134249999999994</v>
      </c>
    </row>
    <row r="183" spans="1:17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 s="12">
        <v>75.284000000000006</v>
      </c>
      <c r="I183">
        <f t="shared" si="13"/>
        <v>1.999999999999999E-2</v>
      </c>
      <c r="J183">
        <f t="shared" si="14"/>
        <v>-4.0906636758499815E-3</v>
      </c>
      <c r="K183">
        <f t="shared" si="15"/>
        <v>5.1000000000000014</v>
      </c>
      <c r="L183">
        <f t="shared" si="16"/>
        <v>5.115909336324151</v>
      </c>
      <c r="P183">
        <f t="shared" si="18"/>
        <v>75.284000000000006</v>
      </c>
    </row>
    <row r="184" spans="1:17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 s="12">
        <v>68.863749999999996</v>
      </c>
      <c r="I184">
        <f t="shared" si="13"/>
        <v>1.999999999999999E-2</v>
      </c>
      <c r="J184">
        <f t="shared" si="14"/>
        <v>-4.0906636758499815E-3</v>
      </c>
      <c r="K184">
        <f t="shared" si="15"/>
        <v>5.1000000000000014</v>
      </c>
      <c r="L184">
        <f t="shared" si="16"/>
        <v>5.115909336324151</v>
      </c>
      <c r="P184">
        <f t="shared" si="18"/>
        <v>68.863749999999996</v>
      </c>
    </row>
    <row r="185" spans="1:17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 s="12">
        <v>55.849999999999994</v>
      </c>
      <c r="I185">
        <f t="shared" si="13"/>
        <v>1.999999999999999E-2</v>
      </c>
      <c r="J185">
        <f t="shared" si="14"/>
        <v>-4.3491600124449192E-2</v>
      </c>
      <c r="K185">
        <f t="shared" si="15"/>
        <v>10.199999999999999</v>
      </c>
      <c r="L185">
        <f t="shared" si="16"/>
        <v>10.17650839987555</v>
      </c>
      <c r="P185">
        <f t="shared" si="18"/>
        <v>55.849999999999994</v>
      </c>
    </row>
    <row r="186" spans="1:17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 s="12">
        <v>56.75</v>
      </c>
      <c r="I186">
        <f t="shared" si="13"/>
        <v>1.999999999999999E-2</v>
      </c>
      <c r="J186">
        <f t="shared" si="14"/>
        <v>-4.3491600124449192E-2</v>
      </c>
      <c r="K186">
        <f t="shared" si="15"/>
        <v>10.199999999999999</v>
      </c>
      <c r="L186">
        <f t="shared" si="16"/>
        <v>10.17650839987555</v>
      </c>
      <c r="P186">
        <f t="shared" si="18"/>
        <v>56.75</v>
      </c>
    </row>
    <row r="187" spans="1:17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 s="12">
        <v>55.974999999999994</v>
      </c>
      <c r="I187">
        <f t="shared" si="13"/>
        <v>1.999999999999999E-2</v>
      </c>
      <c r="J187">
        <f t="shared" si="14"/>
        <v>-4.3491600124449192E-2</v>
      </c>
      <c r="K187">
        <f t="shared" si="15"/>
        <v>10.199999999999999</v>
      </c>
      <c r="L187">
        <f t="shared" si="16"/>
        <v>10.17650839987555</v>
      </c>
      <c r="P187">
        <f t="shared" si="18"/>
        <v>55.974999999999994</v>
      </c>
    </row>
    <row r="188" spans="1:17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 s="12">
        <v>65.349999999999994</v>
      </c>
      <c r="I188">
        <f t="shared" si="13"/>
        <v>1.999999999999999E-2</v>
      </c>
      <c r="J188">
        <f t="shared" si="14"/>
        <v>-4.3491600124449192E-2</v>
      </c>
      <c r="K188">
        <f t="shared" si="15"/>
        <v>10.199999999999999</v>
      </c>
      <c r="L188">
        <f t="shared" si="16"/>
        <v>10.17650839987555</v>
      </c>
      <c r="P188">
        <f t="shared" si="18"/>
        <v>65.349999999999994</v>
      </c>
    </row>
    <row r="189" spans="1:17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 s="12">
        <v>72.95</v>
      </c>
      <c r="I189">
        <f t="shared" si="13"/>
        <v>1.999999999999999E-2</v>
      </c>
      <c r="J189">
        <f t="shared" si="14"/>
        <v>-4.3491600124449192E-2</v>
      </c>
      <c r="K189">
        <f t="shared" si="15"/>
        <v>10.199999999999999</v>
      </c>
      <c r="L189">
        <f t="shared" si="16"/>
        <v>10.17650839987555</v>
      </c>
      <c r="P189">
        <f t="shared" si="18"/>
        <v>72.95</v>
      </c>
    </row>
    <row r="190" spans="1:17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 s="12">
        <v>58.924999999999997</v>
      </c>
      <c r="I190">
        <f t="shared" si="13"/>
        <v>1.999999999999999E-2</v>
      </c>
      <c r="J190">
        <f t="shared" si="14"/>
        <v>-4.3491600124449192E-2</v>
      </c>
      <c r="K190">
        <f t="shared" si="15"/>
        <v>10.199999999999999</v>
      </c>
      <c r="L190">
        <f t="shared" si="16"/>
        <v>10.17650839987555</v>
      </c>
      <c r="P190">
        <f t="shared" si="18"/>
        <v>58.924999999999997</v>
      </c>
    </row>
    <row r="191" spans="1:17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 s="12">
        <v>73.375</v>
      </c>
      <c r="I191">
        <f t="shared" si="13"/>
        <v>1.999999999999999E-2</v>
      </c>
      <c r="J191">
        <f t="shared" si="14"/>
        <v>-4.3491600124449192E-2</v>
      </c>
      <c r="K191">
        <f t="shared" si="15"/>
        <v>10.199999999999999</v>
      </c>
      <c r="L191">
        <f t="shared" si="16"/>
        <v>10.17650839987555</v>
      </c>
      <c r="P191">
        <f t="shared" si="18"/>
        <v>73.375</v>
      </c>
    </row>
    <row r="192" spans="1:17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 s="12">
        <v>61.801749999999998</v>
      </c>
      <c r="I192">
        <f t="shared" si="13"/>
        <v>1.999999999999999E-2</v>
      </c>
      <c r="J192">
        <f t="shared" si="14"/>
        <v>0.32368517400000041</v>
      </c>
      <c r="K192">
        <f t="shared" si="15"/>
        <v>0.5</v>
      </c>
      <c r="L192">
        <f t="shared" si="16"/>
        <v>0.84368517400000043</v>
      </c>
      <c r="Q192">
        <f t="shared" ref="Q192:Q223" si="19">G192</f>
        <v>61.801749999999998</v>
      </c>
    </row>
    <row r="193" spans="1:17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 s="12">
        <v>53.124499999999998</v>
      </c>
      <c r="I193">
        <f t="shared" si="13"/>
        <v>1.999999999999999E-2</v>
      </c>
      <c r="J193">
        <f t="shared" si="14"/>
        <v>0.32368517400000041</v>
      </c>
      <c r="K193">
        <f t="shared" si="15"/>
        <v>0.5</v>
      </c>
      <c r="L193">
        <f t="shared" si="16"/>
        <v>0.84368517400000043</v>
      </c>
      <c r="Q193">
        <f t="shared" si="19"/>
        <v>53.124499999999998</v>
      </c>
    </row>
    <row r="194" spans="1:17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 s="12">
        <v>64.987750000000005</v>
      </c>
      <c r="I194">
        <f t="shared" si="13"/>
        <v>1.999999999999999E-2</v>
      </c>
      <c r="J194">
        <f t="shared" si="14"/>
        <v>0.32368517400000041</v>
      </c>
      <c r="K194">
        <f t="shared" si="15"/>
        <v>0.5</v>
      </c>
      <c r="L194">
        <f t="shared" si="16"/>
        <v>0.84368517400000043</v>
      </c>
      <c r="Q194">
        <f t="shared" si="19"/>
        <v>64.987750000000005</v>
      </c>
    </row>
    <row r="195" spans="1:17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 s="12">
        <v>72.350499999999997</v>
      </c>
      <c r="I195">
        <f t="shared" ref="I195:I258" si="20">(E195-0.17)*$U$2</f>
        <v>1.999999999999999E-2</v>
      </c>
      <c r="J195">
        <f t="shared" ref="J195:J258" si="21">(8-D195)*$U$4</f>
        <v>0.32368517400000041</v>
      </c>
      <c r="K195">
        <f t="shared" ref="K195:K258" si="22">(C195-20)*$U$3</f>
        <v>0.5</v>
      </c>
      <c r="L195">
        <f t="shared" ref="L195:L258" si="23">SUM(I195:K195)</f>
        <v>0.84368517400000043</v>
      </c>
      <c r="Q195">
        <f t="shared" si="19"/>
        <v>72.350499999999997</v>
      </c>
    </row>
    <row r="196" spans="1:17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 s="12">
        <v>69.716250000000002</v>
      </c>
      <c r="I196">
        <f t="shared" si="20"/>
        <v>1.999999999999999E-2</v>
      </c>
      <c r="J196">
        <f t="shared" si="21"/>
        <v>0.32368517400000041</v>
      </c>
      <c r="K196">
        <f t="shared" si="22"/>
        <v>0.5</v>
      </c>
      <c r="L196">
        <f t="shared" si="23"/>
        <v>0.84368517400000043</v>
      </c>
      <c r="Q196">
        <f t="shared" si="19"/>
        <v>69.716250000000002</v>
      </c>
    </row>
    <row r="197" spans="1:17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 s="12">
        <v>74.718500000000006</v>
      </c>
      <c r="I197">
        <f t="shared" si="20"/>
        <v>1.999999999999999E-2</v>
      </c>
      <c r="J197">
        <f t="shared" si="21"/>
        <v>0.32368517400000041</v>
      </c>
      <c r="K197">
        <f t="shared" si="22"/>
        <v>0.5</v>
      </c>
      <c r="L197">
        <f t="shared" si="23"/>
        <v>0.84368517400000043</v>
      </c>
      <c r="Q197">
        <f t="shared" si="19"/>
        <v>74.718500000000006</v>
      </c>
    </row>
    <row r="198" spans="1:17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 s="12">
        <v>64.784750000000003</v>
      </c>
      <c r="I198">
        <f t="shared" si="20"/>
        <v>1.999999999999999E-2</v>
      </c>
      <c r="J198">
        <f t="shared" si="21"/>
        <v>0.32368517400000041</v>
      </c>
      <c r="K198">
        <f t="shared" si="22"/>
        <v>0.5</v>
      </c>
      <c r="L198">
        <f t="shared" si="23"/>
        <v>0.84368517400000043</v>
      </c>
      <c r="Q198">
        <f t="shared" si="19"/>
        <v>64.784750000000003</v>
      </c>
    </row>
    <row r="199" spans="1:17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 s="12">
        <v>56.6845</v>
      </c>
      <c r="I199">
        <f t="shared" si="20"/>
        <v>1.999999999999999E-2</v>
      </c>
      <c r="J199">
        <f t="shared" si="21"/>
        <v>0.32368517400000041</v>
      </c>
      <c r="K199">
        <f t="shared" si="22"/>
        <v>0.5</v>
      </c>
      <c r="L199">
        <f t="shared" si="23"/>
        <v>0.84368517400000043</v>
      </c>
      <c r="Q199">
        <f t="shared" si="19"/>
        <v>56.6845</v>
      </c>
    </row>
    <row r="200" spans="1:17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 s="12">
        <v>65.855249999999998</v>
      </c>
      <c r="I200">
        <f t="shared" si="20"/>
        <v>1.999999999999999E-2</v>
      </c>
      <c r="J200">
        <f t="shared" si="21"/>
        <v>0.32368517400000041</v>
      </c>
      <c r="K200">
        <f t="shared" si="22"/>
        <v>0.5</v>
      </c>
      <c r="L200">
        <f t="shared" si="23"/>
        <v>0.84368517400000043</v>
      </c>
      <c r="Q200">
        <f t="shared" si="19"/>
        <v>65.855249999999998</v>
      </c>
    </row>
    <row r="201" spans="1:17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 s="12">
        <v>57.735249999999994</v>
      </c>
      <c r="I201">
        <f t="shared" si="20"/>
        <v>1.999999999999999E-2</v>
      </c>
      <c r="J201">
        <f t="shared" si="21"/>
        <v>0.32368517400000041</v>
      </c>
      <c r="K201">
        <f t="shared" si="22"/>
        <v>0.5</v>
      </c>
      <c r="L201">
        <f t="shared" si="23"/>
        <v>0.84368517400000043</v>
      </c>
      <c r="Q201">
        <f t="shared" si="19"/>
        <v>57.735249999999994</v>
      </c>
    </row>
    <row r="202" spans="1:17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 s="12">
        <v>60.078999999999994</v>
      </c>
      <c r="I202">
        <f t="shared" si="20"/>
        <v>1.999999999999999E-2</v>
      </c>
      <c r="J202">
        <f t="shared" si="21"/>
        <v>0.32368517400000041</v>
      </c>
      <c r="K202">
        <f t="shared" si="22"/>
        <v>0.5</v>
      </c>
      <c r="L202">
        <f t="shared" si="23"/>
        <v>0.84368517400000043</v>
      </c>
      <c r="Q202">
        <f t="shared" si="19"/>
        <v>60.078999999999994</v>
      </c>
    </row>
    <row r="203" spans="1:17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 s="12">
        <v>57.751999999999995</v>
      </c>
      <c r="I203">
        <f t="shared" si="20"/>
        <v>9.9999999999999811E-3</v>
      </c>
      <c r="J203">
        <f t="shared" si="21"/>
        <v>0.32368517400000041</v>
      </c>
      <c r="K203">
        <f t="shared" si="22"/>
        <v>0.69999999999999929</v>
      </c>
      <c r="L203">
        <f t="shared" si="23"/>
        <v>1.0336851739999997</v>
      </c>
      <c r="Q203">
        <f t="shared" si="19"/>
        <v>57.751999999999995</v>
      </c>
    </row>
    <row r="204" spans="1:17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 s="12">
        <v>72.12</v>
      </c>
      <c r="I204">
        <f t="shared" si="20"/>
        <v>9.9999999999999811E-3</v>
      </c>
      <c r="J204">
        <f t="shared" si="21"/>
        <v>0.32368517400000041</v>
      </c>
      <c r="K204">
        <f t="shared" si="22"/>
        <v>0.69999999999999929</v>
      </c>
      <c r="L204">
        <f t="shared" si="23"/>
        <v>1.0336851739999997</v>
      </c>
      <c r="Q204">
        <f t="shared" si="19"/>
        <v>72.12</v>
      </c>
    </row>
    <row r="205" spans="1:17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 s="12">
        <v>77.09075</v>
      </c>
      <c r="I205">
        <f t="shared" si="20"/>
        <v>9.9999999999999811E-3</v>
      </c>
      <c r="J205">
        <f t="shared" si="21"/>
        <v>0.32368517400000041</v>
      </c>
      <c r="K205">
        <f t="shared" si="22"/>
        <v>0.69999999999999929</v>
      </c>
      <c r="L205">
        <f t="shared" si="23"/>
        <v>1.0336851739999997</v>
      </c>
      <c r="Q205">
        <f t="shared" si="19"/>
        <v>77.09075</v>
      </c>
    </row>
    <row r="206" spans="1:17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 s="12">
        <v>69.174250000000001</v>
      </c>
      <c r="I206">
        <f t="shared" si="20"/>
        <v>9.9999999999999811E-3</v>
      </c>
      <c r="J206">
        <f t="shared" si="21"/>
        <v>0.32368517400000041</v>
      </c>
      <c r="K206">
        <f t="shared" si="22"/>
        <v>0.69999999999999929</v>
      </c>
      <c r="L206">
        <f t="shared" si="23"/>
        <v>1.0336851739999997</v>
      </c>
      <c r="Q206">
        <f t="shared" si="19"/>
        <v>69.174250000000001</v>
      </c>
    </row>
    <row r="207" spans="1:17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 s="12">
        <v>61.452250000000006</v>
      </c>
      <c r="I207">
        <f t="shared" si="20"/>
        <v>6.83</v>
      </c>
      <c r="J207">
        <f t="shared" si="21"/>
        <v>3.1491190999999752E-2</v>
      </c>
      <c r="K207">
        <f t="shared" si="22"/>
        <v>0.60000000000000142</v>
      </c>
      <c r="L207">
        <f t="shared" si="23"/>
        <v>7.4614911910000012</v>
      </c>
      <c r="Q207">
        <f t="shared" si="19"/>
        <v>61.452250000000006</v>
      </c>
    </row>
    <row r="208" spans="1:17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 s="12">
        <v>68.610249999999994</v>
      </c>
      <c r="I208">
        <f t="shared" si="20"/>
        <v>6.83</v>
      </c>
      <c r="J208">
        <f t="shared" si="21"/>
        <v>3.1491190999999752E-2</v>
      </c>
      <c r="K208">
        <f t="shared" si="22"/>
        <v>0.60000000000000142</v>
      </c>
      <c r="L208">
        <f t="shared" si="23"/>
        <v>7.4614911910000012</v>
      </c>
      <c r="Q208">
        <f t="shared" si="19"/>
        <v>68.610249999999994</v>
      </c>
    </row>
    <row r="209" spans="1:17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 s="12">
        <v>55.808250000000001</v>
      </c>
      <c r="I209">
        <f t="shared" si="20"/>
        <v>6.83</v>
      </c>
      <c r="J209">
        <f t="shared" si="21"/>
        <v>3.1491190999999752E-2</v>
      </c>
      <c r="K209">
        <f t="shared" si="22"/>
        <v>0.60000000000000142</v>
      </c>
      <c r="L209">
        <f t="shared" si="23"/>
        <v>7.4614911910000012</v>
      </c>
      <c r="Q209">
        <f t="shared" si="19"/>
        <v>55.808250000000001</v>
      </c>
    </row>
    <row r="210" spans="1:17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 s="12">
        <v>72.615499999999997</v>
      </c>
      <c r="I210">
        <f t="shared" si="20"/>
        <v>6.83</v>
      </c>
      <c r="J210">
        <f t="shared" si="21"/>
        <v>3.1491190999999752E-2</v>
      </c>
      <c r="K210">
        <f t="shared" si="22"/>
        <v>0.60000000000000142</v>
      </c>
      <c r="L210">
        <f t="shared" si="23"/>
        <v>7.4614911910000012</v>
      </c>
      <c r="Q210">
        <f t="shared" si="19"/>
        <v>72.615499999999997</v>
      </c>
    </row>
    <row r="211" spans="1:17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 s="12">
        <v>73.906499999999994</v>
      </c>
      <c r="I211">
        <f t="shared" si="20"/>
        <v>6.83</v>
      </c>
      <c r="J211">
        <f t="shared" si="21"/>
        <v>3.1491190999999752E-2</v>
      </c>
      <c r="K211">
        <f t="shared" si="22"/>
        <v>0.60000000000000142</v>
      </c>
      <c r="L211">
        <f t="shared" si="23"/>
        <v>7.4614911910000012</v>
      </c>
      <c r="Q211">
        <f t="shared" si="19"/>
        <v>73.906499999999994</v>
      </c>
    </row>
    <row r="212" spans="1:17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 s="12">
        <v>74.3245</v>
      </c>
      <c r="I212">
        <f t="shared" si="20"/>
        <v>6.83</v>
      </c>
      <c r="J212">
        <f t="shared" si="21"/>
        <v>3.1491190999999752E-2</v>
      </c>
      <c r="K212">
        <f t="shared" si="22"/>
        <v>0.60000000000000142</v>
      </c>
      <c r="L212">
        <f t="shared" si="23"/>
        <v>7.4614911910000012</v>
      </c>
      <c r="Q212">
        <f t="shared" si="19"/>
        <v>74.3245</v>
      </c>
    </row>
    <row r="213" spans="1:17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 s="12">
        <v>68.482249999999993</v>
      </c>
      <c r="I213">
        <f t="shared" si="20"/>
        <v>6.83</v>
      </c>
      <c r="J213">
        <f t="shared" si="21"/>
        <v>3.1491190999999752E-2</v>
      </c>
      <c r="K213">
        <f t="shared" si="22"/>
        <v>0.60000000000000142</v>
      </c>
      <c r="L213">
        <f t="shared" si="23"/>
        <v>7.4614911910000012</v>
      </c>
      <c r="Q213">
        <f t="shared" si="19"/>
        <v>68.482249999999993</v>
      </c>
    </row>
    <row r="214" spans="1:17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 s="12">
        <v>63.798749999999998</v>
      </c>
      <c r="I214">
        <f t="shared" si="20"/>
        <v>6.83</v>
      </c>
      <c r="J214">
        <f t="shared" si="21"/>
        <v>3.1491190999999752E-2</v>
      </c>
      <c r="K214">
        <f t="shared" si="22"/>
        <v>0.60000000000000142</v>
      </c>
      <c r="L214">
        <f t="shared" si="23"/>
        <v>7.4614911910000012</v>
      </c>
      <c r="Q214">
        <f t="shared" si="19"/>
        <v>63.798749999999998</v>
      </c>
    </row>
    <row r="215" spans="1:17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 s="12">
        <v>64.712249999999997</v>
      </c>
      <c r="I215">
        <f t="shared" si="20"/>
        <v>6.83</v>
      </c>
      <c r="J215">
        <f t="shared" si="21"/>
        <v>3.1491190999999752E-2</v>
      </c>
      <c r="K215">
        <f t="shared" si="22"/>
        <v>0.60000000000000142</v>
      </c>
      <c r="L215">
        <f t="shared" si="23"/>
        <v>7.4614911910000012</v>
      </c>
      <c r="Q215">
        <f t="shared" si="19"/>
        <v>64.712249999999997</v>
      </c>
    </row>
    <row r="216" spans="1:17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 s="12">
        <v>56.342749999999995</v>
      </c>
      <c r="I216">
        <f t="shared" si="20"/>
        <v>6.83</v>
      </c>
      <c r="J216">
        <f t="shared" si="21"/>
        <v>3.1491190999999752E-2</v>
      </c>
      <c r="K216">
        <f t="shared" si="22"/>
        <v>0.60000000000000142</v>
      </c>
      <c r="L216">
        <f t="shared" si="23"/>
        <v>7.4614911910000012</v>
      </c>
      <c r="Q216">
        <f t="shared" si="19"/>
        <v>56.342749999999995</v>
      </c>
    </row>
    <row r="217" spans="1:17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 s="12">
        <v>71.579750000000004</v>
      </c>
      <c r="I217">
        <f t="shared" si="20"/>
        <v>7.83</v>
      </c>
      <c r="J217">
        <f t="shared" si="21"/>
        <v>3.1491190999999752E-2</v>
      </c>
      <c r="K217">
        <f t="shared" si="22"/>
        <v>0.5</v>
      </c>
      <c r="L217">
        <f t="shared" si="23"/>
        <v>8.3614911909999989</v>
      </c>
      <c r="Q217">
        <f t="shared" si="19"/>
        <v>71.579750000000004</v>
      </c>
    </row>
    <row r="218" spans="1:17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 s="12">
        <v>73.746499999999997</v>
      </c>
      <c r="I218">
        <f t="shared" si="20"/>
        <v>7.83</v>
      </c>
      <c r="J218">
        <f t="shared" si="21"/>
        <v>3.1491190999999752E-2</v>
      </c>
      <c r="K218">
        <f t="shared" si="22"/>
        <v>0.5</v>
      </c>
      <c r="L218">
        <f t="shared" si="23"/>
        <v>8.3614911909999989</v>
      </c>
      <c r="Q218">
        <f t="shared" si="19"/>
        <v>73.746499999999997</v>
      </c>
    </row>
    <row r="219" spans="1:17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 s="12">
        <v>66.460499999999996</v>
      </c>
      <c r="I219">
        <f t="shared" si="20"/>
        <v>7.83</v>
      </c>
      <c r="J219">
        <f t="shared" si="21"/>
        <v>3.1491190999999752E-2</v>
      </c>
      <c r="K219">
        <f t="shared" si="22"/>
        <v>0.5</v>
      </c>
      <c r="L219">
        <f t="shared" si="23"/>
        <v>8.3614911909999989</v>
      </c>
      <c r="Q219">
        <f t="shared" si="19"/>
        <v>66.460499999999996</v>
      </c>
    </row>
    <row r="220" spans="1:17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 s="12">
        <v>67.751750000000001</v>
      </c>
      <c r="I220">
        <f t="shared" si="20"/>
        <v>7.83</v>
      </c>
      <c r="J220">
        <f t="shared" si="21"/>
        <v>3.1491190999999752E-2</v>
      </c>
      <c r="K220">
        <f t="shared" si="22"/>
        <v>0.5</v>
      </c>
      <c r="L220">
        <f t="shared" si="23"/>
        <v>8.3614911909999989</v>
      </c>
      <c r="Q220">
        <f t="shared" si="19"/>
        <v>67.751750000000001</v>
      </c>
    </row>
    <row r="221" spans="1:17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 s="12">
        <v>71.864000000000004</v>
      </c>
      <c r="I221">
        <f t="shared" si="20"/>
        <v>7.83</v>
      </c>
      <c r="J221">
        <f t="shared" si="21"/>
        <v>3.1491190999999752E-2</v>
      </c>
      <c r="K221">
        <f t="shared" si="22"/>
        <v>0.5</v>
      </c>
      <c r="L221">
        <f t="shared" si="23"/>
        <v>8.3614911909999989</v>
      </c>
      <c r="Q221">
        <f t="shared" si="19"/>
        <v>71.864000000000004</v>
      </c>
    </row>
    <row r="222" spans="1:17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 s="12">
        <v>77.188500000000005</v>
      </c>
      <c r="I222">
        <f t="shared" si="20"/>
        <v>7.83</v>
      </c>
      <c r="J222">
        <f t="shared" si="21"/>
        <v>3.1491190999999752E-2</v>
      </c>
      <c r="K222">
        <f t="shared" si="22"/>
        <v>0.5</v>
      </c>
      <c r="L222">
        <f t="shared" si="23"/>
        <v>8.3614911909999989</v>
      </c>
      <c r="Q222">
        <f t="shared" si="19"/>
        <v>77.188500000000005</v>
      </c>
    </row>
    <row r="223" spans="1:17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 s="12">
        <v>80.233000000000004</v>
      </c>
      <c r="I223">
        <f t="shared" si="20"/>
        <v>7.83</v>
      </c>
      <c r="J223">
        <f t="shared" si="21"/>
        <v>3.1491190999999752E-2</v>
      </c>
      <c r="K223">
        <f t="shared" si="22"/>
        <v>0.5</v>
      </c>
      <c r="L223">
        <f t="shared" si="23"/>
        <v>8.3614911909999989</v>
      </c>
      <c r="Q223">
        <f t="shared" si="19"/>
        <v>80.233000000000004</v>
      </c>
    </row>
    <row r="224" spans="1:17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 s="12">
        <v>66.320750000000004</v>
      </c>
      <c r="I224">
        <f t="shared" si="20"/>
        <v>7.83</v>
      </c>
      <c r="J224">
        <f t="shared" si="21"/>
        <v>3.1491190999999752E-2</v>
      </c>
      <c r="K224">
        <f t="shared" si="22"/>
        <v>0.5</v>
      </c>
      <c r="L224">
        <f t="shared" si="23"/>
        <v>8.3614911909999989</v>
      </c>
      <c r="Q224">
        <f t="shared" ref="Q224:Q255" si="24">G224</f>
        <v>66.320750000000004</v>
      </c>
    </row>
    <row r="225" spans="1:17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 s="12">
        <v>66.893500000000003</v>
      </c>
      <c r="I225">
        <f t="shared" si="20"/>
        <v>0</v>
      </c>
      <c r="J225">
        <f t="shared" si="21"/>
        <v>0.24750613500000007</v>
      </c>
      <c r="K225">
        <f t="shared" si="22"/>
        <v>5.5</v>
      </c>
      <c r="L225">
        <f t="shared" si="23"/>
        <v>5.7475061350000001</v>
      </c>
      <c r="Q225">
        <f t="shared" si="24"/>
        <v>66.893500000000003</v>
      </c>
    </row>
    <row r="226" spans="1:17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 s="12">
        <v>81.660499999999999</v>
      </c>
      <c r="I226">
        <f t="shared" si="20"/>
        <v>0</v>
      </c>
      <c r="J226">
        <f t="shared" si="21"/>
        <v>0.24750613500000007</v>
      </c>
      <c r="K226">
        <f t="shared" si="22"/>
        <v>5.5</v>
      </c>
      <c r="L226">
        <f t="shared" si="23"/>
        <v>5.7475061350000001</v>
      </c>
      <c r="Q226">
        <f t="shared" si="24"/>
        <v>81.660499999999999</v>
      </c>
    </row>
    <row r="227" spans="1:17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 s="12">
        <v>72.416499999999999</v>
      </c>
      <c r="I227">
        <f t="shared" si="20"/>
        <v>0</v>
      </c>
      <c r="J227">
        <f t="shared" si="21"/>
        <v>0.24750613500000007</v>
      </c>
      <c r="K227">
        <f t="shared" si="22"/>
        <v>5.5</v>
      </c>
      <c r="L227">
        <f t="shared" si="23"/>
        <v>5.7475061350000001</v>
      </c>
      <c r="Q227">
        <f t="shared" si="24"/>
        <v>72.416499999999999</v>
      </c>
    </row>
    <row r="228" spans="1:17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 s="12">
        <v>65.866249999999994</v>
      </c>
      <c r="I228">
        <f t="shared" si="20"/>
        <v>0</v>
      </c>
      <c r="J228">
        <f t="shared" si="21"/>
        <v>0.24750613500000007</v>
      </c>
      <c r="K228">
        <f t="shared" si="22"/>
        <v>5.5</v>
      </c>
      <c r="L228">
        <f t="shared" si="23"/>
        <v>5.7475061350000001</v>
      </c>
      <c r="Q228">
        <f t="shared" si="24"/>
        <v>65.866249999999994</v>
      </c>
    </row>
    <row r="229" spans="1:17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 s="12">
        <v>75.326750000000004</v>
      </c>
      <c r="I229">
        <f t="shared" si="20"/>
        <v>0</v>
      </c>
      <c r="J229">
        <f t="shared" si="21"/>
        <v>0.24750613500000007</v>
      </c>
      <c r="K229">
        <f t="shared" si="22"/>
        <v>5.5</v>
      </c>
      <c r="L229">
        <f t="shared" si="23"/>
        <v>5.7475061350000001</v>
      </c>
      <c r="Q229">
        <f t="shared" si="24"/>
        <v>75.326750000000004</v>
      </c>
    </row>
    <row r="230" spans="1:17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 s="12">
        <v>71.574749999999995</v>
      </c>
      <c r="I230">
        <f t="shared" si="20"/>
        <v>0</v>
      </c>
      <c r="J230">
        <f t="shared" si="21"/>
        <v>0.24750613500000007</v>
      </c>
      <c r="K230">
        <f t="shared" si="22"/>
        <v>5.5</v>
      </c>
      <c r="L230">
        <f t="shared" si="23"/>
        <v>5.7475061350000001</v>
      </c>
      <c r="Q230">
        <f t="shared" si="24"/>
        <v>71.574749999999995</v>
      </c>
    </row>
    <row r="231" spans="1:17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 s="12">
        <v>82.138000000000005</v>
      </c>
      <c r="I231">
        <f t="shared" si="20"/>
        <v>0</v>
      </c>
      <c r="J231">
        <f t="shared" si="21"/>
        <v>0.24750613500000007</v>
      </c>
      <c r="K231">
        <f t="shared" si="22"/>
        <v>5.5</v>
      </c>
      <c r="L231">
        <f t="shared" si="23"/>
        <v>5.7475061350000001</v>
      </c>
      <c r="Q231">
        <f t="shared" si="24"/>
        <v>82.138000000000005</v>
      </c>
    </row>
    <row r="232" spans="1:17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 s="12">
        <v>72.459999999999994</v>
      </c>
      <c r="I232">
        <f t="shared" si="20"/>
        <v>0</v>
      </c>
      <c r="J232">
        <f t="shared" si="21"/>
        <v>0.24750613500000007</v>
      </c>
      <c r="K232">
        <f t="shared" si="22"/>
        <v>5.5</v>
      </c>
      <c r="L232">
        <f t="shared" si="23"/>
        <v>5.7475061350000001</v>
      </c>
      <c r="Q232">
        <f t="shared" si="24"/>
        <v>72.459999999999994</v>
      </c>
    </row>
    <row r="233" spans="1:17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 s="12">
        <v>78.288749999999993</v>
      </c>
      <c r="I233">
        <f t="shared" si="20"/>
        <v>0</v>
      </c>
      <c r="J233">
        <f t="shared" si="21"/>
        <v>0.24750613500000007</v>
      </c>
      <c r="K233">
        <f t="shared" si="22"/>
        <v>5.5</v>
      </c>
      <c r="L233">
        <f t="shared" si="23"/>
        <v>5.7475061350000001</v>
      </c>
      <c r="Q233">
        <f t="shared" si="24"/>
        <v>78.288749999999993</v>
      </c>
    </row>
    <row r="234" spans="1:17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 s="12">
        <v>79.266000000000005</v>
      </c>
      <c r="I234">
        <f t="shared" si="20"/>
        <v>0</v>
      </c>
      <c r="J234">
        <f t="shared" si="21"/>
        <v>0.24750613500000007</v>
      </c>
      <c r="K234">
        <f t="shared" si="22"/>
        <v>5.5</v>
      </c>
      <c r="L234">
        <f t="shared" si="23"/>
        <v>5.7475061350000001</v>
      </c>
      <c r="Q234">
        <f t="shared" si="24"/>
        <v>79.266000000000005</v>
      </c>
    </row>
    <row r="235" spans="1:17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 s="12">
        <v>74.896000000000001</v>
      </c>
      <c r="I235">
        <f t="shared" si="20"/>
        <v>0</v>
      </c>
      <c r="J235">
        <f t="shared" si="21"/>
        <v>0.24750613500000007</v>
      </c>
      <c r="K235">
        <f t="shared" si="22"/>
        <v>5.5</v>
      </c>
      <c r="L235">
        <f t="shared" si="23"/>
        <v>5.7475061350000001</v>
      </c>
      <c r="Q235">
        <f t="shared" si="24"/>
        <v>74.896000000000001</v>
      </c>
    </row>
    <row r="236" spans="1:17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 s="12">
        <v>74.737250000000003</v>
      </c>
      <c r="I236">
        <f t="shared" si="20"/>
        <v>0</v>
      </c>
      <c r="J236">
        <f t="shared" si="21"/>
        <v>0.24750613500000007</v>
      </c>
      <c r="K236">
        <f t="shared" si="22"/>
        <v>5.5</v>
      </c>
      <c r="L236">
        <f t="shared" si="23"/>
        <v>5.7475061350000001</v>
      </c>
      <c r="Q236">
        <f t="shared" si="24"/>
        <v>74.737250000000003</v>
      </c>
    </row>
    <row r="237" spans="1:17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 s="12">
        <v>69.0565</v>
      </c>
      <c r="I237">
        <f t="shared" si="20"/>
        <v>9.9999999999999811E-3</v>
      </c>
      <c r="J237">
        <f t="shared" si="21"/>
        <v>0.2408375610000002</v>
      </c>
      <c r="K237">
        <f t="shared" si="22"/>
        <v>5.3999999999999986</v>
      </c>
      <c r="L237">
        <f t="shared" si="23"/>
        <v>5.6508375609999986</v>
      </c>
      <c r="Q237">
        <f t="shared" si="24"/>
        <v>69.0565</v>
      </c>
    </row>
    <row r="238" spans="1:17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 s="12">
        <v>70.078749999999999</v>
      </c>
      <c r="I238">
        <f t="shared" si="20"/>
        <v>9.9999999999999811E-3</v>
      </c>
      <c r="J238">
        <f t="shared" si="21"/>
        <v>0.2408375610000002</v>
      </c>
      <c r="K238">
        <f t="shared" si="22"/>
        <v>5.3999999999999986</v>
      </c>
      <c r="L238">
        <f t="shared" si="23"/>
        <v>5.6508375609999986</v>
      </c>
      <c r="Q238">
        <f t="shared" si="24"/>
        <v>70.078749999999999</v>
      </c>
    </row>
    <row r="239" spans="1:17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 s="12">
        <v>78.636750000000006</v>
      </c>
      <c r="I239">
        <f t="shared" si="20"/>
        <v>9.9999999999999811E-3</v>
      </c>
      <c r="J239">
        <f t="shared" si="21"/>
        <v>0.2408375610000002</v>
      </c>
      <c r="K239">
        <f t="shared" si="22"/>
        <v>5.3999999999999986</v>
      </c>
      <c r="L239">
        <f t="shared" si="23"/>
        <v>5.6508375609999986</v>
      </c>
      <c r="Q239">
        <f t="shared" si="24"/>
        <v>78.636750000000006</v>
      </c>
    </row>
    <row r="240" spans="1:17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 s="12">
        <v>66.914000000000001</v>
      </c>
      <c r="I240">
        <f t="shared" si="20"/>
        <v>9.9999999999999811E-3</v>
      </c>
      <c r="J240">
        <f t="shared" si="21"/>
        <v>0.2408375610000002</v>
      </c>
      <c r="K240">
        <f t="shared" si="22"/>
        <v>5.3999999999999986</v>
      </c>
      <c r="L240">
        <f t="shared" si="23"/>
        <v>5.6508375609999986</v>
      </c>
      <c r="Q240">
        <f t="shared" si="24"/>
        <v>66.914000000000001</v>
      </c>
    </row>
    <row r="241" spans="1:17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 s="12">
        <v>70.268749999999997</v>
      </c>
      <c r="I241">
        <f t="shared" si="20"/>
        <v>9.9999999999999811E-3</v>
      </c>
      <c r="J241">
        <f t="shared" si="21"/>
        <v>0.2408375610000002</v>
      </c>
      <c r="K241">
        <f t="shared" si="22"/>
        <v>5.3999999999999986</v>
      </c>
      <c r="L241">
        <f t="shared" si="23"/>
        <v>5.6508375609999986</v>
      </c>
      <c r="Q241">
        <f t="shared" si="24"/>
        <v>70.268749999999997</v>
      </c>
    </row>
    <row r="242" spans="1:17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 s="12">
        <v>73.590249999999997</v>
      </c>
      <c r="I242">
        <f t="shared" si="20"/>
        <v>9.9999999999999811E-3</v>
      </c>
      <c r="J242">
        <f t="shared" si="21"/>
        <v>0.2408375610000002</v>
      </c>
      <c r="K242">
        <f t="shared" si="22"/>
        <v>5.3999999999999986</v>
      </c>
      <c r="L242">
        <f t="shared" si="23"/>
        <v>5.6508375609999986</v>
      </c>
      <c r="Q242">
        <f t="shared" si="24"/>
        <v>73.590249999999997</v>
      </c>
    </row>
    <row r="243" spans="1:17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 s="12">
        <v>71.209000000000003</v>
      </c>
      <c r="I243">
        <f t="shared" si="20"/>
        <v>9.9999999999999811E-3</v>
      </c>
      <c r="J243">
        <f t="shared" si="21"/>
        <v>0.2408375610000002</v>
      </c>
      <c r="K243">
        <f t="shared" si="22"/>
        <v>5.3999999999999986</v>
      </c>
      <c r="L243">
        <f t="shared" si="23"/>
        <v>5.6508375609999986</v>
      </c>
      <c r="Q243">
        <f t="shared" si="24"/>
        <v>71.209000000000003</v>
      </c>
    </row>
    <row r="244" spans="1:17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 s="12">
        <v>69.923249999999996</v>
      </c>
      <c r="I244">
        <f t="shared" si="20"/>
        <v>9.9999999999999811E-3</v>
      </c>
      <c r="J244">
        <f t="shared" si="21"/>
        <v>0.2408375610000002</v>
      </c>
      <c r="K244">
        <f t="shared" si="22"/>
        <v>5.3999999999999986</v>
      </c>
      <c r="L244">
        <f t="shared" si="23"/>
        <v>5.6508375609999986</v>
      </c>
      <c r="Q244">
        <f t="shared" si="24"/>
        <v>69.923249999999996</v>
      </c>
    </row>
    <row r="245" spans="1:17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 s="12">
        <v>72.986500000000007</v>
      </c>
      <c r="I245">
        <f t="shared" si="20"/>
        <v>9.9999999999999811E-3</v>
      </c>
      <c r="J245">
        <f t="shared" si="21"/>
        <v>0.2408375610000002</v>
      </c>
      <c r="K245">
        <f t="shared" si="22"/>
        <v>5.3999999999999986</v>
      </c>
      <c r="L245">
        <f t="shared" si="23"/>
        <v>5.6508375609999986</v>
      </c>
      <c r="Q245">
        <f t="shared" si="24"/>
        <v>72.986500000000007</v>
      </c>
    </row>
    <row r="246" spans="1:17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 s="12">
        <v>73.941500000000005</v>
      </c>
      <c r="I246">
        <f t="shared" si="20"/>
        <v>9.9999999999999811E-3</v>
      </c>
      <c r="J246">
        <f t="shared" si="21"/>
        <v>0.2408375610000002</v>
      </c>
      <c r="K246">
        <f t="shared" si="22"/>
        <v>5.3999999999999986</v>
      </c>
      <c r="L246">
        <f t="shared" si="23"/>
        <v>5.6508375609999986</v>
      </c>
      <c r="Q246">
        <f t="shared" si="24"/>
        <v>73.941500000000005</v>
      </c>
    </row>
    <row r="247" spans="1:17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 s="12">
        <v>71.51925</v>
      </c>
      <c r="I247">
        <f t="shared" si="20"/>
        <v>9.9999999999999811E-3</v>
      </c>
      <c r="J247">
        <f t="shared" si="21"/>
        <v>0.2408375610000002</v>
      </c>
      <c r="K247">
        <f t="shared" si="22"/>
        <v>5.3999999999999986</v>
      </c>
      <c r="L247">
        <f t="shared" si="23"/>
        <v>5.6508375609999986</v>
      </c>
      <c r="Q247">
        <f t="shared" si="24"/>
        <v>71.51925</v>
      </c>
    </row>
    <row r="248" spans="1:17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 s="12">
        <v>63.005499999999998</v>
      </c>
      <c r="I248">
        <f t="shared" si="20"/>
        <v>9.9999999999999811E-3</v>
      </c>
      <c r="J248">
        <f t="shared" si="21"/>
        <v>0.2408375610000002</v>
      </c>
      <c r="K248">
        <f t="shared" si="22"/>
        <v>5.3999999999999986</v>
      </c>
      <c r="L248">
        <f t="shared" si="23"/>
        <v>5.6508375609999986</v>
      </c>
      <c r="Q248">
        <f t="shared" si="24"/>
        <v>63.005499999999998</v>
      </c>
    </row>
    <row r="249" spans="1:17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 s="12">
        <v>76.78725</v>
      </c>
      <c r="I249">
        <f t="shared" si="20"/>
        <v>9.9999999999999811E-3</v>
      </c>
      <c r="J249">
        <f t="shared" si="21"/>
        <v>0.2408375610000002</v>
      </c>
      <c r="K249">
        <f t="shared" si="22"/>
        <v>5.3999999999999986</v>
      </c>
      <c r="L249">
        <f t="shared" si="23"/>
        <v>5.6508375609999986</v>
      </c>
      <c r="Q249">
        <f t="shared" si="24"/>
        <v>76.78725</v>
      </c>
    </row>
    <row r="250" spans="1:17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 s="12">
        <v>72.307249999999996</v>
      </c>
      <c r="I250">
        <f t="shared" si="20"/>
        <v>9.9999999999999811E-3</v>
      </c>
      <c r="J250">
        <f t="shared" si="21"/>
        <v>0.2408375610000002</v>
      </c>
      <c r="K250">
        <f t="shared" si="22"/>
        <v>5.3999999999999986</v>
      </c>
      <c r="L250">
        <f t="shared" si="23"/>
        <v>5.6508375609999986</v>
      </c>
      <c r="Q250">
        <f t="shared" si="24"/>
        <v>72.307249999999996</v>
      </c>
    </row>
    <row r="251" spans="1:17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 s="12">
        <v>76.546250000000001</v>
      </c>
      <c r="I251">
        <f t="shared" si="20"/>
        <v>9.9999999999999811E-3</v>
      </c>
      <c r="J251">
        <f t="shared" si="21"/>
        <v>0.2408375610000002</v>
      </c>
      <c r="K251">
        <f t="shared" si="22"/>
        <v>5.3999999999999986</v>
      </c>
      <c r="L251">
        <f t="shared" si="23"/>
        <v>5.6508375609999986</v>
      </c>
      <c r="Q251">
        <f t="shared" si="24"/>
        <v>76.546250000000001</v>
      </c>
    </row>
    <row r="252" spans="1:17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 s="12">
        <v>67.457999999999998</v>
      </c>
      <c r="I252">
        <f t="shared" si="20"/>
        <v>6.83</v>
      </c>
      <c r="J252">
        <f t="shared" si="21"/>
        <v>2.6772076000000311E-2</v>
      </c>
      <c r="K252">
        <f t="shared" si="22"/>
        <v>5.3999999999999986</v>
      </c>
      <c r="L252">
        <f t="shared" si="23"/>
        <v>12.256772075999999</v>
      </c>
      <c r="Q252">
        <f t="shared" si="24"/>
        <v>67.457999999999998</v>
      </c>
    </row>
    <row r="253" spans="1:17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 s="12">
        <v>70.489999999999995</v>
      </c>
      <c r="I253">
        <f t="shared" si="20"/>
        <v>6.83</v>
      </c>
      <c r="J253">
        <f t="shared" si="21"/>
        <v>2.6772076000000311E-2</v>
      </c>
      <c r="K253">
        <f t="shared" si="22"/>
        <v>5.3999999999999986</v>
      </c>
      <c r="L253">
        <f t="shared" si="23"/>
        <v>12.256772075999999</v>
      </c>
      <c r="Q253">
        <f t="shared" si="24"/>
        <v>70.489999999999995</v>
      </c>
    </row>
    <row r="254" spans="1:17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 s="12">
        <v>60.255250000000004</v>
      </c>
      <c r="I254">
        <f t="shared" si="20"/>
        <v>6.83</v>
      </c>
      <c r="J254">
        <f t="shared" si="21"/>
        <v>2.6772076000000311E-2</v>
      </c>
      <c r="K254">
        <f t="shared" si="22"/>
        <v>5.3999999999999986</v>
      </c>
      <c r="L254">
        <f t="shared" si="23"/>
        <v>12.256772075999999</v>
      </c>
      <c r="Q254">
        <f t="shared" si="24"/>
        <v>60.255250000000004</v>
      </c>
    </row>
    <row r="255" spans="1:17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 s="12">
        <v>71.189499999999995</v>
      </c>
      <c r="I255">
        <f t="shared" si="20"/>
        <v>6.83</v>
      </c>
      <c r="J255">
        <f t="shared" si="21"/>
        <v>2.6772076000000311E-2</v>
      </c>
      <c r="K255">
        <f t="shared" si="22"/>
        <v>5.3999999999999986</v>
      </c>
      <c r="L255">
        <f t="shared" si="23"/>
        <v>12.256772075999999</v>
      </c>
      <c r="Q255">
        <f t="shared" si="24"/>
        <v>71.189499999999995</v>
      </c>
    </row>
    <row r="256" spans="1:17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 s="12">
        <v>74.820750000000004</v>
      </c>
      <c r="I256">
        <f t="shared" si="20"/>
        <v>6.83</v>
      </c>
      <c r="J256">
        <f t="shared" si="21"/>
        <v>2.6772076000000311E-2</v>
      </c>
      <c r="K256">
        <f t="shared" si="22"/>
        <v>5.3999999999999986</v>
      </c>
      <c r="L256">
        <f t="shared" si="23"/>
        <v>12.256772075999999</v>
      </c>
      <c r="Q256">
        <f t="shared" ref="Q256:Q287" si="25">G256</f>
        <v>74.820750000000004</v>
      </c>
    </row>
    <row r="257" spans="1:17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 s="12">
        <v>70.762</v>
      </c>
      <c r="I257">
        <f t="shared" si="20"/>
        <v>6.83</v>
      </c>
      <c r="J257">
        <f t="shared" si="21"/>
        <v>2.6772076000000311E-2</v>
      </c>
      <c r="K257">
        <f t="shared" si="22"/>
        <v>5.3999999999999986</v>
      </c>
      <c r="L257">
        <f t="shared" si="23"/>
        <v>12.256772075999999</v>
      </c>
      <c r="Q257">
        <f t="shared" si="25"/>
        <v>70.762</v>
      </c>
    </row>
    <row r="258" spans="1:17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 s="12">
        <v>73.534999999999997</v>
      </c>
      <c r="I258">
        <f t="shared" si="20"/>
        <v>6.83</v>
      </c>
      <c r="J258">
        <f t="shared" si="21"/>
        <v>2.6772076000000311E-2</v>
      </c>
      <c r="K258">
        <f t="shared" si="22"/>
        <v>5.3999999999999986</v>
      </c>
      <c r="L258">
        <f t="shared" si="23"/>
        <v>12.256772075999999</v>
      </c>
      <c r="Q258">
        <f t="shared" si="25"/>
        <v>73.534999999999997</v>
      </c>
    </row>
    <row r="259" spans="1:17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 s="12">
        <v>68.245999999999995</v>
      </c>
      <c r="I259">
        <f t="shared" ref="I259:I322" si="26">(E259-0.17)*$U$2</f>
        <v>6.83</v>
      </c>
      <c r="J259">
        <f t="shared" ref="J259:J322" si="27">(8-D259)*$U$4</f>
        <v>2.6772076000000311E-2</v>
      </c>
      <c r="K259">
        <f t="shared" ref="K259:K322" si="28">(C259-20)*$U$3</f>
        <v>5.3999999999999986</v>
      </c>
      <c r="L259">
        <f t="shared" ref="L259:L322" si="29">SUM(I259:K259)</f>
        <v>12.256772075999999</v>
      </c>
      <c r="Q259">
        <f t="shared" si="25"/>
        <v>68.245999999999995</v>
      </c>
    </row>
    <row r="260" spans="1:17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 s="12">
        <v>77.494749999999996</v>
      </c>
      <c r="I260">
        <f t="shared" si="26"/>
        <v>6.83</v>
      </c>
      <c r="J260">
        <f t="shared" si="27"/>
        <v>2.6772076000000311E-2</v>
      </c>
      <c r="K260">
        <f t="shared" si="28"/>
        <v>5.3999999999999986</v>
      </c>
      <c r="L260">
        <f t="shared" si="29"/>
        <v>12.256772075999999</v>
      </c>
      <c r="Q260">
        <f t="shared" si="25"/>
        <v>77.494749999999996</v>
      </c>
    </row>
    <row r="261" spans="1:17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 s="12">
        <v>77.151499999999999</v>
      </c>
      <c r="I261">
        <f t="shared" si="26"/>
        <v>6.83</v>
      </c>
      <c r="J261">
        <f t="shared" si="27"/>
        <v>2.6772076000000311E-2</v>
      </c>
      <c r="K261">
        <f t="shared" si="28"/>
        <v>5.3999999999999986</v>
      </c>
      <c r="L261">
        <f t="shared" si="29"/>
        <v>12.256772075999999</v>
      </c>
      <c r="Q261">
        <f t="shared" si="25"/>
        <v>77.151499999999999</v>
      </c>
    </row>
    <row r="262" spans="1:17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 s="12">
        <v>71.0685</v>
      </c>
      <c r="I262">
        <f t="shared" si="26"/>
        <v>6.83</v>
      </c>
      <c r="J262">
        <f t="shared" si="27"/>
        <v>2.6772076000000311E-2</v>
      </c>
      <c r="K262">
        <f t="shared" si="28"/>
        <v>5.3999999999999986</v>
      </c>
      <c r="L262">
        <f t="shared" si="29"/>
        <v>12.256772075999999</v>
      </c>
      <c r="Q262">
        <f t="shared" si="25"/>
        <v>71.0685</v>
      </c>
    </row>
    <row r="263" spans="1:17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 s="12">
        <v>77.197500000000005</v>
      </c>
      <c r="I263">
        <f t="shared" si="26"/>
        <v>6.83</v>
      </c>
      <c r="J263">
        <f t="shared" si="27"/>
        <v>2.4834440000000235E-2</v>
      </c>
      <c r="K263">
        <f t="shared" si="28"/>
        <v>5.3000000000000007</v>
      </c>
      <c r="L263">
        <f t="shared" si="29"/>
        <v>12.154834440000002</v>
      </c>
      <c r="Q263">
        <f t="shared" si="25"/>
        <v>77.197500000000005</v>
      </c>
    </row>
    <row r="264" spans="1:17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 s="12">
        <v>71.883499999999998</v>
      </c>
      <c r="I264">
        <f t="shared" si="26"/>
        <v>6.83</v>
      </c>
      <c r="J264">
        <f t="shared" si="27"/>
        <v>2.4834440000000235E-2</v>
      </c>
      <c r="K264">
        <f t="shared" si="28"/>
        <v>5.3000000000000007</v>
      </c>
      <c r="L264">
        <f t="shared" si="29"/>
        <v>12.154834440000002</v>
      </c>
      <c r="Q264">
        <f t="shared" si="25"/>
        <v>71.883499999999998</v>
      </c>
    </row>
    <row r="265" spans="1:17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 s="12">
        <v>75.876999999999995</v>
      </c>
      <c r="I265">
        <f t="shared" si="26"/>
        <v>6.83</v>
      </c>
      <c r="J265">
        <f t="shared" si="27"/>
        <v>2.4834440000000235E-2</v>
      </c>
      <c r="K265">
        <f t="shared" si="28"/>
        <v>5.3000000000000007</v>
      </c>
      <c r="L265">
        <f t="shared" si="29"/>
        <v>12.154834440000002</v>
      </c>
      <c r="Q265">
        <f t="shared" si="25"/>
        <v>75.876999999999995</v>
      </c>
    </row>
    <row r="266" spans="1:17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 s="12">
        <v>73.278000000000006</v>
      </c>
      <c r="I266">
        <f t="shared" si="26"/>
        <v>6.83</v>
      </c>
      <c r="J266">
        <f t="shared" si="27"/>
        <v>2.4834440000000235E-2</v>
      </c>
      <c r="K266">
        <f t="shared" si="28"/>
        <v>5.3000000000000007</v>
      </c>
      <c r="L266">
        <f t="shared" si="29"/>
        <v>12.154834440000002</v>
      </c>
      <c r="Q266">
        <f t="shared" si="25"/>
        <v>73.278000000000006</v>
      </c>
    </row>
    <row r="267" spans="1:17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 s="12">
        <v>62.786000000000001</v>
      </c>
      <c r="I267">
        <f t="shared" si="26"/>
        <v>6.83</v>
      </c>
      <c r="J267">
        <f t="shared" si="27"/>
        <v>2.4834440000000235E-2</v>
      </c>
      <c r="K267">
        <f t="shared" si="28"/>
        <v>5.3000000000000007</v>
      </c>
      <c r="L267">
        <f t="shared" si="29"/>
        <v>12.154834440000002</v>
      </c>
      <c r="Q267">
        <f t="shared" si="25"/>
        <v>62.786000000000001</v>
      </c>
    </row>
    <row r="268" spans="1:17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 s="12">
        <v>70.564250000000001</v>
      </c>
      <c r="I268">
        <f t="shared" si="26"/>
        <v>6.83</v>
      </c>
      <c r="J268">
        <f t="shared" si="27"/>
        <v>2.4834440000000235E-2</v>
      </c>
      <c r="K268">
        <f t="shared" si="28"/>
        <v>5.3000000000000007</v>
      </c>
      <c r="L268">
        <f t="shared" si="29"/>
        <v>12.154834440000002</v>
      </c>
      <c r="Q268">
        <f t="shared" si="25"/>
        <v>70.564250000000001</v>
      </c>
    </row>
    <row r="269" spans="1:17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 s="12">
        <v>60.857500000000002</v>
      </c>
      <c r="I269">
        <f t="shared" si="26"/>
        <v>6.83</v>
      </c>
      <c r="J269">
        <f t="shared" si="27"/>
        <v>2.4834440000000235E-2</v>
      </c>
      <c r="K269">
        <f t="shared" si="28"/>
        <v>5.3000000000000007</v>
      </c>
      <c r="L269">
        <f t="shared" si="29"/>
        <v>12.154834440000002</v>
      </c>
      <c r="Q269">
        <f t="shared" si="25"/>
        <v>60.857500000000002</v>
      </c>
    </row>
    <row r="270" spans="1:17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 s="12">
        <v>70.515000000000001</v>
      </c>
      <c r="I270">
        <f t="shared" si="26"/>
        <v>6.83</v>
      </c>
      <c r="J270">
        <f t="shared" si="27"/>
        <v>2.4834440000000235E-2</v>
      </c>
      <c r="K270">
        <f t="shared" si="28"/>
        <v>5.3000000000000007</v>
      </c>
      <c r="L270">
        <f t="shared" si="29"/>
        <v>12.154834440000002</v>
      </c>
      <c r="Q270">
        <f t="shared" si="25"/>
        <v>70.515000000000001</v>
      </c>
    </row>
    <row r="271" spans="1:17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 s="12">
        <v>62.034499999999994</v>
      </c>
      <c r="I271">
        <f t="shared" si="26"/>
        <v>9.9999999999999811E-3</v>
      </c>
      <c r="J271">
        <f t="shared" si="27"/>
        <v>3.7116787000000429E-2</v>
      </c>
      <c r="K271">
        <f t="shared" si="28"/>
        <v>0.89999999999999858</v>
      </c>
      <c r="L271">
        <f t="shared" si="29"/>
        <v>0.94711678699999902</v>
      </c>
      <c r="Q271">
        <f t="shared" si="25"/>
        <v>62.034499999999994</v>
      </c>
    </row>
    <row r="272" spans="1:17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 s="12">
        <v>64.097999999999999</v>
      </c>
      <c r="I272">
        <f t="shared" si="26"/>
        <v>9.9999999999999811E-3</v>
      </c>
      <c r="J272">
        <f t="shared" si="27"/>
        <v>3.7116787000000429E-2</v>
      </c>
      <c r="K272">
        <f t="shared" si="28"/>
        <v>0.89999999999999858</v>
      </c>
      <c r="L272">
        <f t="shared" si="29"/>
        <v>0.94711678699999902</v>
      </c>
      <c r="Q272">
        <f t="shared" si="25"/>
        <v>64.097999999999999</v>
      </c>
    </row>
    <row r="273" spans="1:17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 s="12">
        <v>66.070499999999996</v>
      </c>
      <c r="I273">
        <f t="shared" si="26"/>
        <v>9.9999999999999811E-3</v>
      </c>
      <c r="J273">
        <f t="shared" si="27"/>
        <v>3.7116787000000429E-2</v>
      </c>
      <c r="K273">
        <f t="shared" si="28"/>
        <v>0.89999999999999858</v>
      </c>
      <c r="L273">
        <f t="shared" si="29"/>
        <v>0.94711678699999902</v>
      </c>
      <c r="Q273">
        <f t="shared" si="25"/>
        <v>66.070499999999996</v>
      </c>
    </row>
    <row r="274" spans="1:17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 s="12">
        <v>64.358999999999995</v>
      </c>
      <c r="I274">
        <f t="shared" si="26"/>
        <v>9.9999999999999811E-3</v>
      </c>
      <c r="J274">
        <f t="shared" si="27"/>
        <v>3.7116787000000429E-2</v>
      </c>
      <c r="K274">
        <f t="shared" si="28"/>
        <v>0.89999999999999858</v>
      </c>
      <c r="L274">
        <f t="shared" si="29"/>
        <v>0.94711678699999902</v>
      </c>
      <c r="Q274">
        <f t="shared" si="25"/>
        <v>64.358999999999995</v>
      </c>
    </row>
    <row r="275" spans="1:17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 s="12">
        <v>64.386750000000006</v>
      </c>
      <c r="I275">
        <f t="shared" si="26"/>
        <v>9.9999999999999811E-3</v>
      </c>
      <c r="J275">
        <f t="shared" si="27"/>
        <v>3.7116787000000429E-2</v>
      </c>
      <c r="K275">
        <f t="shared" si="28"/>
        <v>0.89999999999999858</v>
      </c>
      <c r="L275">
        <f t="shared" si="29"/>
        <v>0.94711678699999902</v>
      </c>
      <c r="Q275">
        <f t="shared" si="25"/>
        <v>64.386750000000006</v>
      </c>
    </row>
    <row r="276" spans="1:17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 s="12">
        <v>64.91825</v>
      </c>
      <c r="I276">
        <f t="shared" si="26"/>
        <v>9.9999999999999811E-3</v>
      </c>
      <c r="J276">
        <f t="shared" si="27"/>
        <v>3.7116787000000429E-2</v>
      </c>
      <c r="K276">
        <f t="shared" si="28"/>
        <v>0.89999999999999858</v>
      </c>
      <c r="L276">
        <f t="shared" si="29"/>
        <v>0.94711678699999902</v>
      </c>
      <c r="Q276">
        <f t="shared" si="25"/>
        <v>64.91825</v>
      </c>
    </row>
    <row r="277" spans="1:17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 s="12">
        <v>63.464749999999995</v>
      </c>
      <c r="I277">
        <f t="shared" si="26"/>
        <v>9.9999999999999811E-3</v>
      </c>
      <c r="J277">
        <f t="shared" si="27"/>
        <v>3.7116787000000429E-2</v>
      </c>
      <c r="K277">
        <f t="shared" si="28"/>
        <v>0.89999999999999858</v>
      </c>
      <c r="L277">
        <f t="shared" si="29"/>
        <v>0.94711678699999902</v>
      </c>
      <c r="Q277">
        <f t="shared" si="25"/>
        <v>63.464749999999995</v>
      </c>
    </row>
    <row r="278" spans="1:17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 s="12">
        <v>64.401499999999999</v>
      </c>
      <c r="I278">
        <f t="shared" si="26"/>
        <v>9.9999999999999811E-3</v>
      </c>
      <c r="J278">
        <f t="shared" si="27"/>
        <v>3.7116787000000429E-2</v>
      </c>
      <c r="K278">
        <f t="shared" si="28"/>
        <v>0.89999999999999858</v>
      </c>
      <c r="L278">
        <f t="shared" si="29"/>
        <v>0.94711678699999902</v>
      </c>
      <c r="Q278">
        <f t="shared" si="25"/>
        <v>64.401499999999999</v>
      </c>
    </row>
    <row r="279" spans="1:17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 s="12">
        <v>60.358500000000006</v>
      </c>
      <c r="I279">
        <f t="shared" si="26"/>
        <v>9.9999999999999811E-3</v>
      </c>
      <c r="J279">
        <f t="shared" si="27"/>
        <v>3.7116787000000429E-2</v>
      </c>
      <c r="K279">
        <f t="shared" si="28"/>
        <v>0.89999999999999858</v>
      </c>
      <c r="L279">
        <f t="shared" si="29"/>
        <v>0.94711678699999902</v>
      </c>
      <c r="Q279">
        <f t="shared" si="25"/>
        <v>60.358500000000006</v>
      </c>
    </row>
    <row r="280" spans="1:17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 s="12">
        <v>73.606250000000003</v>
      </c>
      <c r="I280">
        <f t="shared" si="26"/>
        <v>9.9999999999999811E-3</v>
      </c>
      <c r="J280">
        <f t="shared" si="27"/>
        <v>2.8435468999999713E-2</v>
      </c>
      <c r="K280">
        <f t="shared" si="28"/>
        <v>0.69999999999999929</v>
      </c>
      <c r="L280">
        <f t="shared" si="29"/>
        <v>0.73843546899999901</v>
      </c>
      <c r="Q280">
        <f t="shared" si="25"/>
        <v>73.606250000000003</v>
      </c>
    </row>
    <row r="281" spans="1:17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 s="12">
        <v>73.959249999999997</v>
      </c>
      <c r="I281">
        <f t="shared" si="26"/>
        <v>9.9999999999999811E-3</v>
      </c>
      <c r="J281">
        <f t="shared" si="27"/>
        <v>2.8435468999999713E-2</v>
      </c>
      <c r="K281">
        <f t="shared" si="28"/>
        <v>0.69999999999999929</v>
      </c>
      <c r="L281">
        <f t="shared" si="29"/>
        <v>0.73843546899999901</v>
      </c>
      <c r="Q281">
        <f t="shared" si="25"/>
        <v>73.959249999999997</v>
      </c>
    </row>
    <row r="282" spans="1:17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 s="12">
        <v>74.582750000000004</v>
      </c>
      <c r="I282">
        <f t="shared" si="26"/>
        <v>9.9999999999999811E-3</v>
      </c>
      <c r="J282">
        <f t="shared" si="27"/>
        <v>2.8435468999999713E-2</v>
      </c>
      <c r="K282">
        <f t="shared" si="28"/>
        <v>0.69999999999999929</v>
      </c>
      <c r="L282">
        <f t="shared" si="29"/>
        <v>0.73843546899999901</v>
      </c>
      <c r="Q282">
        <f t="shared" si="25"/>
        <v>74.582750000000004</v>
      </c>
    </row>
    <row r="283" spans="1:17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 s="12">
        <v>77.698750000000004</v>
      </c>
      <c r="I283">
        <f t="shared" si="26"/>
        <v>9.9999999999999811E-3</v>
      </c>
      <c r="J283">
        <f t="shared" si="27"/>
        <v>2.8435468999999713E-2</v>
      </c>
      <c r="K283">
        <f t="shared" si="28"/>
        <v>0.69999999999999929</v>
      </c>
      <c r="L283">
        <f t="shared" si="29"/>
        <v>0.73843546899999901</v>
      </c>
      <c r="Q283">
        <f t="shared" si="25"/>
        <v>77.698750000000004</v>
      </c>
    </row>
    <row r="284" spans="1:17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 s="12">
        <v>75.792749999999998</v>
      </c>
      <c r="I284">
        <f t="shared" si="26"/>
        <v>9.9999999999999811E-3</v>
      </c>
      <c r="J284">
        <f t="shared" si="27"/>
        <v>2.8435468999999713E-2</v>
      </c>
      <c r="K284">
        <f t="shared" si="28"/>
        <v>0.69999999999999929</v>
      </c>
      <c r="L284">
        <f t="shared" si="29"/>
        <v>0.73843546899999901</v>
      </c>
      <c r="Q284">
        <f t="shared" si="25"/>
        <v>75.792749999999998</v>
      </c>
    </row>
    <row r="285" spans="1:17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 s="12">
        <v>75.799750000000003</v>
      </c>
      <c r="I285">
        <f t="shared" si="26"/>
        <v>9.9999999999999811E-3</v>
      </c>
      <c r="J285">
        <f t="shared" si="27"/>
        <v>2.8435468999999713E-2</v>
      </c>
      <c r="K285">
        <f t="shared" si="28"/>
        <v>0.69999999999999929</v>
      </c>
      <c r="L285">
        <f t="shared" si="29"/>
        <v>0.73843546899999901</v>
      </c>
      <c r="Q285">
        <f t="shared" si="25"/>
        <v>75.799750000000003</v>
      </c>
    </row>
    <row r="286" spans="1:17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 s="12">
        <v>71.466250000000002</v>
      </c>
      <c r="I286">
        <f t="shared" si="26"/>
        <v>9.9999999999999811E-3</v>
      </c>
      <c r="J286">
        <f t="shared" si="27"/>
        <v>2.8435468999999713E-2</v>
      </c>
      <c r="K286">
        <f t="shared" si="28"/>
        <v>0.69999999999999929</v>
      </c>
      <c r="L286">
        <f t="shared" si="29"/>
        <v>0.73843546899999901</v>
      </c>
      <c r="Q286">
        <f t="shared" si="25"/>
        <v>71.466250000000002</v>
      </c>
    </row>
    <row r="287" spans="1:17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 s="12">
        <v>74.690250000000006</v>
      </c>
      <c r="I287">
        <f t="shared" si="26"/>
        <v>9.9999999999999811E-3</v>
      </c>
      <c r="J287">
        <f t="shared" si="27"/>
        <v>2.8435468999999713E-2</v>
      </c>
      <c r="K287">
        <f t="shared" si="28"/>
        <v>0.69999999999999929</v>
      </c>
      <c r="L287">
        <f t="shared" si="29"/>
        <v>0.73843546899999901</v>
      </c>
      <c r="Q287">
        <f t="shared" si="25"/>
        <v>74.690250000000006</v>
      </c>
    </row>
    <row r="288" spans="1:17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 s="12">
        <v>75.964250000000007</v>
      </c>
      <c r="I288">
        <f t="shared" si="26"/>
        <v>9.9999999999999811E-3</v>
      </c>
      <c r="J288">
        <f t="shared" si="27"/>
        <v>2.8435468999999713E-2</v>
      </c>
      <c r="K288">
        <f t="shared" si="28"/>
        <v>0.69999999999999929</v>
      </c>
      <c r="L288">
        <f t="shared" si="29"/>
        <v>0.73843546899999901</v>
      </c>
      <c r="Q288">
        <f t="shared" ref="Q288:Q319" si="30">G288</f>
        <v>75.964250000000007</v>
      </c>
    </row>
    <row r="289" spans="1:17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 s="12">
        <v>75.179749999999999</v>
      </c>
      <c r="I289">
        <f t="shared" si="26"/>
        <v>9.9999999999999811E-3</v>
      </c>
      <c r="J289">
        <f t="shared" si="27"/>
        <v>2.8435468999999713E-2</v>
      </c>
      <c r="K289">
        <f t="shared" si="28"/>
        <v>0.69999999999999929</v>
      </c>
      <c r="L289">
        <f t="shared" si="29"/>
        <v>0.73843546899999901</v>
      </c>
      <c r="Q289">
        <f t="shared" si="30"/>
        <v>75.179749999999999</v>
      </c>
    </row>
    <row r="290" spans="1:17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 s="12">
        <v>66.342500000000001</v>
      </c>
      <c r="I290">
        <f t="shared" si="26"/>
        <v>6.83</v>
      </c>
      <c r="J290">
        <f t="shared" si="27"/>
        <v>0.32005830900000021</v>
      </c>
      <c r="K290">
        <f t="shared" si="28"/>
        <v>0.80000000000000071</v>
      </c>
      <c r="L290">
        <f t="shared" si="29"/>
        <v>7.950058309000001</v>
      </c>
      <c r="Q290">
        <f t="shared" si="30"/>
        <v>66.342500000000001</v>
      </c>
    </row>
    <row r="291" spans="1:17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 s="12">
        <v>73.388499999999993</v>
      </c>
      <c r="I291">
        <f t="shared" si="26"/>
        <v>6.83</v>
      </c>
      <c r="J291">
        <f t="shared" si="27"/>
        <v>0.32005830900000021</v>
      </c>
      <c r="K291">
        <f t="shared" si="28"/>
        <v>0.80000000000000071</v>
      </c>
      <c r="L291">
        <f t="shared" si="29"/>
        <v>7.950058309000001</v>
      </c>
      <c r="Q291">
        <f t="shared" si="30"/>
        <v>73.388499999999993</v>
      </c>
    </row>
    <row r="292" spans="1:17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 s="12">
        <v>71.013249999999999</v>
      </c>
      <c r="I292">
        <f t="shared" si="26"/>
        <v>6.83</v>
      </c>
      <c r="J292">
        <f t="shared" si="27"/>
        <v>0.32005830900000021</v>
      </c>
      <c r="K292">
        <f t="shared" si="28"/>
        <v>0.80000000000000071</v>
      </c>
      <c r="L292">
        <f t="shared" si="29"/>
        <v>7.950058309000001</v>
      </c>
      <c r="Q292">
        <f t="shared" si="30"/>
        <v>71.013249999999999</v>
      </c>
    </row>
    <row r="293" spans="1:17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 s="12">
        <v>75.055750000000003</v>
      </c>
      <c r="I293">
        <f t="shared" si="26"/>
        <v>6.83</v>
      </c>
      <c r="J293">
        <f t="shared" si="27"/>
        <v>0.32005830900000021</v>
      </c>
      <c r="K293">
        <f t="shared" si="28"/>
        <v>0.80000000000000071</v>
      </c>
      <c r="L293">
        <f t="shared" si="29"/>
        <v>7.950058309000001</v>
      </c>
      <c r="Q293">
        <f t="shared" si="30"/>
        <v>75.055750000000003</v>
      </c>
    </row>
    <row r="294" spans="1:17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 s="12">
        <v>78.205500000000001</v>
      </c>
      <c r="I294">
        <f t="shared" si="26"/>
        <v>6.83</v>
      </c>
      <c r="J294">
        <f t="shared" si="27"/>
        <v>0.32005830900000021</v>
      </c>
      <c r="K294">
        <f t="shared" si="28"/>
        <v>0.80000000000000071</v>
      </c>
      <c r="L294">
        <f t="shared" si="29"/>
        <v>7.950058309000001</v>
      </c>
      <c r="Q294">
        <f t="shared" si="30"/>
        <v>78.205500000000001</v>
      </c>
    </row>
    <row r="295" spans="1:17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 s="12">
        <v>78.96875</v>
      </c>
      <c r="I295">
        <f t="shared" si="26"/>
        <v>6.83</v>
      </c>
      <c r="J295">
        <f t="shared" si="27"/>
        <v>0.32005830900000021</v>
      </c>
      <c r="K295">
        <f t="shared" si="28"/>
        <v>0.80000000000000071</v>
      </c>
      <c r="L295">
        <f t="shared" si="29"/>
        <v>7.950058309000001</v>
      </c>
      <c r="Q295">
        <f t="shared" si="30"/>
        <v>78.96875</v>
      </c>
    </row>
    <row r="296" spans="1:17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 s="12">
        <v>74.054749999999999</v>
      </c>
      <c r="I296">
        <f t="shared" si="26"/>
        <v>7.83</v>
      </c>
      <c r="J296">
        <f t="shared" si="27"/>
        <v>0.32005830900000021</v>
      </c>
      <c r="K296">
        <f t="shared" si="28"/>
        <v>0.5</v>
      </c>
      <c r="L296">
        <f t="shared" si="29"/>
        <v>8.6500583090000003</v>
      </c>
      <c r="Q296">
        <f t="shared" si="30"/>
        <v>74.054749999999999</v>
      </c>
    </row>
    <row r="297" spans="1:17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 s="12">
        <v>74.791250000000005</v>
      </c>
      <c r="I297">
        <f t="shared" si="26"/>
        <v>7.83</v>
      </c>
      <c r="J297">
        <f t="shared" si="27"/>
        <v>0.32005830900000021</v>
      </c>
      <c r="K297">
        <f t="shared" si="28"/>
        <v>0.5</v>
      </c>
      <c r="L297">
        <f t="shared" si="29"/>
        <v>8.6500583090000003</v>
      </c>
      <c r="Q297">
        <f t="shared" si="30"/>
        <v>74.791250000000005</v>
      </c>
    </row>
    <row r="298" spans="1:17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 s="12">
        <v>67.599999999999994</v>
      </c>
      <c r="I298">
        <f t="shared" si="26"/>
        <v>7.83</v>
      </c>
      <c r="J298">
        <f t="shared" si="27"/>
        <v>0.32005830900000021</v>
      </c>
      <c r="K298">
        <f t="shared" si="28"/>
        <v>0.5</v>
      </c>
      <c r="L298">
        <f t="shared" si="29"/>
        <v>8.6500583090000003</v>
      </c>
      <c r="Q298">
        <f t="shared" si="30"/>
        <v>67.599999999999994</v>
      </c>
    </row>
    <row r="299" spans="1:17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 s="12">
        <v>64.681749999999994</v>
      </c>
      <c r="I299">
        <f t="shared" si="26"/>
        <v>7.83</v>
      </c>
      <c r="J299">
        <f t="shared" si="27"/>
        <v>0.32005830900000021</v>
      </c>
      <c r="K299">
        <f t="shared" si="28"/>
        <v>0.5</v>
      </c>
      <c r="L299">
        <f t="shared" si="29"/>
        <v>8.6500583090000003</v>
      </c>
      <c r="Q299">
        <f t="shared" si="30"/>
        <v>64.681749999999994</v>
      </c>
    </row>
    <row r="300" spans="1:17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 s="12">
        <v>67.825749999999999</v>
      </c>
      <c r="I300">
        <f t="shared" si="26"/>
        <v>7.83</v>
      </c>
      <c r="J300">
        <f t="shared" si="27"/>
        <v>0.32005830900000021</v>
      </c>
      <c r="K300">
        <f t="shared" si="28"/>
        <v>0.5</v>
      </c>
      <c r="L300">
        <f t="shared" si="29"/>
        <v>8.6500583090000003</v>
      </c>
      <c r="Q300">
        <f t="shared" si="30"/>
        <v>67.825749999999999</v>
      </c>
    </row>
    <row r="301" spans="1:17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 s="12">
        <v>65.484750000000005</v>
      </c>
      <c r="I301">
        <f t="shared" si="26"/>
        <v>7.83</v>
      </c>
      <c r="J301">
        <f t="shared" si="27"/>
        <v>0.32005830900000021</v>
      </c>
      <c r="K301">
        <f t="shared" si="28"/>
        <v>0.5</v>
      </c>
      <c r="L301">
        <f t="shared" si="29"/>
        <v>8.6500583090000003</v>
      </c>
      <c r="Q301">
        <f t="shared" si="30"/>
        <v>65.484750000000005</v>
      </c>
    </row>
    <row r="302" spans="1:17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 s="12">
        <v>77.291499999999999</v>
      </c>
      <c r="I302">
        <f t="shared" si="26"/>
        <v>7.83</v>
      </c>
      <c r="J302">
        <f t="shared" si="27"/>
        <v>0.32005830900000021</v>
      </c>
      <c r="K302">
        <f t="shared" si="28"/>
        <v>0.5</v>
      </c>
      <c r="L302">
        <f t="shared" si="29"/>
        <v>8.6500583090000003</v>
      </c>
      <c r="Q302">
        <f t="shared" si="30"/>
        <v>77.291499999999999</v>
      </c>
    </row>
    <row r="303" spans="1:17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 s="12">
        <v>83.308499999999995</v>
      </c>
      <c r="I303">
        <f t="shared" si="26"/>
        <v>9.9999999999999811E-3</v>
      </c>
      <c r="J303">
        <f t="shared" si="27"/>
        <v>3.1163283999999791E-2</v>
      </c>
      <c r="K303">
        <f t="shared" si="28"/>
        <v>5.5</v>
      </c>
      <c r="L303">
        <f t="shared" si="29"/>
        <v>5.5411632839999996</v>
      </c>
      <c r="Q303">
        <f t="shared" si="30"/>
        <v>83.308499999999995</v>
      </c>
    </row>
    <row r="304" spans="1:17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 s="12">
        <v>82.948499999999996</v>
      </c>
      <c r="I304">
        <f t="shared" si="26"/>
        <v>9.9999999999999811E-3</v>
      </c>
      <c r="J304">
        <f t="shared" si="27"/>
        <v>3.1163283999999791E-2</v>
      </c>
      <c r="K304">
        <f t="shared" si="28"/>
        <v>5.5</v>
      </c>
      <c r="L304">
        <f t="shared" si="29"/>
        <v>5.5411632839999996</v>
      </c>
      <c r="Q304">
        <f t="shared" si="30"/>
        <v>82.948499999999996</v>
      </c>
    </row>
    <row r="305" spans="1:17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 s="12">
        <v>70.364500000000007</v>
      </c>
      <c r="I305">
        <f t="shared" si="26"/>
        <v>9.9999999999999811E-3</v>
      </c>
      <c r="J305">
        <f t="shared" si="27"/>
        <v>3.1163283999999791E-2</v>
      </c>
      <c r="K305">
        <f t="shared" si="28"/>
        <v>5.5</v>
      </c>
      <c r="L305">
        <f t="shared" si="29"/>
        <v>5.5411632839999996</v>
      </c>
      <c r="Q305">
        <f t="shared" si="30"/>
        <v>70.364500000000007</v>
      </c>
    </row>
    <row r="306" spans="1:17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 s="12">
        <v>66.692250000000001</v>
      </c>
      <c r="I306">
        <f t="shared" si="26"/>
        <v>9.9999999999999811E-3</v>
      </c>
      <c r="J306">
        <f t="shared" si="27"/>
        <v>3.1163283999999791E-2</v>
      </c>
      <c r="K306">
        <f t="shared" si="28"/>
        <v>5.5</v>
      </c>
      <c r="L306">
        <f t="shared" si="29"/>
        <v>5.5411632839999996</v>
      </c>
      <c r="Q306">
        <f t="shared" si="30"/>
        <v>66.692250000000001</v>
      </c>
    </row>
    <row r="307" spans="1:17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 s="12">
        <v>72.786249999999995</v>
      </c>
      <c r="I307">
        <f t="shared" si="26"/>
        <v>9.9999999999999811E-3</v>
      </c>
      <c r="J307">
        <f t="shared" si="27"/>
        <v>3.1163283999999791E-2</v>
      </c>
      <c r="K307">
        <f t="shared" si="28"/>
        <v>5.5</v>
      </c>
      <c r="L307">
        <f t="shared" si="29"/>
        <v>5.5411632839999996</v>
      </c>
      <c r="Q307">
        <f t="shared" si="30"/>
        <v>72.786249999999995</v>
      </c>
    </row>
    <row r="308" spans="1:17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 s="12">
        <v>76.325749999999999</v>
      </c>
      <c r="I308">
        <f t="shared" si="26"/>
        <v>9.9999999999999811E-3</v>
      </c>
      <c r="J308">
        <f t="shared" si="27"/>
        <v>3.1163283999999791E-2</v>
      </c>
      <c r="K308">
        <f t="shared" si="28"/>
        <v>5.5</v>
      </c>
      <c r="L308">
        <f t="shared" si="29"/>
        <v>5.5411632839999996</v>
      </c>
      <c r="Q308">
        <f t="shared" si="30"/>
        <v>76.325749999999999</v>
      </c>
    </row>
    <row r="309" spans="1:17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 s="12">
        <v>75.438000000000002</v>
      </c>
      <c r="I309">
        <f t="shared" si="26"/>
        <v>9.9999999999999811E-3</v>
      </c>
      <c r="J309">
        <f t="shared" si="27"/>
        <v>3.1163283999999791E-2</v>
      </c>
      <c r="K309">
        <f t="shared" si="28"/>
        <v>5.5</v>
      </c>
      <c r="L309">
        <f t="shared" si="29"/>
        <v>5.5411632839999996</v>
      </c>
      <c r="Q309">
        <f t="shared" si="30"/>
        <v>75.438000000000002</v>
      </c>
    </row>
    <row r="310" spans="1:17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 s="12">
        <v>75.391750000000002</v>
      </c>
      <c r="I310">
        <f t="shared" si="26"/>
        <v>9.9999999999999811E-3</v>
      </c>
      <c r="J310">
        <f t="shared" si="27"/>
        <v>3.1163283999999791E-2</v>
      </c>
      <c r="K310">
        <f t="shared" si="28"/>
        <v>5.5</v>
      </c>
      <c r="L310">
        <f t="shared" si="29"/>
        <v>5.5411632839999996</v>
      </c>
      <c r="Q310">
        <f t="shared" si="30"/>
        <v>75.391750000000002</v>
      </c>
    </row>
    <row r="311" spans="1:17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 s="12">
        <v>83.333250000000007</v>
      </c>
      <c r="I311">
        <f t="shared" si="26"/>
        <v>9.9999999999999811E-3</v>
      </c>
      <c r="J311">
        <f t="shared" si="27"/>
        <v>3.1163283999999791E-2</v>
      </c>
      <c r="K311">
        <f t="shared" si="28"/>
        <v>5.5</v>
      </c>
      <c r="L311">
        <f t="shared" si="29"/>
        <v>5.5411632839999996</v>
      </c>
      <c r="Q311">
        <f t="shared" si="30"/>
        <v>83.333250000000007</v>
      </c>
    </row>
    <row r="312" spans="1:17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 s="12">
        <v>73.309749999999994</v>
      </c>
      <c r="I312">
        <f t="shared" si="26"/>
        <v>9.9999999999999811E-3</v>
      </c>
      <c r="J312">
        <f t="shared" si="27"/>
        <v>3.1163283999999791E-2</v>
      </c>
      <c r="K312">
        <f t="shared" si="28"/>
        <v>5.5</v>
      </c>
      <c r="L312">
        <f t="shared" si="29"/>
        <v>5.5411632839999996</v>
      </c>
      <c r="Q312">
        <f t="shared" si="30"/>
        <v>73.309749999999994</v>
      </c>
    </row>
    <row r="313" spans="1:17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 s="12">
        <v>65.238</v>
      </c>
      <c r="I313">
        <f t="shared" si="26"/>
        <v>9.9999999999999811E-3</v>
      </c>
      <c r="J313">
        <f t="shared" si="27"/>
        <v>3.6212217000000102E-2</v>
      </c>
      <c r="K313">
        <f t="shared" si="28"/>
        <v>5.6000000000000014</v>
      </c>
      <c r="L313">
        <f t="shared" si="29"/>
        <v>5.6462122170000013</v>
      </c>
      <c r="Q313">
        <f t="shared" si="30"/>
        <v>65.238</v>
      </c>
    </row>
    <row r="314" spans="1:17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 s="12">
        <v>70.255499999999998</v>
      </c>
      <c r="I314">
        <f t="shared" si="26"/>
        <v>9.9999999999999811E-3</v>
      </c>
      <c r="J314">
        <f t="shared" si="27"/>
        <v>3.6212217000000102E-2</v>
      </c>
      <c r="K314">
        <f t="shared" si="28"/>
        <v>5.6000000000000014</v>
      </c>
      <c r="L314">
        <f t="shared" si="29"/>
        <v>5.6462122170000013</v>
      </c>
      <c r="Q314">
        <f t="shared" si="30"/>
        <v>70.255499999999998</v>
      </c>
    </row>
    <row r="315" spans="1:17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 s="12">
        <v>64.192499999999995</v>
      </c>
      <c r="I315">
        <f t="shared" si="26"/>
        <v>9.9999999999999811E-3</v>
      </c>
      <c r="J315">
        <f t="shared" si="27"/>
        <v>3.6212217000000102E-2</v>
      </c>
      <c r="K315">
        <f t="shared" si="28"/>
        <v>5.6000000000000014</v>
      </c>
      <c r="L315">
        <f t="shared" si="29"/>
        <v>5.6462122170000013</v>
      </c>
      <c r="Q315">
        <f t="shared" si="30"/>
        <v>64.192499999999995</v>
      </c>
    </row>
    <row r="316" spans="1:17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 s="12">
        <v>68.926000000000002</v>
      </c>
      <c r="I316">
        <f t="shared" si="26"/>
        <v>9.9999999999999811E-3</v>
      </c>
      <c r="J316">
        <f t="shared" si="27"/>
        <v>3.6212217000000102E-2</v>
      </c>
      <c r="K316">
        <f t="shared" si="28"/>
        <v>5.6000000000000014</v>
      </c>
      <c r="L316">
        <f t="shared" si="29"/>
        <v>5.6462122170000013</v>
      </c>
      <c r="Q316">
        <f t="shared" si="30"/>
        <v>68.926000000000002</v>
      </c>
    </row>
    <row r="317" spans="1:17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 s="12">
        <v>65.261750000000006</v>
      </c>
      <c r="I317">
        <f t="shared" si="26"/>
        <v>9.9999999999999811E-3</v>
      </c>
      <c r="J317">
        <f t="shared" si="27"/>
        <v>3.6212217000000102E-2</v>
      </c>
      <c r="K317">
        <f t="shared" si="28"/>
        <v>5.6000000000000014</v>
      </c>
      <c r="L317">
        <f t="shared" si="29"/>
        <v>5.6462122170000013</v>
      </c>
      <c r="Q317">
        <f t="shared" si="30"/>
        <v>65.261750000000006</v>
      </c>
    </row>
    <row r="318" spans="1:17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 s="12">
        <v>68.194249999999997</v>
      </c>
      <c r="I318">
        <f t="shared" si="26"/>
        <v>9.9999999999999811E-3</v>
      </c>
      <c r="J318">
        <f t="shared" si="27"/>
        <v>3.6212217000000102E-2</v>
      </c>
      <c r="K318">
        <f t="shared" si="28"/>
        <v>5.6000000000000014</v>
      </c>
      <c r="L318">
        <f t="shared" si="29"/>
        <v>5.6462122170000013</v>
      </c>
      <c r="Q318">
        <f t="shared" si="30"/>
        <v>68.194249999999997</v>
      </c>
    </row>
    <row r="319" spans="1:17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 s="12">
        <v>67.949749999999995</v>
      </c>
      <c r="I319">
        <f t="shared" si="26"/>
        <v>9.9999999999999811E-3</v>
      </c>
      <c r="J319">
        <f t="shared" si="27"/>
        <v>3.6212217000000102E-2</v>
      </c>
      <c r="K319">
        <f t="shared" si="28"/>
        <v>5.6000000000000014</v>
      </c>
      <c r="L319">
        <f t="shared" si="29"/>
        <v>5.6462122170000013</v>
      </c>
      <c r="Q319">
        <f t="shared" si="30"/>
        <v>67.949749999999995</v>
      </c>
    </row>
    <row r="320" spans="1:17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 s="12">
        <v>69.40325</v>
      </c>
      <c r="I320">
        <f t="shared" si="26"/>
        <v>9.9999999999999811E-3</v>
      </c>
      <c r="J320">
        <f t="shared" si="27"/>
        <v>3.6212217000000102E-2</v>
      </c>
      <c r="K320">
        <f t="shared" si="28"/>
        <v>5.6000000000000014</v>
      </c>
      <c r="L320">
        <f t="shared" si="29"/>
        <v>5.6462122170000013</v>
      </c>
      <c r="Q320">
        <f t="shared" ref="Q320:Q340" si="31">G320</f>
        <v>69.40325</v>
      </c>
    </row>
    <row r="321" spans="1:17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 s="12">
        <v>67.777000000000001</v>
      </c>
      <c r="I321">
        <f t="shared" si="26"/>
        <v>9.9999999999999811E-3</v>
      </c>
      <c r="J321">
        <f t="shared" si="27"/>
        <v>3.6212217000000102E-2</v>
      </c>
      <c r="K321">
        <f t="shared" si="28"/>
        <v>5.6000000000000014</v>
      </c>
      <c r="L321">
        <f t="shared" si="29"/>
        <v>5.6462122170000013</v>
      </c>
      <c r="Q321">
        <f t="shared" si="31"/>
        <v>67.777000000000001</v>
      </c>
    </row>
    <row r="322" spans="1:17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 s="12">
        <v>70.790000000000006</v>
      </c>
      <c r="I322">
        <f t="shared" si="26"/>
        <v>9.9999999999999811E-3</v>
      </c>
      <c r="J322">
        <f t="shared" si="27"/>
        <v>3.6212217000000102E-2</v>
      </c>
      <c r="K322">
        <f t="shared" si="28"/>
        <v>5.6000000000000014</v>
      </c>
      <c r="L322">
        <f t="shared" si="29"/>
        <v>5.6462122170000013</v>
      </c>
      <c r="Q322">
        <f t="shared" si="31"/>
        <v>70.790000000000006</v>
      </c>
    </row>
    <row r="323" spans="1:17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 s="12">
        <v>69.434250000000006</v>
      </c>
      <c r="I323">
        <f t="shared" ref="I323:I340" si="32">(E323-0.17)*$U$2</f>
        <v>6.83</v>
      </c>
      <c r="J323">
        <f t="shared" ref="J323:J340" si="33">(8-D323)*$U$4</f>
        <v>0.239001397</v>
      </c>
      <c r="K323">
        <f t="shared" ref="K323:K340" si="34">(C323-20)*$U$3</f>
        <v>5.5</v>
      </c>
      <c r="L323">
        <f t="shared" ref="L323:L340" si="35">SUM(I323:K323)</f>
        <v>12.569001397000001</v>
      </c>
      <c r="Q323">
        <f t="shared" si="31"/>
        <v>69.434250000000006</v>
      </c>
    </row>
    <row r="324" spans="1:17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 s="12">
        <v>68.284999999999997</v>
      </c>
      <c r="I324">
        <f t="shared" si="32"/>
        <v>6.83</v>
      </c>
      <c r="J324">
        <f t="shared" si="33"/>
        <v>0.239001397</v>
      </c>
      <c r="K324">
        <f t="shared" si="34"/>
        <v>5.5</v>
      </c>
      <c r="L324">
        <f t="shared" si="35"/>
        <v>12.569001397000001</v>
      </c>
      <c r="Q324">
        <f t="shared" si="31"/>
        <v>68.284999999999997</v>
      </c>
    </row>
    <row r="325" spans="1:17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 s="12">
        <v>69.519499999999994</v>
      </c>
      <c r="I325">
        <f t="shared" si="32"/>
        <v>6.83</v>
      </c>
      <c r="J325">
        <f t="shared" si="33"/>
        <v>0.239001397</v>
      </c>
      <c r="K325">
        <f t="shared" si="34"/>
        <v>5.5</v>
      </c>
      <c r="L325">
        <f t="shared" si="35"/>
        <v>12.569001397000001</v>
      </c>
      <c r="Q325">
        <f t="shared" si="31"/>
        <v>69.519499999999994</v>
      </c>
    </row>
    <row r="326" spans="1:17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 s="12">
        <v>69.006500000000003</v>
      </c>
      <c r="I326">
        <f t="shared" si="32"/>
        <v>6.83</v>
      </c>
      <c r="J326">
        <f t="shared" si="33"/>
        <v>0.239001397</v>
      </c>
      <c r="K326">
        <f t="shared" si="34"/>
        <v>5.5</v>
      </c>
      <c r="L326">
        <f t="shared" si="35"/>
        <v>12.569001397000001</v>
      </c>
      <c r="Q326">
        <f t="shared" si="31"/>
        <v>69.006500000000003</v>
      </c>
    </row>
    <row r="327" spans="1:17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 s="12">
        <v>70.947000000000003</v>
      </c>
      <c r="I327">
        <f t="shared" si="32"/>
        <v>6.83</v>
      </c>
      <c r="J327">
        <f t="shared" si="33"/>
        <v>0.239001397</v>
      </c>
      <c r="K327">
        <f t="shared" si="34"/>
        <v>5.5</v>
      </c>
      <c r="L327">
        <f t="shared" si="35"/>
        <v>12.569001397000001</v>
      </c>
      <c r="Q327">
        <f t="shared" si="31"/>
        <v>70.947000000000003</v>
      </c>
    </row>
    <row r="328" spans="1:17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 s="12">
        <v>71.025750000000002</v>
      </c>
      <c r="I328">
        <f t="shared" si="32"/>
        <v>6.83</v>
      </c>
      <c r="J328">
        <f t="shared" si="33"/>
        <v>0.239001397</v>
      </c>
      <c r="K328">
        <f t="shared" si="34"/>
        <v>5.5</v>
      </c>
      <c r="L328">
        <f t="shared" si="35"/>
        <v>12.569001397000001</v>
      </c>
      <c r="Q328">
        <f t="shared" si="31"/>
        <v>71.025750000000002</v>
      </c>
    </row>
    <row r="329" spans="1:17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 s="12">
        <v>71.959249999999997</v>
      </c>
      <c r="I329">
        <f t="shared" si="32"/>
        <v>6.83</v>
      </c>
      <c r="J329">
        <f t="shared" si="33"/>
        <v>0.239001397</v>
      </c>
      <c r="K329">
        <f t="shared" si="34"/>
        <v>5.5</v>
      </c>
      <c r="L329">
        <f t="shared" si="35"/>
        <v>12.569001397000001</v>
      </c>
      <c r="Q329">
        <f t="shared" si="31"/>
        <v>71.959249999999997</v>
      </c>
    </row>
    <row r="330" spans="1:17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 s="12">
        <v>67.175250000000005</v>
      </c>
      <c r="I330">
        <f t="shared" si="32"/>
        <v>6.83</v>
      </c>
      <c r="J330">
        <f t="shared" si="33"/>
        <v>0.239001397</v>
      </c>
      <c r="K330">
        <f t="shared" si="34"/>
        <v>5.5</v>
      </c>
      <c r="L330">
        <f t="shared" si="35"/>
        <v>12.569001397000001</v>
      </c>
      <c r="Q330">
        <f t="shared" si="31"/>
        <v>67.175250000000005</v>
      </c>
    </row>
    <row r="331" spans="1:17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 s="12">
        <v>68.65325</v>
      </c>
      <c r="I331">
        <f t="shared" si="32"/>
        <v>6.83</v>
      </c>
      <c r="J331">
        <f t="shared" si="33"/>
        <v>0.239001397</v>
      </c>
      <c r="K331">
        <f t="shared" si="34"/>
        <v>5.5</v>
      </c>
      <c r="L331">
        <f t="shared" si="35"/>
        <v>12.569001397000001</v>
      </c>
      <c r="Q331">
        <f t="shared" si="31"/>
        <v>68.65325</v>
      </c>
    </row>
    <row r="332" spans="1:17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 s="12">
        <v>68.779750000000007</v>
      </c>
      <c r="I332">
        <f t="shared" si="32"/>
        <v>6.83</v>
      </c>
      <c r="J332">
        <f t="shared" si="33"/>
        <v>0.239001397</v>
      </c>
      <c r="K332">
        <f t="shared" si="34"/>
        <v>5.5</v>
      </c>
      <c r="L332">
        <f t="shared" si="35"/>
        <v>12.569001397000001</v>
      </c>
      <c r="Q332">
        <f t="shared" si="31"/>
        <v>68.779750000000007</v>
      </c>
    </row>
    <row r="333" spans="1:17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 s="12">
        <v>67.592250000000007</v>
      </c>
      <c r="I333">
        <f t="shared" si="32"/>
        <v>7.83</v>
      </c>
      <c r="J333">
        <f t="shared" si="33"/>
        <v>0.24957011999999956</v>
      </c>
      <c r="K333">
        <f t="shared" si="34"/>
        <v>5.6000000000000014</v>
      </c>
      <c r="L333">
        <f t="shared" si="35"/>
        <v>13.679570120000001</v>
      </c>
      <c r="Q333">
        <f t="shared" si="31"/>
        <v>67.592250000000007</v>
      </c>
    </row>
    <row r="334" spans="1:17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 s="12">
        <v>67.016000000000005</v>
      </c>
      <c r="I334">
        <f t="shared" si="32"/>
        <v>7.83</v>
      </c>
      <c r="J334">
        <f t="shared" si="33"/>
        <v>0.24957011999999956</v>
      </c>
      <c r="K334">
        <f t="shared" si="34"/>
        <v>5.6000000000000014</v>
      </c>
      <c r="L334">
        <f t="shared" si="35"/>
        <v>13.679570120000001</v>
      </c>
      <c r="Q334">
        <f t="shared" si="31"/>
        <v>67.016000000000005</v>
      </c>
    </row>
    <row r="335" spans="1:17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 s="12">
        <v>79.293750000000003</v>
      </c>
      <c r="I335">
        <f t="shared" si="32"/>
        <v>7.83</v>
      </c>
      <c r="J335">
        <f t="shared" si="33"/>
        <v>0.24957011999999956</v>
      </c>
      <c r="K335">
        <f t="shared" si="34"/>
        <v>5.6000000000000014</v>
      </c>
      <c r="L335">
        <f t="shared" si="35"/>
        <v>13.679570120000001</v>
      </c>
      <c r="Q335">
        <f t="shared" si="31"/>
        <v>79.293750000000003</v>
      </c>
    </row>
    <row r="336" spans="1:17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 s="12">
        <v>68.154499999999999</v>
      </c>
      <c r="I336">
        <f t="shared" si="32"/>
        <v>7.83</v>
      </c>
      <c r="J336">
        <f t="shared" si="33"/>
        <v>0.24957011999999956</v>
      </c>
      <c r="K336">
        <f t="shared" si="34"/>
        <v>5.6000000000000014</v>
      </c>
      <c r="L336">
        <f t="shared" si="35"/>
        <v>13.679570120000001</v>
      </c>
      <c r="Q336">
        <f t="shared" si="31"/>
        <v>68.154499999999999</v>
      </c>
    </row>
    <row r="337" spans="1:17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 s="12">
        <v>67.481999999999999</v>
      </c>
      <c r="I337">
        <f t="shared" si="32"/>
        <v>7.83</v>
      </c>
      <c r="J337">
        <f t="shared" si="33"/>
        <v>0.24957011999999956</v>
      </c>
      <c r="K337">
        <f t="shared" si="34"/>
        <v>5.6000000000000014</v>
      </c>
      <c r="L337">
        <f t="shared" si="35"/>
        <v>13.679570120000001</v>
      </c>
      <c r="Q337">
        <f t="shared" si="31"/>
        <v>67.481999999999999</v>
      </c>
    </row>
    <row r="338" spans="1:17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 s="12">
        <v>61.647999999999996</v>
      </c>
      <c r="I338">
        <f t="shared" si="32"/>
        <v>7.83</v>
      </c>
      <c r="J338">
        <f t="shared" si="33"/>
        <v>0.24957011999999956</v>
      </c>
      <c r="K338">
        <f t="shared" si="34"/>
        <v>5.6000000000000014</v>
      </c>
      <c r="L338">
        <f t="shared" si="35"/>
        <v>13.679570120000001</v>
      </c>
      <c r="Q338">
        <f t="shared" si="31"/>
        <v>61.647999999999996</v>
      </c>
    </row>
    <row r="339" spans="1:17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 s="12">
        <v>71.407749999999993</v>
      </c>
      <c r="I339">
        <f t="shared" si="32"/>
        <v>7.83</v>
      </c>
      <c r="J339">
        <f t="shared" si="33"/>
        <v>0.24957011999999956</v>
      </c>
      <c r="K339">
        <f t="shared" si="34"/>
        <v>5.6000000000000014</v>
      </c>
      <c r="L339">
        <f t="shared" si="35"/>
        <v>13.679570120000001</v>
      </c>
      <c r="Q339">
        <f t="shared" si="31"/>
        <v>71.407749999999993</v>
      </c>
    </row>
    <row r="340" spans="1:17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 s="12">
        <v>64.258499999999998</v>
      </c>
      <c r="I340">
        <f t="shared" si="32"/>
        <v>7.83</v>
      </c>
      <c r="J340">
        <f t="shared" si="33"/>
        <v>0.24957011999999956</v>
      </c>
      <c r="K340">
        <f t="shared" si="34"/>
        <v>5.6000000000000014</v>
      </c>
      <c r="L340">
        <f t="shared" si="35"/>
        <v>13.679570120000001</v>
      </c>
      <c r="Q340">
        <f t="shared" si="31"/>
        <v>64.258499999999998</v>
      </c>
    </row>
    <row r="343" spans="1:17" x14ac:dyDescent="0.2">
      <c r="A343" t="s">
        <v>12</v>
      </c>
      <c r="F343">
        <f>MAX(F2:F340)</f>
        <v>83.333250000000007</v>
      </c>
      <c r="G343" s="11">
        <f>MAX(G2:G340)</f>
        <v>83.333250000000007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ABE9-F520-4E69-83EF-F91EA479146C}">
  <dimension ref="A1:U343"/>
  <sheetViews>
    <sheetView topLeftCell="F1" zoomScale="110" workbookViewId="0">
      <selection activeCell="N1" sqref="N1:P1"/>
    </sheetView>
  </sheetViews>
  <sheetFormatPr baseColWidth="10" defaultColWidth="8.83203125" defaultRowHeight="15" x14ac:dyDescent="0.2"/>
  <sheetData>
    <row r="1" spans="1:21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5</v>
      </c>
      <c r="I1" s="9" t="s">
        <v>13</v>
      </c>
      <c r="J1" s="9" t="s">
        <v>14</v>
      </c>
      <c r="K1" s="9" t="s">
        <v>15</v>
      </c>
      <c r="L1" s="9" t="s">
        <v>19</v>
      </c>
      <c r="N1" s="9" t="s">
        <v>23</v>
      </c>
      <c r="O1" s="9" t="s">
        <v>24</v>
      </c>
      <c r="P1" s="9" t="s">
        <v>25</v>
      </c>
      <c r="Q1" s="9" t="s">
        <v>26</v>
      </c>
      <c r="T1" s="9" t="s">
        <v>16</v>
      </c>
    </row>
    <row r="2" spans="1:21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 s="1">
        <v>72.665999999999997</v>
      </c>
      <c r="I2">
        <f>(E2-0.17)*$U$2</f>
        <v>6.9999999999999958E-3</v>
      </c>
      <c r="J2">
        <f>(8-D2)*$U$4</f>
        <v>0.50145796335908344</v>
      </c>
      <c r="K2">
        <f>(C2-20)*$U$3</f>
        <v>-0.30000000000000071</v>
      </c>
      <c r="L2">
        <f>SUM(I2:K2)</f>
        <v>0.20845796335908273</v>
      </c>
      <c r="N2">
        <f t="shared" ref="N2:N33" si="0">G2</f>
        <v>72.665999999999997</v>
      </c>
      <c r="T2" t="s">
        <v>17</v>
      </c>
      <c r="U2">
        <v>0.35</v>
      </c>
    </row>
    <row r="3" spans="1:21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 s="1">
        <v>76.6875</v>
      </c>
      <c r="I3">
        <f t="shared" ref="I3:I66" si="1">(E3-0.17)*$U$2</f>
        <v>6.9999999999999958E-3</v>
      </c>
      <c r="J3">
        <f t="shared" ref="J3:J66" si="2">(8-D3)*$U$4</f>
        <v>0.50145796335908344</v>
      </c>
      <c r="K3">
        <f t="shared" ref="K3:K66" si="3">(C3-20)*$U$3</f>
        <v>-0.30000000000000071</v>
      </c>
      <c r="L3">
        <f t="shared" ref="L3:L66" si="4">SUM(I3:K3)</f>
        <v>0.20845796335908273</v>
      </c>
      <c r="N3">
        <f t="shared" si="0"/>
        <v>76.6875</v>
      </c>
      <c r="T3" t="s">
        <v>18</v>
      </c>
      <c r="U3">
        <v>1</v>
      </c>
    </row>
    <row r="4" spans="1:21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 s="1">
        <v>69.563249999999996</v>
      </c>
      <c r="I4">
        <f t="shared" si="1"/>
        <v>6.9999999999999958E-3</v>
      </c>
      <c r="J4">
        <f t="shared" si="2"/>
        <v>0.50145796335908344</v>
      </c>
      <c r="K4">
        <f t="shared" si="3"/>
        <v>-0.30000000000000071</v>
      </c>
      <c r="L4">
        <f t="shared" si="4"/>
        <v>0.20845796335908273</v>
      </c>
      <c r="N4">
        <f t="shared" si="0"/>
        <v>69.563249999999996</v>
      </c>
      <c r="T4" t="s">
        <v>8</v>
      </c>
      <c r="U4">
        <v>28</v>
      </c>
    </row>
    <row r="5" spans="1:21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 s="1">
        <v>66.738500000000002</v>
      </c>
      <c r="I5">
        <f t="shared" si="1"/>
        <v>6.9999999999999958E-3</v>
      </c>
      <c r="J5">
        <f t="shared" si="2"/>
        <v>0.50145796335908344</v>
      </c>
      <c r="K5">
        <f t="shared" si="3"/>
        <v>-0.30000000000000071</v>
      </c>
      <c r="L5">
        <f t="shared" si="4"/>
        <v>0.20845796335908273</v>
      </c>
      <c r="N5">
        <f t="shared" si="0"/>
        <v>66.738500000000002</v>
      </c>
      <c r="U5" t="s">
        <v>20</v>
      </c>
    </row>
    <row r="6" spans="1:21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 s="1">
        <v>81.515000000000001</v>
      </c>
      <c r="I6">
        <f t="shared" si="1"/>
        <v>6.9999999999999958E-3</v>
      </c>
      <c r="J6">
        <f t="shared" si="2"/>
        <v>0.50145796335908344</v>
      </c>
      <c r="K6">
        <f t="shared" si="3"/>
        <v>-0.30000000000000071</v>
      </c>
      <c r="L6">
        <f t="shared" si="4"/>
        <v>0.20845796335908273</v>
      </c>
      <c r="N6">
        <f t="shared" si="0"/>
        <v>81.515000000000001</v>
      </c>
    </row>
    <row r="7" spans="1:21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 s="1">
        <v>69.140249999999995</v>
      </c>
      <c r="I7">
        <f t="shared" si="1"/>
        <v>6.9999999999999958E-3</v>
      </c>
      <c r="J7">
        <f t="shared" si="2"/>
        <v>0.50145796335908344</v>
      </c>
      <c r="K7">
        <f t="shared" si="3"/>
        <v>-0.30000000000000071</v>
      </c>
      <c r="L7">
        <f t="shared" si="4"/>
        <v>0.20845796335908273</v>
      </c>
      <c r="N7">
        <f t="shared" si="0"/>
        <v>69.140249999999995</v>
      </c>
    </row>
    <row r="8" spans="1:21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 s="1">
        <v>73.923500000000004</v>
      </c>
      <c r="I8">
        <f t="shared" si="1"/>
        <v>6.9999999999999958E-3</v>
      </c>
      <c r="J8">
        <f t="shared" si="2"/>
        <v>0.50145796335908344</v>
      </c>
      <c r="K8">
        <f t="shared" si="3"/>
        <v>-0.30000000000000071</v>
      </c>
      <c r="L8">
        <f t="shared" si="4"/>
        <v>0.20845796335908273</v>
      </c>
      <c r="N8">
        <f t="shared" si="0"/>
        <v>73.923500000000004</v>
      </c>
    </row>
    <row r="9" spans="1:21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 s="1">
        <v>80.172749999999994</v>
      </c>
      <c r="I9">
        <f t="shared" si="1"/>
        <v>6.9999999999999958E-3</v>
      </c>
      <c r="J9">
        <f t="shared" si="2"/>
        <v>0.50145796335908344</v>
      </c>
      <c r="K9">
        <f t="shared" si="3"/>
        <v>-0.30000000000000071</v>
      </c>
      <c r="L9">
        <f t="shared" si="4"/>
        <v>0.20845796335908273</v>
      </c>
      <c r="N9">
        <f t="shared" si="0"/>
        <v>80.172749999999994</v>
      </c>
    </row>
    <row r="10" spans="1:21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 s="1">
        <v>70.266249999999999</v>
      </c>
      <c r="I10">
        <f t="shared" si="1"/>
        <v>6.9999999999999958E-3</v>
      </c>
      <c r="J10">
        <f t="shared" si="2"/>
        <v>0.50145796335908344</v>
      </c>
      <c r="K10">
        <f t="shared" si="3"/>
        <v>-0.30000000000000071</v>
      </c>
      <c r="L10">
        <f t="shared" si="4"/>
        <v>0.20845796335908273</v>
      </c>
      <c r="N10">
        <f t="shared" si="0"/>
        <v>70.266249999999999</v>
      </c>
    </row>
    <row r="11" spans="1:21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 s="1">
        <v>82.92</v>
      </c>
      <c r="I11">
        <f t="shared" si="1"/>
        <v>6.9999999999999958E-3</v>
      </c>
      <c r="J11">
        <f t="shared" si="2"/>
        <v>0.50145796335908344</v>
      </c>
      <c r="K11">
        <f t="shared" si="3"/>
        <v>-0.30000000000000071</v>
      </c>
      <c r="L11">
        <f t="shared" si="4"/>
        <v>0.20845796335908273</v>
      </c>
      <c r="N11">
        <f t="shared" si="0"/>
        <v>82.92</v>
      </c>
    </row>
    <row r="12" spans="1:21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 s="1">
        <v>69.458749999999995</v>
      </c>
      <c r="I12">
        <f t="shared" si="1"/>
        <v>6.9999999999999958E-3</v>
      </c>
      <c r="J12">
        <f t="shared" si="2"/>
        <v>0.50145796335908344</v>
      </c>
      <c r="K12">
        <f t="shared" si="3"/>
        <v>-0.30000000000000071</v>
      </c>
      <c r="L12">
        <f t="shared" si="4"/>
        <v>0.20845796335908273</v>
      </c>
      <c r="N12">
        <f t="shared" si="0"/>
        <v>69.458749999999995</v>
      </c>
    </row>
    <row r="13" spans="1:21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 s="1">
        <v>73.944749999999999</v>
      </c>
      <c r="I13">
        <f t="shared" si="1"/>
        <v>6.9999999999999958E-3</v>
      </c>
      <c r="J13">
        <f t="shared" si="2"/>
        <v>0.50145796335908344</v>
      </c>
      <c r="K13">
        <f t="shared" si="3"/>
        <v>-0.30000000000000071</v>
      </c>
      <c r="L13">
        <f t="shared" si="4"/>
        <v>0.20845796335908273</v>
      </c>
      <c r="N13">
        <f t="shared" si="0"/>
        <v>73.944749999999999</v>
      </c>
    </row>
    <row r="14" spans="1:21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 s="1">
        <v>78.923249999999996</v>
      </c>
      <c r="I14">
        <f t="shared" si="1"/>
        <v>6.9999999999999958E-3</v>
      </c>
      <c r="J14">
        <f t="shared" si="2"/>
        <v>0.50145796335908344</v>
      </c>
      <c r="K14">
        <f t="shared" si="3"/>
        <v>-0.30000000000000071</v>
      </c>
      <c r="L14">
        <f t="shared" si="4"/>
        <v>0.20845796335908273</v>
      </c>
      <c r="N14">
        <f t="shared" si="0"/>
        <v>78.923249999999996</v>
      </c>
    </row>
    <row r="15" spans="1:21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 s="1">
        <v>81.489999999999995</v>
      </c>
      <c r="I15">
        <f t="shared" si="1"/>
        <v>6.9999999999999958E-3</v>
      </c>
      <c r="J15">
        <f t="shared" si="2"/>
        <v>0.50145796335908344</v>
      </c>
      <c r="K15">
        <f t="shared" si="3"/>
        <v>-0.30000000000000071</v>
      </c>
      <c r="L15">
        <f t="shared" si="4"/>
        <v>0.20845796335908273</v>
      </c>
      <c r="N15">
        <f t="shared" si="0"/>
        <v>81.489999999999995</v>
      </c>
    </row>
    <row r="16" spans="1:21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 s="1">
        <v>77.010999999999996</v>
      </c>
      <c r="I16">
        <f t="shared" si="1"/>
        <v>6.9999999999999958E-3</v>
      </c>
      <c r="J16">
        <f t="shared" si="2"/>
        <v>0.50145796335908344</v>
      </c>
      <c r="K16">
        <f t="shared" si="3"/>
        <v>-0.30000000000000071</v>
      </c>
      <c r="L16">
        <f t="shared" si="4"/>
        <v>0.20845796335908273</v>
      </c>
      <c r="N16">
        <f t="shared" si="0"/>
        <v>77.010999999999996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 s="1">
        <v>73.716999999999999</v>
      </c>
      <c r="I17">
        <f t="shared" si="1"/>
        <v>6.9999999999999958E-3</v>
      </c>
      <c r="J17">
        <f t="shared" si="2"/>
        <v>0.50145796335908344</v>
      </c>
      <c r="K17">
        <f t="shared" si="3"/>
        <v>-0.30000000000000071</v>
      </c>
      <c r="L17">
        <f t="shared" si="4"/>
        <v>0.20845796335908273</v>
      </c>
      <c r="N17">
        <f t="shared" si="0"/>
        <v>73.716999999999999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 s="1">
        <v>68.298500000000004</v>
      </c>
      <c r="I18">
        <f t="shared" si="1"/>
        <v>6.9999999999999958E-3</v>
      </c>
      <c r="J18">
        <f t="shared" si="2"/>
        <v>0.50145796335908344</v>
      </c>
      <c r="K18">
        <f t="shared" si="3"/>
        <v>-0.30000000000000071</v>
      </c>
      <c r="L18">
        <f t="shared" si="4"/>
        <v>0.20845796335908273</v>
      </c>
      <c r="N18">
        <f t="shared" si="0"/>
        <v>68.298500000000004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 s="1">
        <v>81.363249999999994</v>
      </c>
      <c r="I19">
        <f t="shared" si="1"/>
        <v>6.9999999999999958E-3</v>
      </c>
      <c r="J19">
        <f t="shared" si="2"/>
        <v>0.50145796335908344</v>
      </c>
      <c r="K19">
        <f t="shared" si="3"/>
        <v>-0.30000000000000071</v>
      </c>
      <c r="L19">
        <f t="shared" si="4"/>
        <v>0.20845796335908273</v>
      </c>
      <c r="N19">
        <f t="shared" si="0"/>
        <v>81.363249999999994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 s="1">
        <v>67.977500000000006</v>
      </c>
      <c r="I20">
        <f t="shared" si="1"/>
        <v>6.9999999999999958E-3</v>
      </c>
      <c r="J20">
        <f t="shared" si="2"/>
        <v>0.50145796335908344</v>
      </c>
      <c r="K20">
        <f t="shared" si="3"/>
        <v>-0.30000000000000071</v>
      </c>
      <c r="L20">
        <f t="shared" si="4"/>
        <v>0.20845796335908273</v>
      </c>
      <c r="N20">
        <f t="shared" si="0"/>
        <v>67.977500000000006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 s="1">
        <v>65.9285</v>
      </c>
      <c r="I21">
        <f t="shared" si="1"/>
        <v>6.9999999999999958E-3</v>
      </c>
      <c r="J21">
        <f t="shared" si="2"/>
        <v>0.50145796335908344</v>
      </c>
      <c r="K21">
        <f t="shared" si="3"/>
        <v>-0.30000000000000071</v>
      </c>
      <c r="L21">
        <f t="shared" si="4"/>
        <v>0.20845796335908273</v>
      </c>
      <c r="N21">
        <f t="shared" si="0"/>
        <v>65.9285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 s="1">
        <v>71.902500000000003</v>
      </c>
      <c r="I22">
        <f t="shared" si="1"/>
        <v>0.99049999999999994</v>
      </c>
      <c r="J22">
        <f t="shared" si="2"/>
        <v>0.28305141215483332</v>
      </c>
      <c r="K22">
        <f t="shared" si="3"/>
        <v>-0.30000000000000071</v>
      </c>
      <c r="L22">
        <f t="shared" si="4"/>
        <v>0.97355141215483254</v>
      </c>
      <c r="N22">
        <f t="shared" si="0"/>
        <v>71.902500000000003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 s="1">
        <v>67.558750000000003</v>
      </c>
      <c r="I23">
        <f t="shared" si="1"/>
        <v>0.99049999999999994</v>
      </c>
      <c r="J23">
        <f t="shared" si="2"/>
        <v>0.28305141215483332</v>
      </c>
      <c r="K23">
        <f t="shared" si="3"/>
        <v>-0.30000000000000071</v>
      </c>
      <c r="L23">
        <f t="shared" si="4"/>
        <v>0.97355141215483254</v>
      </c>
      <c r="N23">
        <f t="shared" si="0"/>
        <v>67.558750000000003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 s="1">
        <v>72.10275</v>
      </c>
      <c r="I24">
        <f t="shared" si="1"/>
        <v>0.99049999999999994</v>
      </c>
      <c r="J24">
        <f t="shared" si="2"/>
        <v>0.28305141215483332</v>
      </c>
      <c r="K24">
        <f t="shared" si="3"/>
        <v>-0.30000000000000071</v>
      </c>
      <c r="L24">
        <f t="shared" si="4"/>
        <v>0.97355141215483254</v>
      </c>
      <c r="N24">
        <f t="shared" si="0"/>
        <v>72.10275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 s="1">
        <v>68.047250000000005</v>
      </c>
      <c r="I25">
        <f t="shared" si="1"/>
        <v>0.99049999999999994</v>
      </c>
      <c r="J25">
        <f t="shared" si="2"/>
        <v>0.28305141215483332</v>
      </c>
      <c r="K25">
        <f t="shared" si="3"/>
        <v>-0.30000000000000071</v>
      </c>
      <c r="L25">
        <f t="shared" si="4"/>
        <v>0.97355141215483254</v>
      </c>
      <c r="N25">
        <f t="shared" si="0"/>
        <v>68.047250000000005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 s="1">
        <v>69.138000000000005</v>
      </c>
      <c r="I26">
        <f t="shared" si="1"/>
        <v>0.99049999999999994</v>
      </c>
      <c r="J26">
        <f t="shared" si="2"/>
        <v>0.28305141215483332</v>
      </c>
      <c r="K26">
        <f t="shared" si="3"/>
        <v>-0.30000000000000071</v>
      </c>
      <c r="L26">
        <f t="shared" si="4"/>
        <v>0.97355141215483254</v>
      </c>
      <c r="N26">
        <f t="shared" si="0"/>
        <v>69.138000000000005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 s="1">
        <v>75.832250000000002</v>
      </c>
      <c r="I27">
        <f t="shared" si="1"/>
        <v>0.99049999999999994</v>
      </c>
      <c r="J27">
        <f t="shared" si="2"/>
        <v>0.28305141215483332</v>
      </c>
      <c r="K27">
        <f t="shared" si="3"/>
        <v>-0.30000000000000071</v>
      </c>
      <c r="L27">
        <f t="shared" si="4"/>
        <v>0.97355141215483254</v>
      </c>
      <c r="N27">
        <f t="shared" si="0"/>
        <v>75.832250000000002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 s="1">
        <v>67.867249999999999</v>
      </c>
      <c r="I28">
        <f t="shared" si="1"/>
        <v>0.99049999999999994</v>
      </c>
      <c r="J28">
        <f t="shared" si="2"/>
        <v>0.28305141215483332</v>
      </c>
      <c r="K28">
        <f t="shared" si="3"/>
        <v>-0.30000000000000071</v>
      </c>
      <c r="L28">
        <f t="shared" si="4"/>
        <v>0.97355141215483254</v>
      </c>
      <c r="N28">
        <f t="shared" si="0"/>
        <v>67.867249999999999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 s="1">
        <v>73.296999999999997</v>
      </c>
      <c r="I29">
        <f t="shared" si="1"/>
        <v>0.99049999999999994</v>
      </c>
      <c r="J29">
        <f t="shared" si="2"/>
        <v>0.28305141215483332</v>
      </c>
      <c r="K29">
        <f t="shared" si="3"/>
        <v>-0.30000000000000071</v>
      </c>
      <c r="L29">
        <f t="shared" si="4"/>
        <v>0.97355141215483254</v>
      </c>
      <c r="N29">
        <f t="shared" si="0"/>
        <v>73.296999999999997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 s="1">
        <v>69.992249999999999</v>
      </c>
      <c r="I30">
        <f t="shared" si="1"/>
        <v>0.99049999999999994</v>
      </c>
      <c r="J30">
        <f t="shared" si="2"/>
        <v>0.28305141215483332</v>
      </c>
      <c r="K30">
        <f t="shared" si="3"/>
        <v>-0.30000000000000071</v>
      </c>
      <c r="L30">
        <f t="shared" si="4"/>
        <v>0.97355141215483254</v>
      </c>
      <c r="N30">
        <f t="shared" si="0"/>
        <v>69.992249999999999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 s="1">
        <v>77.667249999999996</v>
      </c>
      <c r="I31">
        <f t="shared" si="1"/>
        <v>0.99049999999999994</v>
      </c>
      <c r="J31">
        <f t="shared" si="2"/>
        <v>0.28305141215483332</v>
      </c>
      <c r="K31">
        <f t="shared" si="3"/>
        <v>-0.30000000000000071</v>
      </c>
      <c r="L31">
        <f t="shared" si="4"/>
        <v>0.97355141215483254</v>
      </c>
      <c r="N31">
        <f t="shared" si="0"/>
        <v>77.667249999999996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 s="1">
        <v>73.642250000000004</v>
      </c>
      <c r="I32">
        <f t="shared" si="1"/>
        <v>0.99049999999999994</v>
      </c>
      <c r="J32">
        <f t="shared" si="2"/>
        <v>0.28305141215483332</v>
      </c>
      <c r="K32">
        <f t="shared" si="3"/>
        <v>-0.30000000000000071</v>
      </c>
      <c r="L32">
        <f t="shared" si="4"/>
        <v>0.97355141215483254</v>
      </c>
      <c r="N32">
        <f t="shared" si="0"/>
        <v>73.642250000000004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 s="1">
        <v>78.064750000000004</v>
      </c>
      <c r="I33">
        <f t="shared" si="1"/>
        <v>0.99049999999999994</v>
      </c>
      <c r="J33">
        <f t="shared" si="2"/>
        <v>0.28305141215483332</v>
      </c>
      <c r="K33">
        <f t="shared" si="3"/>
        <v>-0.30000000000000071</v>
      </c>
      <c r="L33">
        <f t="shared" si="4"/>
        <v>0.97355141215483254</v>
      </c>
      <c r="N33">
        <f t="shared" si="0"/>
        <v>78.064750000000004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 s="1">
        <v>77.946250000000006</v>
      </c>
      <c r="I34">
        <f t="shared" si="1"/>
        <v>0.99049999999999994</v>
      </c>
      <c r="J34">
        <f t="shared" si="2"/>
        <v>0.28305141215483332</v>
      </c>
      <c r="K34">
        <f t="shared" si="3"/>
        <v>-0.30000000000000071</v>
      </c>
      <c r="L34">
        <f t="shared" si="4"/>
        <v>0.97355141215483254</v>
      </c>
      <c r="N34">
        <f t="shared" ref="N34:N65" si="5">G34</f>
        <v>77.946250000000006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 s="1">
        <v>72.652749999999997</v>
      </c>
      <c r="I35">
        <f t="shared" si="1"/>
        <v>0.99049999999999994</v>
      </c>
      <c r="J35">
        <f t="shared" si="2"/>
        <v>0.28305141215483332</v>
      </c>
      <c r="K35">
        <f t="shared" si="3"/>
        <v>-0.30000000000000071</v>
      </c>
      <c r="L35">
        <f t="shared" si="4"/>
        <v>0.97355141215483254</v>
      </c>
      <c r="N35">
        <f t="shared" si="5"/>
        <v>72.652749999999997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 s="1">
        <v>74.101749999999996</v>
      </c>
      <c r="I36">
        <f t="shared" si="1"/>
        <v>2.7404999999999999</v>
      </c>
      <c r="J36">
        <f t="shared" si="2"/>
        <v>0.58266196080932886</v>
      </c>
      <c r="K36">
        <f t="shared" si="3"/>
        <v>-0.30000000000000071</v>
      </c>
      <c r="L36">
        <f t="shared" si="4"/>
        <v>3.0231619608093281</v>
      </c>
      <c r="N36">
        <f t="shared" si="5"/>
        <v>74.101749999999996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 s="1">
        <v>77.573499999999996</v>
      </c>
      <c r="I37">
        <f t="shared" si="1"/>
        <v>2.7404999999999999</v>
      </c>
      <c r="J37">
        <f t="shared" si="2"/>
        <v>0.58266196080932886</v>
      </c>
      <c r="K37">
        <f t="shared" si="3"/>
        <v>-0.30000000000000071</v>
      </c>
      <c r="L37">
        <f t="shared" si="4"/>
        <v>3.0231619608093281</v>
      </c>
      <c r="N37">
        <f t="shared" si="5"/>
        <v>77.573499999999996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 s="1">
        <v>76.248249999999999</v>
      </c>
      <c r="I38">
        <f t="shared" si="1"/>
        <v>2.7404999999999999</v>
      </c>
      <c r="J38">
        <f t="shared" si="2"/>
        <v>0.58266196080932886</v>
      </c>
      <c r="K38">
        <f t="shared" si="3"/>
        <v>-0.30000000000000071</v>
      </c>
      <c r="L38">
        <f t="shared" si="4"/>
        <v>3.0231619608093281</v>
      </c>
      <c r="N38">
        <f t="shared" si="5"/>
        <v>76.248249999999999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 s="1">
        <v>73.350499999999997</v>
      </c>
      <c r="I39">
        <f t="shared" si="1"/>
        <v>2.7404999999999999</v>
      </c>
      <c r="J39">
        <f t="shared" si="2"/>
        <v>0.58266196080932886</v>
      </c>
      <c r="K39">
        <f t="shared" si="3"/>
        <v>-0.30000000000000071</v>
      </c>
      <c r="L39">
        <f t="shared" si="4"/>
        <v>3.0231619608093281</v>
      </c>
      <c r="N39">
        <f t="shared" si="5"/>
        <v>73.350499999999997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 s="1">
        <v>75.473749999999995</v>
      </c>
      <c r="I40">
        <f t="shared" si="1"/>
        <v>2.7404999999999999</v>
      </c>
      <c r="J40">
        <f t="shared" si="2"/>
        <v>0.58266196080932886</v>
      </c>
      <c r="K40">
        <f t="shared" si="3"/>
        <v>-0.30000000000000071</v>
      </c>
      <c r="L40">
        <f t="shared" si="4"/>
        <v>3.0231619608093281</v>
      </c>
      <c r="N40">
        <f t="shared" si="5"/>
        <v>75.473749999999995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 s="1">
        <v>70.245500000000007</v>
      </c>
      <c r="I41">
        <f t="shared" si="1"/>
        <v>2.7404999999999999</v>
      </c>
      <c r="J41">
        <f t="shared" si="2"/>
        <v>0.58266196080932886</v>
      </c>
      <c r="K41">
        <f t="shared" si="3"/>
        <v>-0.30000000000000071</v>
      </c>
      <c r="L41">
        <f t="shared" si="4"/>
        <v>3.0231619608093281</v>
      </c>
      <c r="N41">
        <f t="shared" si="5"/>
        <v>70.245500000000007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 s="1">
        <v>76.742999999999995</v>
      </c>
      <c r="I42">
        <f t="shared" si="1"/>
        <v>2.7404999999999999</v>
      </c>
      <c r="J42">
        <f t="shared" si="2"/>
        <v>0.58266196080932886</v>
      </c>
      <c r="K42">
        <f t="shared" si="3"/>
        <v>-0.30000000000000071</v>
      </c>
      <c r="L42">
        <f t="shared" si="4"/>
        <v>3.0231619608093281</v>
      </c>
      <c r="N42">
        <f t="shared" si="5"/>
        <v>76.742999999999995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 s="1">
        <v>75.751750000000001</v>
      </c>
      <c r="I43">
        <f t="shared" si="1"/>
        <v>2.7404999999999999</v>
      </c>
      <c r="J43">
        <f t="shared" si="2"/>
        <v>0.58266196080932886</v>
      </c>
      <c r="K43">
        <f t="shared" si="3"/>
        <v>-0.30000000000000071</v>
      </c>
      <c r="L43">
        <f t="shared" si="4"/>
        <v>3.0231619608093281</v>
      </c>
      <c r="N43">
        <f t="shared" si="5"/>
        <v>75.751750000000001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 s="1">
        <v>71.84075</v>
      </c>
      <c r="I44">
        <f t="shared" si="1"/>
        <v>2.7404999999999999</v>
      </c>
      <c r="J44">
        <f t="shared" si="2"/>
        <v>0.58266196080932886</v>
      </c>
      <c r="K44">
        <f t="shared" si="3"/>
        <v>-0.30000000000000071</v>
      </c>
      <c r="L44">
        <f t="shared" si="4"/>
        <v>3.0231619608093281</v>
      </c>
      <c r="N44">
        <f t="shared" si="5"/>
        <v>71.84075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 s="1">
        <v>76.287750000000003</v>
      </c>
      <c r="I45">
        <f t="shared" si="1"/>
        <v>2.7404999999999999</v>
      </c>
      <c r="J45">
        <f t="shared" si="2"/>
        <v>0.58266196080932886</v>
      </c>
      <c r="K45">
        <f t="shared" si="3"/>
        <v>-0.30000000000000071</v>
      </c>
      <c r="L45">
        <f t="shared" si="4"/>
        <v>3.0231619608093281</v>
      </c>
      <c r="N45">
        <f t="shared" si="5"/>
        <v>76.287750000000003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 s="1">
        <v>77.219750000000005</v>
      </c>
      <c r="I46">
        <f t="shared" si="1"/>
        <v>2.7404999999999999</v>
      </c>
      <c r="J46">
        <f t="shared" si="2"/>
        <v>0.58266196080932886</v>
      </c>
      <c r="K46">
        <f t="shared" si="3"/>
        <v>-0.30000000000000071</v>
      </c>
      <c r="L46">
        <f t="shared" si="4"/>
        <v>3.0231619608093281</v>
      </c>
      <c r="N46">
        <f t="shared" si="5"/>
        <v>77.219750000000005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 s="1">
        <v>69.163749999999993</v>
      </c>
      <c r="I47">
        <f t="shared" si="1"/>
        <v>2.7404999999999999</v>
      </c>
      <c r="J47">
        <f t="shared" si="2"/>
        <v>0.58266196080932886</v>
      </c>
      <c r="K47">
        <f t="shared" si="3"/>
        <v>-0.30000000000000071</v>
      </c>
      <c r="L47">
        <f t="shared" si="4"/>
        <v>3.0231619608093281</v>
      </c>
      <c r="N47">
        <f t="shared" si="5"/>
        <v>69.163749999999993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 s="1">
        <v>75.228250000000003</v>
      </c>
      <c r="I48">
        <f t="shared" si="1"/>
        <v>4.1404999999999994</v>
      </c>
      <c r="J48">
        <f t="shared" si="2"/>
        <v>0.43985732243822895</v>
      </c>
      <c r="K48">
        <f t="shared" si="3"/>
        <v>-0.30000000000000071</v>
      </c>
      <c r="L48">
        <f t="shared" si="4"/>
        <v>4.2803573224382276</v>
      </c>
      <c r="N48">
        <f t="shared" si="5"/>
        <v>75.228250000000003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 s="1">
        <v>71.296499999999995</v>
      </c>
      <c r="I49">
        <f t="shared" si="1"/>
        <v>4.1404999999999994</v>
      </c>
      <c r="J49">
        <f t="shared" si="2"/>
        <v>0.43985732243822895</v>
      </c>
      <c r="K49">
        <f t="shared" si="3"/>
        <v>-0.30000000000000071</v>
      </c>
      <c r="L49">
        <f t="shared" si="4"/>
        <v>4.2803573224382276</v>
      </c>
      <c r="N49">
        <f t="shared" si="5"/>
        <v>71.296499999999995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 s="1">
        <v>71.164000000000001</v>
      </c>
      <c r="I50">
        <f t="shared" si="1"/>
        <v>4.1404999999999994</v>
      </c>
      <c r="J50">
        <f t="shared" si="2"/>
        <v>0.43985732243822895</v>
      </c>
      <c r="K50">
        <f t="shared" si="3"/>
        <v>-0.30000000000000071</v>
      </c>
      <c r="L50">
        <f t="shared" si="4"/>
        <v>4.2803573224382276</v>
      </c>
      <c r="N50">
        <f t="shared" si="5"/>
        <v>71.164000000000001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 s="1">
        <v>73.168750000000003</v>
      </c>
      <c r="I51">
        <f t="shared" si="1"/>
        <v>4.1404999999999994</v>
      </c>
      <c r="J51">
        <f t="shared" si="2"/>
        <v>0.43985732243822895</v>
      </c>
      <c r="K51">
        <f t="shared" si="3"/>
        <v>-0.30000000000000071</v>
      </c>
      <c r="L51">
        <f t="shared" si="4"/>
        <v>4.2803573224382276</v>
      </c>
      <c r="N51">
        <f t="shared" si="5"/>
        <v>73.168750000000003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 s="1">
        <v>77.060249999999996</v>
      </c>
      <c r="I52">
        <f t="shared" si="1"/>
        <v>4.1404999999999994</v>
      </c>
      <c r="J52">
        <f t="shared" si="2"/>
        <v>0.43985732243822895</v>
      </c>
      <c r="K52">
        <f t="shared" si="3"/>
        <v>-0.30000000000000071</v>
      </c>
      <c r="L52">
        <f t="shared" si="4"/>
        <v>4.2803573224382276</v>
      </c>
      <c r="N52">
        <f t="shared" si="5"/>
        <v>77.060249999999996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 s="1">
        <v>67.301749999999998</v>
      </c>
      <c r="I53">
        <f t="shared" si="1"/>
        <v>4.1404999999999994</v>
      </c>
      <c r="J53">
        <f t="shared" si="2"/>
        <v>0.43985732243822895</v>
      </c>
      <c r="K53">
        <f t="shared" si="3"/>
        <v>-0.30000000000000071</v>
      </c>
      <c r="L53">
        <f t="shared" si="4"/>
        <v>4.2803573224382276</v>
      </c>
      <c r="N53">
        <f t="shared" si="5"/>
        <v>67.301749999999998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 s="1">
        <v>64.227500000000006</v>
      </c>
      <c r="I54">
        <f t="shared" si="1"/>
        <v>4.1404999999999994</v>
      </c>
      <c r="J54">
        <f t="shared" si="2"/>
        <v>0.43985732243822895</v>
      </c>
      <c r="K54">
        <f t="shared" si="3"/>
        <v>-0.30000000000000071</v>
      </c>
      <c r="L54">
        <f t="shared" si="4"/>
        <v>4.2803573224382276</v>
      </c>
      <c r="N54">
        <f t="shared" si="5"/>
        <v>64.227500000000006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 s="1">
        <v>61.954250000000002</v>
      </c>
      <c r="I55">
        <f t="shared" si="1"/>
        <v>4.1404999999999994</v>
      </c>
      <c r="J55">
        <f t="shared" si="2"/>
        <v>0.43985732243822895</v>
      </c>
      <c r="K55">
        <f t="shared" si="3"/>
        <v>-0.30000000000000071</v>
      </c>
      <c r="L55">
        <f t="shared" si="4"/>
        <v>4.2803573224382276</v>
      </c>
      <c r="N55">
        <f t="shared" si="5"/>
        <v>61.954250000000002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 s="1">
        <v>65.525750000000002</v>
      </c>
      <c r="I56">
        <f t="shared" si="1"/>
        <v>4.1404999999999994</v>
      </c>
      <c r="J56">
        <f t="shared" si="2"/>
        <v>0.43985732243822895</v>
      </c>
      <c r="K56">
        <f t="shared" si="3"/>
        <v>-0.30000000000000071</v>
      </c>
      <c r="L56">
        <f t="shared" si="4"/>
        <v>4.2803573224382276</v>
      </c>
      <c r="N56">
        <f t="shared" si="5"/>
        <v>65.525750000000002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 s="1">
        <v>74.906750000000002</v>
      </c>
      <c r="I57">
        <f t="shared" si="1"/>
        <v>4.1404999999999994</v>
      </c>
      <c r="J57">
        <f t="shared" si="2"/>
        <v>0.43985732243822895</v>
      </c>
      <c r="K57">
        <f t="shared" si="3"/>
        <v>-0.30000000000000071</v>
      </c>
      <c r="L57">
        <f t="shared" si="4"/>
        <v>4.2803573224382276</v>
      </c>
      <c r="N57">
        <f t="shared" si="5"/>
        <v>74.906750000000002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 s="1">
        <v>80.564250000000001</v>
      </c>
      <c r="I58">
        <f t="shared" si="1"/>
        <v>4.1404999999999994</v>
      </c>
      <c r="J58">
        <f t="shared" si="2"/>
        <v>0.43985732243822895</v>
      </c>
      <c r="K58">
        <f t="shared" si="3"/>
        <v>-0.30000000000000071</v>
      </c>
      <c r="L58">
        <f t="shared" si="4"/>
        <v>4.2803573224382276</v>
      </c>
      <c r="N58">
        <f t="shared" si="5"/>
        <v>80.564250000000001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 s="1">
        <v>67.590500000000006</v>
      </c>
      <c r="I59">
        <f t="shared" si="1"/>
        <v>4.1404999999999994</v>
      </c>
      <c r="J59">
        <f t="shared" si="2"/>
        <v>0.43985732243822895</v>
      </c>
      <c r="K59">
        <f t="shared" si="3"/>
        <v>-0.30000000000000071</v>
      </c>
      <c r="L59">
        <f t="shared" si="4"/>
        <v>4.2803573224382276</v>
      </c>
      <c r="N59">
        <f t="shared" si="5"/>
        <v>67.590500000000006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 s="1">
        <v>73.180250000000001</v>
      </c>
      <c r="I60">
        <f t="shared" si="1"/>
        <v>4.1404999999999994</v>
      </c>
      <c r="J60">
        <f t="shared" si="2"/>
        <v>0.43985732243822895</v>
      </c>
      <c r="K60">
        <f t="shared" si="3"/>
        <v>-0.30000000000000071</v>
      </c>
      <c r="L60">
        <f t="shared" si="4"/>
        <v>4.2803573224382276</v>
      </c>
      <c r="N60">
        <f t="shared" si="5"/>
        <v>73.180250000000001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 s="1">
        <v>75.034000000000006</v>
      </c>
      <c r="I61">
        <f t="shared" si="1"/>
        <v>4.1404999999999994</v>
      </c>
      <c r="J61">
        <f t="shared" si="2"/>
        <v>0.43985732243822895</v>
      </c>
      <c r="K61">
        <f t="shared" si="3"/>
        <v>-0.30000000000000071</v>
      </c>
      <c r="L61">
        <f t="shared" si="4"/>
        <v>4.2803573224382276</v>
      </c>
      <c r="N61">
        <f t="shared" si="5"/>
        <v>75.034000000000006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 s="1">
        <v>68.441999999999993</v>
      </c>
      <c r="I62">
        <f t="shared" si="1"/>
        <v>7.2904999999999989</v>
      </c>
      <c r="J62">
        <f t="shared" si="2"/>
        <v>-9.2156901541862624E-2</v>
      </c>
      <c r="K62">
        <f t="shared" si="3"/>
        <v>-0.30000000000000071</v>
      </c>
      <c r="L62">
        <f t="shared" si="4"/>
        <v>6.8983430984581355</v>
      </c>
      <c r="N62">
        <f t="shared" si="5"/>
        <v>68.441999999999993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 s="1">
        <v>64.836749999999995</v>
      </c>
      <c r="I63">
        <f t="shared" si="1"/>
        <v>7.2904999999999989</v>
      </c>
      <c r="J63">
        <f t="shared" si="2"/>
        <v>-9.2156901541862624E-2</v>
      </c>
      <c r="K63">
        <f t="shared" si="3"/>
        <v>-0.30000000000000071</v>
      </c>
      <c r="L63">
        <f t="shared" si="4"/>
        <v>6.8983430984581355</v>
      </c>
      <c r="N63">
        <f t="shared" si="5"/>
        <v>64.836749999999995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 s="1">
        <v>66.087000000000003</v>
      </c>
      <c r="I64">
        <f t="shared" si="1"/>
        <v>7.2904999999999989</v>
      </c>
      <c r="J64">
        <f t="shared" si="2"/>
        <v>-9.2156901541862624E-2</v>
      </c>
      <c r="K64">
        <f t="shared" si="3"/>
        <v>-0.30000000000000071</v>
      </c>
      <c r="L64">
        <f t="shared" si="4"/>
        <v>6.8983430984581355</v>
      </c>
      <c r="N64">
        <f t="shared" si="5"/>
        <v>66.087000000000003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 s="1">
        <v>72.808000000000007</v>
      </c>
      <c r="I65">
        <f t="shared" si="1"/>
        <v>7.2904999999999989</v>
      </c>
      <c r="J65">
        <f t="shared" si="2"/>
        <v>-9.2156901541862624E-2</v>
      </c>
      <c r="K65">
        <f t="shared" si="3"/>
        <v>-0.30000000000000071</v>
      </c>
      <c r="L65">
        <f t="shared" si="4"/>
        <v>6.8983430984581355</v>
      </c>
      <c r="N65">
        <f t="shared" si="5"/>
        <v>72.808000000000007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 s="1">
        <v>72.396000000000001</v>
      </c>
      <c r="I66">
        <f t="shared" si="1"/>
        <v>7.2904999999999989</v>
      </c>
      <c r="J66">
        <f t="shared" si="2"/>
        <v>-9.2156901541862624E-2</v>
      </c>
      <c r="K66">
        <f t="shared" si="3"/>
        <v>-0.30000000000000071</v>
      </c>
      <c r="L66">
        <f t="shared" si="4"/>
        <v>6.8983430984581355</v>
      </c>
      <c r="N66">
        <f t="shared" ref="N66:N82" si="6">G66</f>
        <v>72.396000000000001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 s="1">
        <v>69.297250000000005</v>
      </c>
      <c r="I67">
        <f t="shared" ref="I67:I130" si="7">(E67-0.17)*$U$2</f>
        <v>7.2904999999999989</v>
      </c>
      <c r="J67">
        <f t="shared" ref="J67:J130" si="8">(8-D67)*$U$4</f>
        <v>-9.2156901541862624E-2</v>
      </c>
      <c r="K67">
        <f t="shared" ref="K67:K130" si="9">(C67-20)*$U$3</f>
        <v>-0.30000000000000071</v>
      </c>
      <c r="L67">
        <f t="shared" ref="L67:L130" si="10">SUM(I67:K67)</f>
        <v>6.8983430984581355</v>
      </c>
      <c r="N67">
        <f t="shared" si="6"/>
        <v>69.297250000000005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 s="1">
        <v>66.781499999999994</v>
      </c>
      <c r="I68">
        <f t="shared" si="7"/>
        <v>7.2904999999999989</v>
      </c>
      <c r="J68">
        <f t="shared" si="8"/>
        <v>-9.2156901541862624E-2</v>
      </c>
      <c r="K68">
        <f t="shared" si="9"/>
        <v>-0.30000000000000071</v>
      </c>
      <c r="L68">
        <f t="shared" si="10"/>
        <v>6.8983430984581355</v>
      </c>
      <c r="N68">
        <f t="shared" si="6"/>
        <v>66.781499999999994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 s="1">
        <v>66.496750000000006</v>
      </c>
      <c r="I69">
        <f t="shared" si="7"/>
        <v>7.2904999999999989</v>
      </c>
      <c r="J69">
        <f t="shared" si="8"/>
        <v>-9.2156901541862624E-2</v>
      </c>
      <c r="K69">
        <f t="shared" si="9"/>
        <v>-0.30000000000000071</v>
      </c>
      <c r="L69">
        <f t="shared" si="10"/>
        <v>6.8983430984581355</v>
      </c>
      <c r="N69">
        <f t="shared" si="6"/>
        <v>66.496750000000006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 s="1">
        <v>65.281000000000006</v>
      </c>
      <c r="I70">
        <f t="shared" si="7"/>
        <v>7.2904999999999989</v>
      </c>
      <c r="J70">
        <f t="shared" si="8"/>
        <v>-9.2156901541862624E-2</v>
      </c>
      <c r="K70">
        <f t="shared" si="9"/>
        <v>-0.30000000000000071</v>
      </c>
      <c r="L70">
        <f t="shared" si="10"/>
        <v>6.8983430984581355</v>
      </c>
      <c r="N70">
        <f t="shared" si="6"/>
        <v>65.281000000000006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 s="1">
        <v>64.187749999999994</v>
      </c>
      <c r="I71">
        <f t="shared" si="7"/>
        <v>7.2904999999999989</v>
      </c>
      <c r="J71">
        <f t="shared" si="8"/>
        <v>-9.2156901541862624E-2</v>
      </c>
      <c r="K71">
        <f t="shared" si="9"/>
        <v>-0.30000000000000071</v>
      </c>
      <c r="L71">
        <f t="shared" si="10"/>
        <v>6.8983430984581355</v>
      </c>
      <c r="N71">
        <f t="shared" si="6"/>
        <v>64.187749999999994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 s="1">
        <v>65.477249999999998</v>
      </c>
      <c r="I72">
        <f t="shared" si="7"/>
        <v>7.2904999999999989</v>
      </c>
      <c r="J72">
        <f t="shared" si="8"/>
        <v>-9.2156901541862624E-2</v>
      </c>
      <c r="K72">
        <f t="shared" si="9"/>
        <v>-0.30000000000000071</v>
      </c>
      <c r="L72">
        <f t="shared" si="10"/>
        <v>6.8983430984581355</v>
      </c>
      <c r="N72">
        <f t="shared" si="6"/>
        <v>65.477249999999998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 s="1">
        <v>66.047499999999999</v>
      </c>
      <c r="I73">
        <f t="shared" si="7"/>
        <v>7.2904999999999989</v>
      </c>
      <c r="J73">
        <f t="shared" si="8"/>
        <v>-9.2156901541862624E-2</v>
      </c>
      <c r="K73">
        <f t="shared" si="9"/>
        <v>-0.30000000000000071</v>
      </c>
      <c r="L73">
        <f t="shared" si="10"/>
        <v>6.8983430984581355</v>
      </c>
      <c r="N73">
        <f t="shared" si="6"/>
        <v>66.047499999999999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 s="1">
        <v>62.9345</v>
      </c>
      <c r="I74">
        <f t="shared" si="7"/>
        <v>7.2904999999999989</v>
      </c>
      <c r="J74">
        <f t="shared" si="8"/>
        <v>-9.2156901541862624E-2</v>
      </c>
      <c r="K74">
        <f t="shared" si="9"/>
        <v>-0.30000000000000071</v>
      </c>
      <c r="L74">
        <f t="shared" si="10"/>
        <v>6.8983430984581355</v>
      </c>
      <c r="N74">
        <f t="shared" si="6"/>
        <v>62.9345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 s="1">
        <v>62.370000000000005</v>
      </c>
      <c r="I75">
        <f t="shared" si="7"/>
        <v>7.2904999999999989</v>
      </c>
      <c r="J75">
        <f t="shared" si="8"/>
        <v>-9.2156901541862624E-2</v>
      </c>
      <c r="K75">
        <f t="shared" si="9"/>
        <v>-0.30000000000000071</v>
      </c>
      <c r="L75">
        <f t="shared" si="10"/>
        <v>6.8983430984581355</v>
      </c>
      <c r="N75">
        <f t="shared" si="6"/>
        <v>62.370000000000005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 s="1">
        <v>69.628749999999997</v>
      </c>
      <c r="I76">
        <f t="shared" si="7"/>
        <v>7.2904999999999989</v>
      </c>
      <c r="J76">
        <f t="shared" si="8"/>
        <v>-9.2156901541862624E-2</v>
      </c>
      <c r="K76">
        <f t="shared" si="9"/>
        <v>-0.30000000000000071</v>
      </c>
      <c r="L76">
        <f t="shared" si="10"/>
        <v>6.8983430984581355</v>
      </c>
      <c r="N76">
        <f t="shared" si="6"/>
        <v>69.628749999999997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 s="1">
        <v>68.044499999999999</v>
      </c>
      <c r="I77">
        <f t="shared" si="7"/>
        <v>7.2904999999999989</v>
      </c>
      <c r="J77">
        <f t="shared" si="8"/>
        <v>-9.2156901541862624E-2</v>
      </c>
      <c r="K77">
        <f t="shared" si="9"/>
        <v>-0.30000000000000071</v>
      </c>
      <c r="L77">
        <f t="shared" si="10"/>
        <v>6.8983430984581355</v>
      </c>
      <c r="N77">
        <f t="shared" si="6"/>
        <v>68.044499999999999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 s="1">
        <v>68.733500000000006</v>
      </c>
      <c r="I78">
        <f t="shared" si="7"/>
        <v>7.2904999999999989</v>
      </c>
      <c r="J78">
        <f t="shared" si="8"/>
        <v>-9.2156901541862624E-2</v>
      </c>
      <c r="K78">
        <f t="shared" si="9"/>
        <v>-0.30000000000000071</v>
      </c>
      <c r="L78">
        <f t="shared" si="10"/>
        <v>6.8983430984581355</v>
      </c>
      <c r="N78">
        <f t="shared" si="6"/>
        <v>68.733500000000006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 s="1">
        <v>68.153000000000006</v>
      </c>
      <c r="I79">
        <f t="shared" si="7"/>
        <v>7.2904999999999989</v>
      </c>
      <c r="J79">
        <f t="shared" si="8"/>
        <v>-9.2156901541862624E-2</v>
      </c>
      <c r="K79">
        <f t="shared" si="9"/>
        <v>-0.30000000000000071</v>
      </c>
      <c r="L79">
        <f t="shared" si="10"/>
        <v>6.8983430984581355</v>
      </c>
      <c r="N79">
        <f t="shared" si="6"/>
        <v>68.153000000000006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 s="1">
        <v>68.601249999999993</v>
      </c>
      <c r="I80">
        <f t="shared" si="7"/>
        <v>7.2904999999999989</v>
      </c>
      <c r="J80">
        <f t="shared" si="8"/>
        <v>-9.2156901541862624E-2</v>
      </c>
      <c r="K80">
        <f t="shared" si="9"/>
        <v>-0.30000000000000071</v>
      </c>
      <c r="L80">
        <f t="shared" si="10"/>
        <v>6.8983430984581355</v>
      </c>
      <c r="N80">
        <f t="shared" si="6"/>
        <v>68.601249999999993</v>
      </c>
    </row>
    <row r="81" spans="1:15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 s="1">
        <v>62.592749999999995</v>
      </c>
      <c r="I81">
        <f t="shared" si="7"/>
        <v>7.2904999999999989</v>
      </c>
      <c r="J81">
        <f t="shared" si="8"/>
        <v>-9.2156901541862624E-2</v>
      </c>
      <c r="K81">
        <f t="shared" si="9"/>
        <v>-0.30000000000000071</v>
      </c>
      <c r="L81">
        <f t="shared" si="10"/>
        <v>6.8983430984581355</v>
      </c>
      <c r="N81">
        <f t="shared" si="6"/>
        <v>62.592749999999995</v>
      </c>
    </row>
    <row r="82" spans="1:15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 s="1">
        <v>63.495750000000001</v>
      </c>
      <c r="I82">
        <f t="shared" si="7"/>
        <v>7.2904999999999989</v>
      </c>
      <c r="J82">
        <f t="shared" si="8"/>
        <v>-9.2156901541862624E-2</v>
      </c>
      <c r="K82">
        <f t="shared" si="9"/>
        <v>-0.30000000000000071</v>
      </c>
      <c r="L82">
        <f t="shared" si="10"/>
        <v>6.8983430984581355</v>
      </c>
      <c r="N82">
        <f t="shared" si="6"/>
        <v>63.495750000000001</v>
      </c>
    </row>
    <row r="83" spans="1:15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 s="1">
        <v>77.47475</v>
      </c>
      <c r="I83">
        <f t="shared" si="7"/>
        <v>6.9999999999999958E-3</v>
      </c>
      <c r="J83">
        <f t="shared" si="8"/>
        <v>0.35585504129813117</v>
      </c>
      <c r="K83">
        <f t="shared" si="9"/>
        <v>-0.30000000000000071</v>
      </c>
      <c r="L83">
        <f t="shared" si="10"/>
        <v>6.2855041298130465E-2</v>
      </c>
      <c r="O83">
        <f t="shared" ref="O83:O114" si="11">G83</f>
        <v>77.47475</v>
      </c>
    </row>
    <row r="84" spans="1:15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 s="1">
        <v>76.91525</v>
      </c>
      <c r="I84">
        <f t="shared" si="7"/>
        <v>6.9999999999999958E-3</v>
      </c>
      <c r="J84">
        <f t="shared" si="8"/>
        <v>0.35585504129813117</v>
      </c>
      <c r="K84">
        <f t="shared" si="9"/>
        <v>-0.30000000000000071</v>
      </c>
      <c r="L84">
        <f t="shared" si="10"/>
        <v>6.2855041298130465E-2</v>
      </c>
      <c r="O84">
        <f t="shared" si="11"/>
        <v>76.91525</v>
      </c>
    </row>
    <row r="85" spans="1:15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 s="1">
        <v>70.283249999999995</v>
      </c>
      <c r="I85">
        <f t="shared" si="7"/>
        <v>6.9999999999999958E-3</v>
      </c>
      <c r="J85">
        <f t="shared" si="8"/>
        <v>0.35585504129813117</v>
      </c>
      <c r="K85">
        <f t="shared" si="9"/>
        <v>-0.30000000000000071</v>
      </c>
      <c r="L85">
        <f t="shared" si="10"/>
        <v>6.2855041298130465E-2</v>
      </c>
      <c r="O85">
        <f t="shared" si="11"/>
        <v>70.283249999999995</v>
      </c>
    </row>
    <row r="86" spans="1:15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 s="1">
        <v>75.927999999999997</v>
      </c>
      <c r="I86">
        <f t="shared" si="7"/>
        <v>6.9999999999999958E-3</v>
      </c>
      <c r="J86">
        <f t="shared" si="8"/>
        <v>0.35585504129813117</v>
      </c>
      <c r="K86">
        <f t="shared" si="9"/>
        <v>-0.30000000000000071</v>
      </c>
      <c r="L86">
        <f t="shared" si="10"/>
        <v>6.2855041298130465E-2</v>
      </c>
      <c r="O86">
        <f t="shared" si="11"/>
        <v>75.927999999999997</v>
      </c>
    </row>
    <row r="87" spans="1:15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v>70.821749999999994</v>
      </c>
      <c r="I87">
        <f t="shared" si="7"/>
        <v>6.9999999999999958E-3</v>
      </c>
      <c r="J87">
        <f t="shared" si="8"/>
        <v>0.35585504129813117</v>
      </c>
      <c r="K87">
        <f t="shared" si="9"/>
        <v>-0.30000000000000071</v>
      </c>
      <c r="L87">
        <f t="shared" si="10"/>
        <v>6.2855041298130465E-2</v>
      </c>
      <c r="O87">
        <f t="shared" si="11"/>
        <v>70.821749999999994</v>
      </c>
    </row>
    <row r="88" spans="1:15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 s="1">
        <v>66.904499999999999</v>
      </c>
      <c r="I88">
        <f t="shared" si="7"/>
        <v>6.9999999999999958E-3</v>
      </c>
      <c r="J88">
        <f t="shared" si="8"/>
        <v>0.35585504129813117</v>
      </c>
      <c r="K88">
        <f t="shared" si="9"/>
        <v>-0.30000000000000071</v>
      </c>
      <c r="L88">
        <f t="shared" si="10"/>
        <v>6.2855041298130465E-2</v>
      </c>
      <c r="O88">
        <f t="shared" si="11"/>
        <v>66.904499999999999</v>
      </c>
    </row>
    <row r="89" spans="1:15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v>80.048249999999996</v>
      </c>
      <c r="I89">
        <f t="shared" si="7"/>
        <v>6.9999999999999958E-3</v>
      </c>
      <c r="J89">
        <f t="shared" si="8"/>
        <v>0.35585504129813117</v>
      </c>
      <c r="K89">
        <f t="shared" si="9"/>
        <v>-0.30000000000000071</v>
      </c>
      <c r="L89">
        <f t="shared" si="10"/>
        <v>6.2855041298130465E-2</v>
      </c>
      <c r="O89">
        <f t="shared" si="11"/>
        <v>80.048249999999996</v>
      </c>
    </row>
    <row r="90" spans="1:15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v>76.823250000000002</v>
      </c>
      <c r="I90">
        <f t="shared" si="7"/>
        <v>6.9999999999999958E-3</v>
      </c>
      <c r="J90">
        <f t="shared" si="8"/>
        <v>0.35585504129813117</v>
      </c>
      <c r="K90">
        <f t="shared" si="9"/>
        <v>-0.30000000000000071</v>
      </c>
      <c r="L90">
        <f t="shared" si="10"/>
        <v>6.2855041298130465E-2</v>
      </c>
      <c r="O90">
        <f t="shared" si="11"/>
        <v>76.823250000000002</v>
      </c>
    </row>
    <row r="91" spans="1:15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v>64.455500000000001</v>
      </c>
      <c r="I91">
        <f t="shared" si="7"/>
        <v>6.9999999999999958E-3</v>
      </c>
      <c r="J91">
        <f t="shared" si="8"/>
        <v>0.35585504129813117</v>
      </c>
      <c r="K91">
        <f t="shared" si="9"/>
        <v>-0.30000000000000071</v>
      </c>
      <c r="L91">
        <f t="shared" si="10"/>
        <v>6.2855041298130465E-2</v>
      </c>
      <c r="O91">
        <f t="shared" si="11"/>
        <v>64.455500000000001</v>
      </c>
    </row>
    <row r="92" spans="1:15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 s="1">
        <v>68.887249999999995</v>
      </c>
      <c r="I92">
        <f t="shared" si="7"/>
        <v>6.9999999999999958E-3</v>
      </c>
      <c r="J92">
        <f t="shared" si="8"/>
        <v>0.35585504129813117</v>
      </c>
      <c r="K92">
        <f t="shared" si="9"/>
        <v>-0.30000000000000071</v>
      </c>
      <c r="L92">
        <f t="shared" si="10"/>
        <v>6.2855041298130465E-2</v>
      </c>
      <c r="O92">
        <f t="shared" si="11"/>
        <v>68.887249999999995</v>
      </c>
    </row>
    <row r="93" spans="1:15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 s="1">
        <v>76.979500000000002</v>
      </c>
      <c r="I93">
        <f t="shared" si="7"/>
        <v>6.9999999999999958E-3</v>
      </c>
      <c r="J93">
        <f t="shared" si="8"/>
        <v>0.35585504129813117</v>
      </c>
      <c r="K93">
        <f t="shared" si="9"/>
        <v>-0.30000000000000071</v>
      </c>
      <c r="L93">
        <f t="shared" si="10"/>
        <v>6.2855041298130465E-2</v>
      </c>
      <c r="O93">
        <f t="shared" si="11"/>
        <v>76.979500000000002</v>
      </c>
    </row>
    <row r="94" spans="1:15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 s="1">
        <v>73.343249999999998</v>
      </c>
      <c r="I94">
        <f t="shared" si="7"/>
        <v>3.4999999999999931E-3</v>
      </c>
      <c r="J94">
        <f t="shared" si="8"/>
        <v>3.0103579775645528</v>
      </c>
      <c r="K94">
        <f t="shared" si="9"/>
        <v>-0.30000000000000071</v>
      </c>
      <c r="L94">
        <f t="shared" si="10"/>
        <v>2.7138579775645519</v>
      </c>
      <c r="O94">
        <f t="shared" si="11"/>
        <v>73.343249999999998</v>
      </c>
    </row>
    <row r="95" spans="1:15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 s="1">
        <v>75.004499999999993</v>
      </c>
      <c r="I95">
        <f t="shared" si="7"/>
        <v>3.4999999999999931E-3</v>
      </c>
      <c r="J95">
        <f t="shared" si="8"/>
        <v>3.0103579775645528</v>
      </c>
      <c r="K95">
        <f t="shared" si="9"/>
        <v>-0.30000000000000071</v>
      </c>
      <c r="L95">
        <f t="shared" si="10"/>
        <v>2.7138579775645519</v>
      </c>
      <c r="O95">
        <f t="shared" si="11"/>
        <v>75.004499999999993</v>
      </c>
    </row>
    <row r="96" spans="1:15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 s="1">
        <v>81.140500000000003</v>
      </c>
      <c r="I96">
        <f t="shared" si="7"/>
        <v>3.4999999999999931E-3</v>
      </c>
      <c r="J96">
        <f t="shared" si="8"/>
        <v>3.0103579775645528</v>
      </c>
      <c r="K96">
        <f t="shared" si="9"/>
        <v>-0.30000000000000071</v>
      </c>
      <c r="L96">
        <f t="shared" si="10"/>
        <v>2.7138579775645519</v>
      </c>
      <c r="O96">
        <f t="shared" si="11"/>
        <v>81.140500000000003</v>
      </c>
    </row>
    <row r="97" spans="1:15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 s="1">
        <v>73.783500000000004</v>
      </c>
      <c r="I97">
        <f t="shared" si="7"/>
        <v>3.4999999999999931E-3</v>
      </c>
      <c r="J97">
        <f t="shared" si="8"/>
        <v>3.0103579775645528</v>
      </c>
      <c r="K97">
        <f t="shared" si="9"/>
        <v>-0.30000000000000071</v>
      </c>
      <c r="L97">
        <f t="shared" si="10"/>
        <v>2.7138579775645519</v>
      </c>
      <c r="O97">
        <f t="shared" si="11"/>
        <v>73.783500000000004</v>
      </c>
    </row>
    <row r="98" spans="1:15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 s="1">
        <v>70.981499999999997</v>
      </c>
      <c r="I98">
        <f t="shared" si="7"/>
        <v>3.4999999999999931E-3</v>
      </c>
      <c r="J98">
        <f t="shared" si="8"/>
        <v>3.0103579775645528</v>
      </c>
      <c r="K98">
        <f t="shared" si="9"/>
        <v>-0.30000000000000071</v>
      </c>
      <c r="L98">
        <f t="shared" si="10"/>
        <v>2.7138579775645519</v>
      </c>
      <c r="O98">
        <f t="shared" si="11"/>
        <v>70.981499999999997</v>
      </c>
    </row>
    <row r="99" spans="1:15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 s="1">
        <v>73.477249999999998</v>
      </c>
      <c r="I99">
        <f t="shared" si="7"/>
        <v>3.4999999999999931E-3</v>
      </c>
      <c r="J99">
        <f t="shared" si="8"/>
        <v>3.0103579775645528</v>
      </c>
      <c r="K99">
        <f t="shared" si="9"/>
        <v>-0.30000000000000071</v>
      </c>
      <c r="L99">
        <f t="shared" si="10"/>
        <v>2.7138579775645519</v>
      </c>
      <c r="O99">
        <f t="shared" si="11"/>
        <v>73.477249999999998</v>
      </c>
    </row>
    <row r="100" spans="1:15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 s="1">
        <v>76.641999999999996</v>
      </c>
      <c r="I100">
        <f t="shared" si="7"/>
        <v>3.4999999999999931E-3</v>
      </c>
      <c r="J100">
        <f t="shared" si="8"/>
        <v>3.0103579775645528</v>
      </c>
      <c r="K100">
        <f t="shared" si="9"/>
        <v>-0.30000000000000071</v>
      </c>
      <c r="L100">
        <f t="shared" si="10"/>
        <v>2.7138579775645519</v>
      </c>
      <c r="O100">
        <f t="shared" si="11"/>
        <v>76.641999999999996</v>
      </c>
    </row>
    <row r="101" spans="1:15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 s="1">
        <v>71.697000000000003</v>
      </c>
      <c r="I101">
        <f t="shared" si="7"/>
        <v>3.4999999999999931E-3</v>
      </c>
      <c r="J101">
        <f t="shared" si="8"/>
        <v>3.0103579775645528</v>
      </c>
      <c r="K101">
        <f t="shared" si="9"/>
        <v>-0.30000000000000071</v>
      </c>
      <c r="L101">
        <f t="shared" si="10"/>
        <v>2.7138579775645519</v>
      </c>
      <c r="O101">
        <f t="shared" si="11"/>
        <v>71.697000000000003</v>
      </c>
    </row>
    <row r="102" spans="1:15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 s="1">
        <v>75.83175</v>
      </c>
      <c r="I102">
        <f t="shared" si="7"/>
        <v>3.4999999999999931E-3</v>
      </c>
      <c r="J102">
        <f t="shared" si="8"/>
        <v>6.6365695458465197</v>
      </c>
      <c r="K102">
        <f t="shared" si="9"/>
        <v>-0.30000000000000071</v>
      </c>
      <c r="L102">
        <f t="shared" si="10"/>
        <v>6.3400695458465188</v>
      </c>
      <c r="O102">
        <f t="shared" si="11"/>
        <v>75.83175</v>
      </c>
    </row>
    <row r="103" spans="1:15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 s="1">
        <v>77.680750000000003</v>
      </c>
      <c r="I103">
        <f t="shared" si="7"/>
        <v>3.4999999999999931E-3</v>
      </c>
      <c r="J103">
        <f t="shared" si="8"/>
        <v>6.6365695458465197</v>
      </c>
      <c r="K103">
        <f t="shared" si="9"/>
        <v>-0.30000000000000071</v>
      </c>
      <c r="L103">
        <f t="shared" si="10"/>
        <v>6.3400695458465188</v>
      </c>
      <c r="O103">
        <f t="shared" si="11"/>
        <v>77.680750000000003</v>
      </c>
    </row>
    <row r="104" spans="1:15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 s="1">
        <v>72.848249999999993</v>
      </c>
      <c r="I104">
        <f t="shared" si="7"/>
        <v>3.4999999999999931E-3</v>
      </c>
      <c r="J104">
        <f t="shared" si="8"/>
        <v>6.6365695458465197</v>
      </c>
      <c r="K104">
        <f t="shared" si="9"/>
        <v>-0.30000000000000071</v>
      </c>
      <c r="L104">
        <f t="shared" si="10"/>
        <v>6.3400695458465188</v>
      </c>
      <c r="O104">
        <f t="shared" si="11"/>
        <v>72.848249999999993</v>
      </c>
    </row>
    <row r="105" spans="1:15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 s="1">
        <v>76.196749999999994</v>
      </c>
      <c r="I105">
        <f t="shared" si="7"/>
        <v>3.4999999999999931E-3</v>
      </c>
      <c r="J105">
        <f t="shared" si="8"/>
        <v>6.6365695458465197</v>
      </c>
      <c r="K105">
        <f t="shared" si="9"/>
        <v>-0.30000000000000071</v>
      </c>
      <c r="L105">
        <f t="shared" si="10"/>
        <v>6.3400695458465188</v>
      </c>
      <c r="O105">
        <f t="shared" si="11"/>
        <v>76.196749999999994</v>
      </c>
    </row>
    <row r="106" spans="1:15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 s="1">
        <v>72.912000000000006</v>
      </c>
      <c r="I106">
        <f t="shared" si="7"/>
        <v>3.4999999999999931E-3</v>
      </c>
      <c r="J106">
        <f t="shared" si="8"/>
        <v>6.6365695458465197</v>
      </c>
      <c r="K106">
        <f t="shared" si="9"/>
        <v>-0.30000000000000071</v>
      </c>
      <c r="L106">
        <f t="shared" si="10"/>
        <v>6.3400695458465188</v>
      </c>
      <c r="O106">
        <f t="shared" si="11"/>
        <v>72.912000000000006</v>
      </c>
    </row>
    <row r="107" spans="1:15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 s="1">
        <v>74.035250000000005</v>
      </c>
      <c r="I107">
        <f t="shared" si="7"/>
        <v>3.4999999999999931E-3</v>
      </c>
      <c r="J107">
        <f t="shared" si="8"/>
        <v>6.6365695458465197</v>
      </c>
      <c r="K107">
        <f t="shared" si="9"/>
        <v>-0.30000000000000071</v>
      </c>
      <c r="L107">
        <f t="shared" si="10"/>
        <v>6.3400695458465188</v>
      </c>
      <c r="O107">
        <f t="shared" si="11"/>
        <v>74.035250000000005</v>
      </c>
    </row>
    <row r="108" spans="1:15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 s="1">
        <v>78.511250000000004</v>
      </c>
      <c r="I108">
        <f t="shared" si="7"/>
        <v>3.4999999999999931E-3</v>
      </c>
      <c r="J108">
        <f t="shared" si="8"/>
        <v>6.6365695458465197</v>
      </c>
      <c r="K108">
        <f t="shared" si="9"/>
        <v>-0.30000000000000071</v>
      </c>
      <c r="L108">
        <f t="shared" si="10"/>
        <v>6.3400695458465188</v>
      </c>
      <c r="O108">
        <f t="shared" si="11"/>
        <v>78.511250000000004</v>
      </c>
    </row>
    <row r="109" spans="1:15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 s="1">
        <v>78.964500000000001</v>
      </c>
      <c r="I109">
        <f t="shared" si="7"/>
        <v>3.4999999999999931E-3</v>
      </c>
      <c r="J109">
        <f t="shared" si="8"/>
        <v>6.6365695458465197</v>
      </c>
      <c r="K109">
        <f t="shared" si="9"/>
        <v>-0.30000000000000071</v>
      </c>
      <c r="L109">
        <f t="shared" si="10"/>
        <v>6.3400695458465188</v>
      </c>
      <c r="O109">
        <f t="shared" si="11"/>
        <v>78.964500000000001</v>
      </c>
    </row>
    <row r="110" spans="1:15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 s="1">
        <v>75.937250000000006</v>
      </c>
      <c r="I110">
        <f t="shared" si="7"/>
        <v>3.4999999999999931E-3</v>
      </c>
      <c r="J110">
        <f t="shared" si="8"/>
        <v>6.6365695458465197</v>
      </c>
      <c r="K110">
        <f t="shared" si="9"/>
        <v>-0.30000000000000071</v>
      </c>
      <c r="L110">
        <f t="shared" si="10"/>
        <v>6.3400695458465188</v>
      </c>
      <c r="O110">
        <f t="shared" si="11"/>
        <v>75.937250000000006</v>
      </c>
    </row>
    <row r="111" spans="1:15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 s="1">
        <v>76.170500000000004</v>
      </c>
      <c r="I111">
        <f t="shared" si="7"/>
        <v>3.4999999999999931E-3</v>
      </c>
      <c r="J111">
        <f t="shared" si="8"/>
        <v>8.369906071570405</v>
      </c>
      <c r="K111">
        <f t="shared" si="9"/>
        <v>-0.30000000000000071</v>
      </c>
      <c r="L111">
        <f t="shared" si="10"/>
        <v>8.073406071570405</v>
      </c>
      <c r="O111">
        <f t="shared" si="11"/>
        <v>76.170500000000004</v>
      </c>
    </row>
    <row r="112" spans="1:15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 s="1">
        <v>68.457250000000002</v>
      </c>
      <c r="I112">
        <f t="shared" si="7"/>
        <v>3.4999999999999931E-3</v>
      </c>
      <c r="J112">
        <f t="shared" si="8"/>
        <v>8.369906071570405</v>
      </c>
      <c r="K112">
        <f t="shared" si="9"/>
        <v>-0.30000000000000071</v>
      </c>
      <c r="L112">
        <f t="shared" si="10"/>
        <v>8.073406071570405</v>
      </c>
      <c r="O112">
        <f t="shared" si="11"/>
        <v>68.457250000000002</v>
      </c>
    </row>
    <row r="113" spans="1:15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 s="1">
        <v>75.662750000000003</v>
      </c>
      <c r="I113">
        <f t="shared" si="7"/>
        <v>3.4999999999999931E-3</v>
      </c>
      <c r="J113">
        <f t="shared" si="8"/>
        <v>8.369906071570405</v>
      </c>
      <c r="K113">
        <f t="shared" si="9"/>
        <v>-0.30000000000000071</v>
      </c>
      <c r="L113">
        <f t="shared" si="10"/>
        <v>8.073406071570405</v>
      </c>
      <c r="O113">
        <f t="shared" si="11"/>
        <v>75.662750000000003</v>
      </c>
    </row>
    <row r="114" spans="1:15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 s="1">
        <v>64.781000000000006</v>
      </c>
      <c r="I114">
        <f t="shared" si="7"/>
        <v>3.4999999999999931E-3</v>
      </c>
      <c r="J114">
        <f t="shared" si="8"/>
        <v>8.369906071570405</v>
      </c>
      <c r="K114">
        <f t="shared" si="9"/>
        <v>-0.30000000000000071</v>
      </c>
      <c r="L114">
        <f t="shared" si="10"/>
        <v>8.073406071570405</v>
      </c>
      <c r="O114">
        <f t="shared" si="11"/>
        <v>64.781000000000006</v>
      </c>
    </row>
    <row r="115" spans="1:15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 s="1">
        <v>59.510249999999999</v>
      </c>
      <c r="I115">
        <f t="shared" si="7"/>
        <v>3.4999999999999931E-3</v>
      </c>
      <c r="J115">
        <f t="shared" si="8"/>
        <v>8.369906071570405</v>
      </c>
      <c r="K115">
        <f t="shared" si="9"/>
        <v>-0.30000000000000071</v>
      </c>
      <c r="L115">
        <f t="shared" si="10"/>
        <v>8.073406071570405</v>
      </c>
      <c r="O115">
        <f t="shared" ref="O115:O134" si="12">G115</f>
        <v>59.510249999999999</v>
      </c>
    </row>
    <row r="116" spans="1:15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 s="1">
        <v>52.519000000000005</v>
      </c>
      <c r="I116">
        <f t="shared" si="7"/>
        <v>3.4999999999999931E-3</v>
      </c>
      <c r="J116">
        <f t="shared" si="8"/>
        <v>8.369906071570405</v>
      </c>
      <c r="K116">
        <f t="shared" si="9"/>
        <v>-0.30000000000000071</v>
      </c>
      <c r="L116">
        <f t="shared" si="10"/>
        <v>8.073406071570405</v>
      </c>
      <c r="O116">
        <f t="shared" si="12"/>
        <v>52.519000000000005</v>
      </c>
    </row>
    <row r="117" spans="1:15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 s="1">
        <v>53.478250000000003</v>
      </c>
      <c r="I117">
        <f t="shared" si="7"/>
        <v>3.4999999999999931E-3</v>
      </c>
      <c r="J117">
        <f t="shared" si="8"/>
        <v>8.369906071570405</v>
      </c>
      <c r="K117">
        <f t="shared" si="9"/>
        <v>-0.30000000000000071</v>
      </c>
      <c r="L117">
        <f t="shared" si="10"/>
        <v>8.073406071570405</v>
      </c>
      <c r="O117">
        <f t="shared" si="12"/>
        <v>53.478250000000003</v>
      </c>
    </row>
    <row r="118" spans="1:15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 s="1">
        <v>57.674750000000003</v>
      </c>
      <c r="I118">
        <f t="shared" si="7"/>
        <v>3.4999999999999931E-3</v>
      </c>
      <c r="J118">
        <f t="shared" si="8"/>
        <v>8.369906071570405</v>
      </c>
      <c r="K118">
        <f t="shared" si="9"/>
        <v>-0.30000000000000071</v>
      </c>
      <c r="L118">
        <f t="shared" si="10"/>
        <v>8.073406071570405</v>
      </c>
      <c r="O118">
        <f t="shared" si="12"/>
        <v>57.674750000000003</v>
      </c>
    </row>
    <row r="119" spans="1:15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 s="1">
        <v>76.181250000000006</v>
      </c>
      <c r="I119">
        <f t="shared" si="7"/>
        <v>3.4999999999999931E-3</v>
      </c>
      <c r="J119">
        <f t="shared" si="8"/>
        <v>8.369906071570405</v>
      </c>
      <c r="K119">
        <f t="shared" si="9"/>
        <v>-0.30000000000000071</v>
      </c>
      <c r="L119">
        <f t="shared" si="10"/>
        <v>8.073406071570405</v>
      </c>
      <c r="O119">
        <f t="shared" si="12"/>
        <v>76.181250000000006</v>
      </c>
    </row>
    <row r="120" spans="1:15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 s="1">
        <v>73.251249999999999</v>
      </c>
      <c r="I120">
        <f t="shared" si="7"/>
        <v>3.4999999999999931E-3</v>
      </c>
      <c r="J120">
        <f t="shared" si="8"/>
        <v>8.369906071570405</v>
      </c>
      <c r="K120">
        <f t="shared" si="9"/>
        <v>-0.30000000000000071</v>
      </c>
      <c r="L120">
        <f t="shared" si="10"/>
        <v>8.073406071570405</v>
      </c>
      <c r="O120">
        <f t="shared" si="12"/>
        <v>73.251249999999999</v>
      </c>
    </row>
    <row r="121" spans="1:15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 s="1">
        <v>66.178749999999994</v>
      </c>
      <c r="I121">
        <f t="shared" si="7"/>
        <v>0</v>
      </c>
      <c r="J121">
        <f t="shared" si="8"/>
        <v>9.9352472759738824</v>
      </c>
      <c r="K121">
        <f t="shared" si="9"/>
        <v>-0.30000000000000071</v>
      </c>
      <c r="L121">
        <f t="shared" si="10"/>
        <v>9.6352472759738816</v>
      </c>
      <c r="O121">
        <f t="shared" si="12"/>
        <v>66.178749999999994</v>
      </c>
    </row>
    <row r="122" spans="1:15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 s="1">
        <v>68.671999999999997</v>
      </c>
      <c r="I122">
        <f t="shared" si="7"/>
        <v>0</v>
      </c>
      <c r="J122">
        <f t="shared" si="8"/>
        <v>9.9352472759738824</v>
      </c>
      <c r="K122">
        <f t="shared" si="9"/>
        <v>-0.30000000000000071</v>
      </c>
      <c r="L122">
        <f t="shared" si="10"/>
        <v>9.6352472759738816</v>
      </c>
      <c r="O122">
        <f t="shared" si="12"/>
        <v>68.671999999999997</v>
      </c>
    </row>
    <row r="123" spans="1:15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 s="1">
        <v>63.932249999999996</v>
      </c>
      <c r="I123">
        <f t="shared" si="7"/>
        <v>0</v>
      </c>
      <c r="J123">
        <f t="shared" si="8"/>
        <v>9.9352472759738824</v>
      </c>
      <c r="K123">
        <f t="shared" si="9"/>
        <v>-0.30000000000000071</v>
      </c>
      <c r="L123">
        <f t="shared" si="10"/>
        <v>9.6352472759738816</v>
      </c>
      <c r="O123">
        <f t="shared" si="12"/>
        <v>63.932249999999996</v>
      </c>
    </row>
    <row r="124" spans="1:15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 s="1">
        <v>67.418499999999995</v>
      </c>
      <c r="I124">
        <f t="shared" si="7"/>
        <v>0</v>
      </c>
      <c r="J124">
        <f t="shared" si="8"/>
        <v>9.9352472759738824</v>
      </c>
      <c r="K124">
        <f t="shared" si="9"/>
        <v>-0.30000000000000071</v>
      </c>
      <c r="L124">
        <f t="shared" si="10"/>
        <v>9.6352472759738816</v>
      </c>
      <c r="O124">
        <f t="shared" si="12"/>
        <v>67.418499999999995</v>
      </c>
    </row>
    <row r="125" spans="1:15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 s="1">
        <v>60.915499999999994</v>
      </c>
      <c r="I125">
        <f t="shared" si="7"/>
        <v>0</v>
      </c>
      <c r="J125">
        <f t="shared" si="8"/>
        <v>9.9352472759738824</v>
      </c>
      <c r="K125">
        <f t="shared" si="9"/>
        <v>-0.30000000000000071</v>
      </c>
      <c r="L125">
        <f t="shared" si="10"/>
        <v>9.6352472759738816</v>
      </c>
      <c r="O125">
        <f t="shared" si="12"/>
        <v>60.915499999999994</v>
      </c>
    </row>
    <row r="126" spans="1:15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 s="1">
        <v>71.373249999999999</v>
      </c>
      <c r="I126">
        <f t="shared" si="7"/>
        <v>0</v>
      </c>
      <c r="J126">
        <f t="shared" si="8"/>
        <v>9.9352472759738824</v>
      </c>
      <c r="K126">
        <f t="shared" si="9"/>
        <v>-0.30000000000000071</v>
      </c>
      <c r="L126">
        <f t="shared" si="10"/>
        <v>9.6352472759738816</v>
      </c>
      <c r="O126">
        <f t="shared" si="12"/>
        <v>71.373249999999999</v>
      </c>
    </row>
    <row r="127" spans="1:15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 s="1">
        <v>60.248000000000005</v>
      </c>
      <c r="I127">
        <f t="shared" si="7"/>
        <v>0</v>
      </c>
      <c r="J127">
        <f t="shared" si="8"/>
        <v>9.9352472759738824</v>
      </c>
      <c r="K127">
        <f t="shared" si="9"/>
        <v>-0.30000000000000071</v>
      </c>
      <c r="L127">
        <f t="shared" si="10"/>
        <v>9.6352472759738816</v>
      </c>
      <c r="O127">
        <f t="shared" si="12"/>
        <v>60.248000000000005</v>
      </c>
    </row>
    <row r="128" spans="1:15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 s="1">
        <v>64.083749999999995</v>
      </c>
      <c r="I128">
        <f t="shared" si="7"/>
        <v>0</v>
      </c>
      <c r="J128">
        <f t="shared" si="8"/>
        <v>9.9352472759738824</v>
      </c>
      <c r="K128">
        <f t="shared" si="9"/>
        <v>-0.30000000000000071</v>
      </c>
      <c r="L128">
        <f t="shared" si="10"/>
        <v>9.6352472759738816</v>
      </c>
      <c r="O128">
        <f t="shared" si="12"/>
        <v>64.083749999999995</v>
      </c>
    </row>
    <row r="129" spans="1:16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 s="1">
        <v>65.379000000000005</v>
      </c>
      <c r="I129">
        <f t="shared" si="7"/>
        <v>0</v>
      </c>
      <c r="J129">
        <f t="shared" si="8"/>
        <v>9.9352472759738824</v>
      </c>
      <c r="K129">
        <f t="shared" si="9"/>
        <v>-0.30000000000000071</v>
      </c>
      <c r="L129">
        <f t="shared" si="10"/>
        <v>9.6352472759738816</v>
      </c>
      <c r="O129">
        <f t="shared" si="12"/>
        <v>65.379000000000005</v>
      </c>
    </row>
    <row r="130" spans="1:16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 s="1">
        <v>63.595749999999995</v>
      </c>
      <c r="I130">
        <f t="shared" si="7"/>
        <v>0</v>
      </c>
      <c r="J130">
        <f t="shared" si="8"/>
        <v>9.9352472759738824</v>
      </c>
      <c r="K130">
        <f t="shared" si="9"/>
        <v>-0.30000000000000071</v>
      </c>
      <c r="L130">
        <f t="shared" si="10"/>
        <v>9.6352472759738816</v>
      </c>
      <c r="O130">
        <f t="shared" si="12"/>
        <v>63.595749999999995</v>
      </c>
    </row>
    <row r="131" spans="1:16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 s="1">
        <v>62.522000000000006</v>
      </c>
      <c r="I131">
        <f t="shared" ref="I131:I194" si="13">(E131-0.17)*$U$2</f>
        <v>0</v>
      </c>
      <c r="J131">
        <f t="shared" ref="J131:J194" si="14">(8-D131)*$U$4</f>
        <v>9.9352472759738824</v>
      </c>
      <c r="K131">
        <f t="shared" ref="K131:K194" si="15">(C131-20)*$U$3</f>
        <v>-0.30000000000000071</v>
      </c>
      <c r="L131">
        <f t="shared" ref="L131:L194" si="16">SUM(I131:K131)</f>
        <v>9.6352472759738816</v>
      </c>
      <c r="O131">
        <f t="shared" si="12"/>
        <v>62.522000000000006</v>
      </c>
    </row>
    <row r="132" spans="1:16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 s="1">
        <v>67.867750000000001</v>
      </c>
      <c r="I132">
        <f t="shared" si="13"/>
        <v>0</v>
      </c>
      <c r="J132">
        <f t="shared" si="14"/>
        <v>9.9352472759738824</v>
      </c>
      <c r="K132">
        <f t="shared" si="15"/>
        <v>-0.30000000000000071</v>
      </c>
      <c r="L132">
        <f t="shared" si="16"/>
        <v>9.6352472759738816</v>
      </c>
      <c r="O132">
        <f t="shared" si="12"/>
        <v>67.867750000000001</v>
      </c>
    </row>
    <row r="133" spans="1:16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 s="1">
        <v>59.270499999999998</v>
      </c>
      <c r="I133">
        <f t="shared" si="13"/>
        <v>0</v>
      </c>
      <c r="J133">
        <f t="shared" si="14"/>
        <v>9.9352472759738824</v>
      </c>
      <c r="K133">
        <f t="shared" si="15"/>
        <v>-0.30000000000000071</v>
      </c>
      <c r="L133">
        <f t="shared" si="16"/>
        <v>9.6352472759738816</v>
      </c>
      <c r="O133">
        <f t="shared" si="12"/>
        <v>59.270499999999998</v>
      </c>
    </row>
    <row r="134" spans="1:16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 s="1">
        <v>62.392499999999998</v>
      </c>
      <c r="I134">
        <f t="shared" si="13"/>
        <v>0</v>
      </c>
      <c r="J134">
        <f t="shared" si="14"/>
        <v>9.9352472759738824</v>
      </c>
      <c r="K134">
        <f t="shared" si="15"/>
        <v>-0.30000000000000071</v>
      </c>
      <c r="L134">
        <f t="shared" si="16"/>
        <v>9.6352472759738816</v>
      </c>
      <c r="O134">
        <f t="shared" si="12"/>
        <v>62.392499999999998</v>
      </c>
    </row>
    <row r="135" spans="1:16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 s="1">
        <v>42.751000000000005</v>
      </c>
      <c r="I135">
        <f t="shared" si="13"/>
        <v>3.4999999999999931E-3</v>
      </c>
      <c r="J135">
        <f t="shared" si="14"/>
        <v>-0.7334131170760827</v>
      </c>
      <c r="K135">
        <f t="shared" si="15"/>
        <v>-7.6999999999999993</v>
      </c>
      <c r="L135">
        <f t="shared" si="16"/>
        <v>-8.4299131170760813</v>
      </c>
      <c r="P135">
        <f t="shared" ref="P135:P166" si="17">G135</f>
        <v>42.751000000000005</v>
      </c>
    </row>
    <row r="136" spans="1:16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 s="1">
        <v>47.630250000000004</v>
      </c>
      <c r="I136">
        <f t="shared" si="13"/>
        <v>3.4999999999999931E-3</v>
      </c>
      <c r="J136">
        <f t="shared" si="14"/>
        <v>-0.7334131170760827</v>
      </c>
      <c r="K136">
        <f t="shared" si="15"/>
        <v>-7.6999999999999993</v>
      </c>
      <c r="L136">
        <f t="shared" si="16"/>
        <v>-8.4299131170760813</v>
      </c>
      <c r="P136">
        <f t="shared" si="17"/>
        <v>47.630250000000004</v>
      </c>
    </row>
    <row r="137" spans="1:16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 s="1">
        <v>45.341750000000005</v>
      </c>
      <c r="I137">
        <f t="shared" si="13"/>
        <v>3.4999999999999931E-3</v>
      </c>
      <c r="J137">
        <f t="shared" si="14"/>
        <v>-0.7334131170760827</v>
      </c>
      <c r="K137">
        <f t="shared" si="15"/>
        <v>-7.6999999999999993</v>
      </c>
      <c r="L137">
        <f t="shared" si="16"/>
        <v>-8.4299131170760813</v>
      </c>
      <c r="P137">
        <f t="shared" si="17"/>
        <v>45.341750000000005</v>
      </c>
    </row>
    <row r="138" spans="1:16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 s="1">
        <v>48.91225</v>
      </c>
      <c r="I138">
        <f t="shared" si="13"/>
        <v>3.4999999999999931E-3</v>
      </c>
      <c r="J138">
        <f t="shared" si="14"/>
        <v>-0.7334131170760827</v>
      </c>
      <c r="K138">
        <f t="shared" si="15"/>
        <v>-7.6999999999999993</v>
      </c>
      <c r="L138">
        <f t="shared" si="16"/>
        <v>-8.4299131170760813</v>
      </c>
      <c r="P138">
        <f t="shared" si="17"/>
        <v>48.91225</v>
      </c>
    </row>
    <row r="139" spans="1:16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 s="2">
        <v>47.5655</v>
      </c>
      <c r="I139">
        <f t="shared" si="13"/>
        <v>3.4999999999999931E-3</v>
      </c>
      <c r="J139">
        <f t="shared" si="14"/>
        <v>-0.7334131170760827</v>
      </c>
      <c r="K139">
        <f t="shared" si="15"/>
        <v>-7.6999999999999993</v>
      </c>
      <c r="L139">
        <f t="shared" si="16"/>
        <v>-8.4299131170760813</v>
      </c>
      <c r="P139">
        <f t="shared" si="17"/>
        <v>47.5655</v>
      </c>
    </row>
    <row r="140" spans="1:16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 s="2">
        <v>44.858000000000004</v>
      </c>
      <c r="I140">
        <f t="shared" si="13"/>
        <v>3.4999999999999931E-3</v>
      </c>
      <c r="J140">
        <f t="shared" si="14"/>
        <v>-0.7334131170760827</v>
      </c>
      <c r="K140">
        <f t="shared" si="15"/>
        <v>-7.6999999999999993</v>
      </c>
      <c r="L140">
        <f t="shared" si="16"/>
        <v>-8.4299131170760813</v>
      </c>
      <c r="P140">
        <f t="shared" si="17"/>
        <v>44.858000000000004</v>
      </c>
    </row>
    <row r="141" spans="1:16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 s="2">
        <v>49.738500000000002</v>
      </c>
      <c r="I141">
        <f t="shared" si="13"/>
        <v>3.4999999999999931E-3</v>
      </c>
      <c r="J141">
        <f t="shared" si="14"/>
        <v>-0.7334131170760827</v>
      </c>
      <c r="K141">
        <f t="shared" si="15"/>
        <v>-7.6999999999999993</v>
      </c>
      <c r="L141">
        <f t="shared" si="16"/>
        <v>-8.4299131170760813</v>
      </c>
      <c r="P141">
        <f t="shared" si="17"/>
        <v>49.738500000000002</v>
      </c>
    </row>
    <row r="142" spans="1:16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 s="2">
        <v>49.403750000000002</v>
      </c>
      <c r="I142">
        <f t="shared" si="13"/>
        <v>3.4999999999999931E-3</v>
      </c>
      <c r="J142">
        <f t="shared" si="14"/>
        <v>-0.7334131170760827</v>
      </c>
      <c r="K142">
        <f t="shared" si="15"/>
        <v>-7.6999999999999993</v>
      </c>
      <c r="L142">
        <f t="shared" si="16"/>
        <v>-8.4299131170760813</v>
      </c>
      <c r="P142">
        <f t="shared" si="17"/>
        <v>49.403750000000002</v>
      </c>
    </row>
    <row r="143" spans="1:16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 s="2">
        <v>46.037000000000006</v>
      </c>
      <c r="I143">
        <f t="shared" si="13"/>
        <v>3.4999999999999931E-3</v>
      </c>
      <c r="J143">
        <f t="shared" si="14"/>
        <v>-0.7334131170760827</v>
      </c>
      <c r="K143">
        <f t="shared" si="15"/>
        <v>-7.6999999999999993</v>
      </c>
      <c r="L143">
        <f t="shared" si="16"/>
        <v>-8.4299131170760813</v>
      </c>
      <c r="P143">
        <f t="shared" si="17"/>
        <v>46.037000000000006</v>
      </c>
    </row>
    <row r="144" spans="1:16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 s="2">
        <v>43.385249999999999</v>
      </c>
      <c r="I144">
        <f t="shared" si="13"/>
        <v>3.4999999999999931E-3</v>
      </c>
      <c r="J144">
        <f t="shared" si="14"/>
        <v>-0.7334131170760827</v>
      </c>
      <c r="K144">
        <f t="shared" si="15"/>
        <v>-7.6999999999999993</v>
      </c>
      <c r="L144">
        <f t="shared" si="16"/>
        <v>-8.4299131170760813</v>
      </c>
      <c r="P144">
        <f t="shared" si="17"/>
        <v>43.385249999999999</v>
      </c>
    </row>
    <row r="145" spans="1:16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 s="2">
        <v>45.3</v>
      </c>
      <c r="I145">
        <f t="shared" si="13"/>
        <v>3.4999999999999931E-3</v>
      </c>
      <c r="J145">
        <f t="shared" si="14"/>
        <v>-0.7334131170760827</v>
      </c>
      <c r="K145">
        <f t="shared" si="15"/>
        <v>-7.6999999999999993</v>
      </c>
      <c r="L145">
        <f t="shared" si="16"/>
        <v>-8.4299131170760813</v>
      </c>
      <c r="P145">
        <f t="shared" si="17"/>
        <v>45.3</v>
      </c>
    </row>
    <row r="146" spans="1:16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 s="2">
        <v>45.084000000000003</v>
      </c>
      <c r="I146">
        <f t="shared" si="13"/>
        <v>3.4999999999999931E-3</v>
      </c>
      <c r="J146">
        <f t="shared" si="14"/>
        <v>-0.7334131170760827</v>
      </c>
      <c r="K146">
        <f t="shared" si="15"/>
        <v>-7.6999999999999993</v>
      </c>
      <c r="L146">
        <f t="shared" si="16"/>
        <v>-8.4299131170760813</v>
      </c>
      <c r="P146">
        <f t="shared" si="17"/>
        <v>45.084000000000003</v>
      </c>
    </row>
    <row r="147" spans="1:16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 s="2">
        <v>74.791250000000005</v>
      </c>
      <c r="I147">
        <f t="shared" si="13"/>
        <v>0</v>
      </c>
      <c r="J147">
        <f t="shared" si="14"/>
        <v>-0.15657827155401804</v>
      </c>
      <c r="K147">
        <f t="shared" si="15"/>
        <v>-4.0999999999999996</v>
      </c>
      <c r="L147">
        <f t="shared" si="16"/>
        <v>-4.2565782715540177</v>
      </c>
      <c r="P147">
        <f t="shared" si="17"/>
        <v>74.791250000000005</v>
      </c>
    </row>
    <row r="148" spans="1:16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 s="2">
        <v>78.037499999999994</v>
      </c>
      <c r="I148">
        <f t="shared" si="13"/>
        <v>0</v>
      </c>
      <c r="J148">
        <f t="shared" si="14"/>
        <v>-0.15657827155401804</v>
      </c>
      <c r="K148">
        <f t="shared" si="15"/>
        <v>-4.0999999999999996</v>
      </c>
      <c r="L148">
        <f t="shared" si="16"/>
        <v>-4.2565782715540177</v>
      </c>
      <c r="P148">
        <f t="shared" si="17"/>
        <v>78.037499999999994</v>
      </c>
    </row>
    <row r="149" spans="1:16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 s="2">
        <v>79.782749999999993</v>
      </c>
      <c r="I149">
        <f t="shared" si="13"/>
        <v>0</v>
      </c>
      <c r="J149">
        <f t="shared" si="14"/>
        <v>-0.15657827155401804</v>
      </c>
      <c r="K149">
        <f t="shared" si="15"/>
        <v>-4.0999999999999996</v>
      </c>
      <c r="L149">
        <f t="shared" si="16"/>
        <v>-4.2565782715540177</v>
      </c>
      <c r="P149">
        <f t="shared" si="17"/>
        <v>79.782749999999993</v>
      </c>
    </row>
    <row r="150" spans="1:16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 s="2">
        <v>72.612250000000003</v>
      </c>
      <c r="I150">
        <f t="shared" si="13"/>
        <v>0</v>
      </c>
      <c r="J150">
        <f t="shared" si="14"/>
        <v>-0.15657827155401804</v>
      </c>
      <c r="K150">
        <f t="shared" si="15"/>
        <v>-4.0999999999999996</v>
      </c>
      <c r="L150">
        <f t="shared" si="16"/>
        <v>-4.2565782715540177</v>
      </c>
      <c r="P150">
        <f t="shared" si="17"/>
        <v>72.612250000000003</v>
      </c>
    </row>
    <row r="151" spans="1:16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 s="2">
        <v>75.768000000000001</v>
      </c>
      <c r="I151">
        <f t="shared" si="13"/>
        <v>0</v>
      </c>
      <c r="J151">
        <f t="shared" si="14"/>
        <v>-0.15657827155401804</v>
      </c>
      <c r="K151">
        <f t="shared" si="15"/>
        <v>-4.0999999999999996</v>
      </c>
      <c r="L151">
        <f t="shared" si="16"/>
        <v>-4.2565782715540177</v>
      </c>
      <c r="P151">
        <f t="shared" si="17"/>
        <v>75.768000000000001</v>
      </c>
    </row>
    <row r="152" spans="1:16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 s="2">
        <v>77.521500000000003</v>
      </c>
      <c r="I152">
        <f t="shared" si="13"/>
        <v>0</v>
      </c>
      <c r="J152">
        <f t="shared" si="14"/>
        <v>-0.15657827155401804</v>
      </c>
      <c r="K152">
        <f t="shared" si="15"/>
        <v>-4.0999999999999996</v>
      </c>
      <c r="L152">
        <f t="shared" si="16"/>
        <v>-4.2565782715540177</v>
      </c>
      <c r="P152">
        <f t="shared" si="17"/>
        <v>77.521500000000003</v>
      </c>
    </row>
    <row r="153" spans="1:16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 s="2">
        <v>80.322249999999997</v>
      </c>
      <c r="I153">
        <f t="shared" si="13"/>
        <v>0</v>
      </c>
      <c r="J153">
        <f t="shared" si="14"/>
        <v>-0.15657827155401804</v>
      </c>
      <c r="K153">
        <f t="shared" si="15"/>
        <v>-4.0999999999999996</v>
      </c>
      <c r="L153">
        <f t="shared" si="16"/>
        <v>-4.2565782715540177</v>
      </c>
      <c r="P153">
        <f t="shared" si="17"/>
        <v>80.322249999999997</v>
      </c>
    </row>
    <row r="154" spans="1:16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 s="2">
        <v>67.971000000000004</v>
      </c>
      <c r="I154">
        <f t="shared" si="13"/>
        <v>0</v>
      </c>
      <c r="J154">
        <f t="shared" si="14"/>
        <v>-0.15657827155401804</v>
      </c>
      <c r="K154">
        <f t="shared" si="15"/>
        <v>-4.0999999999999996</v>
      </c>
      <c r="L154">
        <f t="shared" si="16"/>
        <v>-4.2565782715540177</v>
      </c>
      <c r="P154">
        <f t="shared" si="17"/>
        <v>67.971000000000004</v>
      </c>
    </row>
    <row r="155" spans="1:16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 s="2">
        <v>80.494749999999996</v>
      </c>
      <c r="I155">
        <f t="shared" si="13"/>
        <v>0</v>
      </c>
      <c r="J155">
        <f t="shared" si="14"/>
        <v>-0.15657827155401804</v>
      </c>
      <c r="K155">
        <f t="shared" si="15"/>
        <v>-4.0999999999999996</v>
      </c>
      <c r="L155">
        <f t="shared" si="16"/>
        <v>-4.2565782715540177</v>
      </c>
      <c r="P155">
        <f t="shared" si="17"/>
        <v>80.494749999999996</v>
      </c>
    </row>
    <row r="156" spans="1:16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 s="2">
        <v>74.242000000000004</v>
      </c>
      <c r="I156">
        <f t="shared" si="13"/>
        <v>0</v>
      </c>
      <c r="J156">
        <f t="shared" si="14"/>
        <v>-0.15657827155401804</v>
      </c>
      <c r="K156">
        <f t="shared" si="15"/>
        <v>-4.0999999999999996</v>
      </c>
      <c r="L156">
        <f t="shared" si="16"/>
        <v>-4.2565782715540177</v>
      </c>
      <c r="P156">
        <f t="shared" si="17"/>
        <v>74.242000000000004</v>
      </c>
    </row>
    <row r="157" spans="1:16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 s="2">
        <v>73.169499999999999</v>
      </c>
      <c r="I157">
        <f t="shared" si="13"/>
        <v>0</v>
      </c>
      <c r="J157">
        <f t="shared" si="14"/>
        <v>-0.15657827155401804</v>
      </c>
      <c r="K157">
        <f t="shared" si="15"/>
        <v>-4.0999999999999996</v>
      </c>
      <c r="L157">
        <f t="shared" si="16"/>
        <v>-4.2565782715540177</v>
      </c>
      <c r="P157">
        <f t="shared" si="17"/>
        <v>73.169499999999999</v>
      </c>
    </row>
    <row r="158" spans="1:16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 s="2">
        <v>75.358999999999995</v>
      </c>
      <c r="I158">
        <f t="shared" si="13"/>
        <v>0</v>
      </c>
      <c r="J158">
        <f t="shared" si="14"/>
        <v>-0.15657827155401804</v>
      </c>
      <c r="K158">
        <f t="shared" si="15"/>
        <v>-4.0999999999999996</v>
      </c>
      <c r="L158">
        <f t="shared" si="16"/>
        <v>-4.2565782715540177</v>
      </c>
      <c r="P158">
        <f t="shared" si="17"/>
        <v>75.358999999999995</v>
      </c>
    </row>
    <row r="159" spans="1:16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 s="2">
        <v>69.527500000000003</v>
      </c>
      <c r="I159">
        <f t="shared" si="13"/>
        <v>1.0499999999999999E-2</v>
      </c>
      <c r="J159">
        <f t="shared" si="14"/>
        <v>-0.36657332749237526</v>
      </c>
      <c r="K159">
        <f t="shared" si="15"/>
        <v>-0.30000000000000071</v>
      </c>
      <c r="L159">
        <f t="shared" si="16"/>
        <v>-0.65607332749237601</v>
      </c>
      <c r="P159">
        <f t="shared" si="17"/>
        <v>69.527500000000003</v>
      </c>
    </row>
    <row r="160" spans="1:16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 s="2">
        <v>74.111500000000007</v>
      </c>
      <c r="I160">
        <f t="shared" si="13"/>
        <v>1.0499999999999999E-2</v>
      </c>
      <c r="J160">
        <f t="shared" si="14"/>
        <v>-0.36657332749237526</v>
      </c>
      <c r="K160">
        <f t="shared" si="15"/>
        <v>-0.30000000000000071</v>
      </c>
      <c r="L160">
        <f t="shared" si="16"/>
        <v>-0.65607332749237601</v>
      </c>
      <c r="P160">
        <f t="shared" si="17"/>
        <v>74.111500000000007</v>
      </c>
    </row>
    <row r="161" spans="1:16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 s="2">
        <v>76.056250000000006</v>
      </c>
      <c r="I161">
        <f t="shared" si="13"/>
        <v>1.0499999999999999E-2</v>
      </c>
      <c r="J161">
        <f t="shared" si="14"/>
        <v>-0.36657332749237526</v>
      </c>
      <c r="K161">
        <f t="shared" si="15"/>
        <v>-0.30000000000000071</v>
      </c>
      <c r="L161">
        <f t="shared" si="16"/>
        <v>-0.65607332749237601</v>
      </c>
      <c r="P161">
        <f t="shared" si="17"/>
        <v>76.056250000000006</v>
      </c>
    </row>
    <row r="162" spans="1:16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 s="2">
        <v>71.962999999999994</v>
      </c>
      <c r="I162">
        <f t="shared" si="13"/>
        <v>1.0499999999999999E-2</v>
      </c>
      <c r="J162">
        <f t="shared" si="14"/>
        <v>-0.36657332749237526</v>
      </c>
      <c r="K162">
        <f t="shared" si="15"/>
        <v>-0.30000000000000071</v>
      </c>
      <c r="L162">
        <f t="shared" si="16"/>
        <v>-0.65607332749237601</v>
      </c>
      <c r="P162">
        <f t="shared" si="17"/>
        <v>71.962999999999994</v>
      </c>
    </row>
    <row r="163" spans="1:16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 s="2">
        <v>80.514750000000006</v>
      </c>
      <c r="I163">
        <f t="shared" si="13"/>
        <v>1.0499999999999999E-2</v>
      </c>
      <c r="J163">
        <f t="shared" si="14"/>
        <v>-0.36657332749237526</v>
      </c>
      <c r="K163">
        <f t="shared" si="15"/>
        <v>-0.30000000000000071</v>
      </c>
      <c r="L163">
        <f t="shared" si="16"/>
        <v>-0.65607332749237601</v>
      </c>
      <c r="P163">
        <f t="shared" si="17"/>
        <v>80.514750000000006</v>
      </c>
    </row>
    <row r="164" spans="1:16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 s="2">
        <v>71.192999999999998</v>
      </c>
      <c r="I164">
        <f t="shared" si="13"/>
        <v>1.0499999999999999E-2</v>
      </c>
      <c r="J164">
        <f t="shared" si="14"/>
        <v>-0.36657332749237526</v>
      </c>
      <c r="K164">
        <f t="shared" si="15"/>
        <v>-0.30000000000000071</v>
      </c>
      <c r="L164">
        <f t="shared" si="16"/>
        <v>-0.65607332749237601</v>
      </c>
      <c r="P164">
        <f t="shared" si="17"/>
        <v>71.192999999999998</v>
      </c>
    </row>
    <row r="165" spans="1:16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 s="2">
        <v>75.853250000000003</v>
      </c>
      <c r="I165">
        <f t="shared" si="13"/>
        <v>1.0499999999999999E-2</v>
      </c>
      <c r="J165">
        <f t="shared" si="14"/>
        <v>-0.36657332749237526</v>
      </c>
      <c r="K165">
        <f t="shared" si="15"/>
        <v>-0.30000000000000071</v>
      </c>
      <c r="L165">
        <f t="shared" si="16"/>
        <v>-0.65607332749237601</v>
      </c>
      <c r="P165">
        <f t="shared" si="17"/>
        <v>75.853250000000003</v>
      </c>
    </row>
    <row r="166" spans="1:16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 s="2">
        <v>72.339749999999995</v>
      </c>
      <c r="I166">
        <f t="shared" si="13"/>
        <v>1.0499999999999999E-2</v>
      </c>
      <c r="J166">
        <f t="shared" si="14"/>
        <v>-0.36657332749237526</v>
      </c>
      <c r="K166">
        <f t="shared" si="15"/>
        <v>-0.30000000000000071</v>
      </c>
      <c r="L166">
        <f t="shared" si="16"/>
        <v>-0.65607332749237601</v>
      </c>
      <c r="P166">
        <f t="shared" si="17"/>
        <v>72.339749999999995</v>
      </c>
    </row>
    <row r="167" spans="1:16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 s="2">
        <v>73.5715</v>
      </c>
      <c r="I167">
        <f t="shared" si="13"/>
        <v>1.0499999999999999E-2</v>
      </c>
      <c r="J167">
        <f t="shared" si="14"/>
        <v>-0.36657332749237526</v>
      </c>
      <c r="K167">
        <f t="shared" si="15"/>
        <v>-0.30000000000000071</v>
      </c>
      <c r="L167">
        <f t="shared" si="16"/>
        <v>-0.65607332749237601</v>
      </c>
      <c r="P167">
        <f t="shared" ref="P167:P191" si="18">G167</f>
        <v>73.5715</v>
      </c>
    </row>
    <row r="168" spans="1:16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 s="2">
        <v>75.248500000000007</v>
      </c>
      <c r="I168">
        <f t="shared" si="13"/>
        <v>1.0499999999999999E-2</v>
      </c>
      <c r="J168">
        <f t="shared" si="14"/>
        <v>-0.36657332749237526</v>
      </c>
      <c r="K168">
        <f t="shared" si="15"/>
        <v>-0.30000000000000071</v>
      </c>
      <c r="L168">
        <f t="shared" si="16"/>
        <v>-0.65607332749237601</v>
      </c>
      <c r="P168">
        <f t="shared" si="18"/>
        <v>75.248500000000007</v>
      </c>
    </row>
    <row r="169" spans="1:16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 s="2">
        <v>73.808999999999997</v>
      </c>
      <c r="I169">
        <f t="shared" si="13"/>
        <v>1.0499999999999999E-2</v>
      </c>
      <c r="J169">
        <f t="shared" si="14"/>
        <v>-0.36657332749237526</v>
      </c>
      <c r="K169">
        <f t="shared" si="15"/>
        <v>-0.30000000000000071</v>
      </c>
      <c r="L169">
        <f t="shared" si="16"/>
        <v>-0.65607332749237601</v>
      </c>
      <c r="P169">
        <f t="shared" si="18"/>
        <v>73.808999999999997</v>
      </c>
    </row>
    <row r="170" spans="1:16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 s="2">
        <v>73.996250000000003</v>
      </c>
      <c r="I170">
        <f t="shared" si="13"/>
        <v>1.0499999999999999E-2</v>
      </c>
      <c r="J170">
        <f t="shared" si="14"/>
        <v>-0.36657332749237526</v>
      </c>
      <c r="K170">
        <f t="shared" si="15"/>
        <v>-0.30000000000000071</v>
      </c>
      <c r="L170">
        <f t="shared" si="16"/>
        <v>-0.65607332749237601</v>
      </c>
      <c r="P170">
        <f t="shared" si="18"/>
        <v>73.996250000000003</v>
      </c>
    </row>
    <row r="171" spans="1:16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 s="2">
        <v>72.671499999999995</v>
      </c>
      <c r="I171">
        <f t="shared" si="13"/>
        <v>1.0499999999999999E-2</v>
      </c>
      <c r="J171">
        <f t="shared" si="14"/>
        <v>-0.36657332749237526</v>
      </c>
      <c r="K171">
        <f t="shared" si="15"/>
        <v>-0.30000000000000071</v>
      </c>
      <c r="L171">
        <f t="shared" si="16"/>
        <v>-0.65607332749237601</v>
      </c>
      <c r="P171">
        <f t="shared" si="18"/>
        <v>72.671499999999995</v>
      </c>
    </row>
    <row r="172" spans="1:16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 s="2">
        <v>80.028750000000002</v>
      </c>
      <c r="I172">
        <f t="shared" si="13"/>
        <v>1.0499999999999999E-2</v>
      </c>
      <c r="J172">
        <f t="shared" si="14"/>
        <v>-0.36657332749237526</v>
      </c>
      <c r="K172">
        <f t="shared" si="15"/>
        <v>-0.30000000000000071</v>
      </c>
      <c r="L172">
        <f t="shared" si="16"/>
        <v>-0.65607332749237601</v>
      </c>
      <c r="P172">
        <f t="shared" si="18"/>
        <v>80.028750000000002</v>
      </c>
    </row>
    <row r="173" spans="1:16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 s="2">
        <v>75.295249999999996</v>
      </c>
      <c r="I173">
        <f t="shared" si="13"/>
        <v>1.0499999999999999E-2</v>
      </c>
      <c r="J173">
        <f t="shared" si="14"/>
        <v>-0.36657332749237526</v>
      </c>
      <c r="K173">
        <f t="shared" si="15"/>
        <v>-0.30000000000000071</v>
      </c>
      <c r="L173">
        <f t="shared" si="16"/>
        <v>-0.65607332749237601</v>
      </c>
      <c r="P173">
        <f t="shared" si="18"/>
        <v>75.295249999999996</v>
      </c>
    </row>
    <row r="174" spans="1:16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 s="2">
        <v>76.283749999999998</v>
      </c>
      <c r="I174">
        <f t="shared" si="13"/>
        <v>1.0499999999999999E-2</v>
      </c>
      <c r="J174">
        <f t="shared" si="14"/>
        <v>-0.36657332749237526</v>
      </c>
      <c r="K174">
        <f t="shared" si="15"/>
        <v>-0.30000000000000071</v>
      </c>
      <c r="L174">
        <f t="shared" si="16"/>
        <v>-0.65607332749237601</v>
      </c>
      <c r="P174">
        <f t="shared" si="18"/>
        <v>76.283749999999998</v>
      </c>
    </row>
    <row r="175" spans="1:16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 s="2">
        <v>63.750500000000002</v>
      </c>
      <c r="I175">
        <f t="shared" si="13"/>
        <v>6.9999999999999958E-3</v>
      </c>
      <c r="J175">
        <f t="shared" si="14"/>
        <v>-0.11453858292379948</v>
      </c>
      <c r="K175">
        <f t="shared" si="15"/>
        <v>5.1000000000000014</v>
      </c>
      <c r="L175">
        <f t="shared" si="16"/>
        <v>4.9924614170762016</v>
      </c>
      <c r="P175">
        <f t="shared" si="18"/>
        <v>63.750500000000002</v>
      </c>
    </row>
    <row r="176" spans="1:16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 s="2">
        <v>74.728499999999997</v>
      </c>
      <c r="I176">
        <f t="shared" si="13"/>
        <v>6.9999999999999958E-3</v>
      </c>
      <c r="J176">
        <f t="shared" si="14"/>
        <v>-0.11453858292379948</v>
      </c>
      <c r="K176">
        <f t="shared" si="15"/>
        <v>5.1000000000000014</v>
      </c>
      <c r="L176">
        <f t="shared" si="16"/>
        <v>4.9924614170762016</v>
      </c>
      <c r="P176">
        <f t="shared" si="18"/>
        <v>74.728499999999997</v>
      </c>
    </row>
    <row r="177" spans="1:17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 s="2">
        <v>65.597499999999997</v>
      </c>
      <c r="I177">
        <f t="shared" si="13"/>
        <v>6.9999999999999958E-3</v>
      </c>
      <c r="J177">
        <f t="shared" si="14"/>
        <v>-0.11453858292379948</v>
      </c>
      <c r="K177">
        <f t="shared" si="15"/>
        <v>5.1000000000000014</v>
      </c>
      <c r="L177">
        <f t="shared" si="16"/>
        <v>4.9924614170762016</v>
      </c>
      <c r="P177">
        <f t="shared" si="18"/>
        <v>65.597499999999997</v>
      </c>
    </row>
    <row r="178" spans="1:17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 s="2">
        <v>73.080749999999995</v>
      </c>
      <c r="I178">
        <f t="shared" si="13"/>
        <v>6.9999999999999958E-3</v>
      </c>
      <c r="J178">
        <f t="shared" si="14"/>
        <v>-0.11453858292379948</v>
      </c>
      <c r="K178">
        <f t="shared" si="15"/>
        <v>5.1000000000000014</v>
      </c>
      <c r="L178">
        <f t="shared" si="16"/>
        <v>4.9924614170762016</v>
      </c>
      <c r="P178">
        <f t="shared" si="18"/>
        <v>73.080749999999995</v>
      </c>
    </row>
    <row r="179" spans="1:17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 s="2">
        <v>69.008499999999998</v>
      </c>
      <c r="I179">
        <f t="shared" si="13"/>
        <v>6.9999999999999958E-3</v>
      </c>
      <c r="J179">
        <f t="shared" si="14"/>
        <v>-0.11453858292379948</v>
      </c>
      <c r="K179">
        <f t="shared" si="15"/>
        <v>5.1000000000000014</v>
      </c>
      <c r="L179">
        <f t="shared" si="16"/>
        <v>4.9924614170762016</v>
      </c>
      <c r="P179">
        <f t="shared" si="18"/>
        <v>69.008499999999998</v>
      </c>
    </row>
    <row r="180" spans="1:17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 s="2">
        <v>70.129750000000001</v>
      </c>
      <c r="I180">
        <f t="shared" si="13"/>
        <v>6.9999999999999958E-3</v>
      </c>
      <c r="J180">
        <f t="shared" si="14"/>
        <v>-0.11453858292379948</v>
      </c>
      <c r="K180">
        <f t="shared" si="15"/>
        <v>5.1000000000000014</v>
      </c>
      <c r="L180">
        <f t="shared" si="16"/>
        <v>4.9924614170762016</v>
      </c>
      <c r="P180">
        <f t="shared" si="18"/>
        <v>70.129750000000001</v>
      </c>
    </row>
    <row r="181" spans="1:17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 s="2">
        <v>76.807749999999999</v>
      </c>
      <c r="I181">
        <f t="shared" si="13"/>
        <v>6.9999999999999958E-3</v>
      </c>
      <c r="J181">
        <f t="shared" si="14"/>
        <v>-0.11453858292379948</v>
      </c>
      <c r="K181">
        <f t="shared" si="15"/>
        <v>5.1000000000000014</v>
      </c>
      <c r="L181">
        <f t="shared" si="16"/>
        <v>4.9924614170762016</v>
      </c>
      <c r="P181">
        <f t="shared" si="18"/>
        <v>76.807749999999999</v>
      </c>
    </row>
    <row r="182" spans="1:17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 s="2">
        <v>74.134249999999994</v>
      </c>
      <c r="I182">
        <f t="shared" si="13"/>
        <v>6.9999999999999958E-3</v>
      </c>
      <c r="J182">
        <f t="shared" si="14"/>
        <v>-0.11453858292379948</v>
      </c>
      <c r="K182">
        <f t="shared" si="15"/>
        <v>5.1000000000000014</v>
      </c>
      <c r="L182">
        <f t="shared" si="16"/>
        <v>4.9924614170762016</v>
      </c>
      <c r="P182">
        <f t="shared" si="18"/>
        <v>74.134249999999994</v>
      </c>
    </row>
    <row r="183" spans="1:17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 s="2">
        <v>75.284000000000006</v>
      </c>
      <c r="I183">
        <f t="shared" si="13"/>
        <v>6.9999999999999958E-3</v>
      </c>
      <c r="J183">
        <f t="shared" si="14"/>
        <v>-0.11453858292379948</v>
      </c>
      <c r="K183">
        <f t="shared" si="15"/>
        <v>5.1000000000000014</v>
      </c>
      <c r="L183">
        <f t="shared" si="16"/>
        <v>4.9924614170762016</v>
      </c>
      <c r="P183">
        <f t="shared" si="18"/>
        <v>75.284000000000006</v>
      </c>
    </row>
    <row r="184" spans="1:17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 s="2">
        <v>68.863749999999996</v>
      </c>
      <c r="I184">
        <f t="shared" si="13"/>
        <v>6.9999999999999958E-3</v>
      </c>
      <c r="J184">
        <f t="shared" si="14"/>
        <v>-0.11453858292379948</v>
      </c>
      <c r="K184">
        <f t="shared" si="15"/>
        <v>5.1000000000000014</v>
      </c>
      <c r="L184">
        <f t="shared" si="16"/>
        <v>4.9924614170762016</v>
      </c>
      <c r="P184">
        <f t="shared" si="18"/>
        <v>68.863749999999996</v>
      </c>
    </row>
    <row r="185" spans="1:17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 s="2">
        <v>55.849999999999994</v>
      </c>
      <c r="I185">
        <f t="shared" si="13"/>
        <v>6.9999999999999958E-3</v>
      </c>
      <c r="J185">
        <f t="shared" si="14"/>
        <v>-1.2177648034845774</v>
      </c>
      <c r="K185">
        <f t="shared" si="15"/>
        <v>10.199999999999999</v>
      </c>
      <c r="L185">
        <f t="shared" si="16"/>
        <v>8.9892351965154216</v>
      </c>
      <c r="P185">
        <f t="shared" si="18"/>
        <v>55.849999999999994</v>
      </c>
    </row>
    <row r="186" spans="1:17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 s="2">
        <v>56.75</v>
      </c>
      <c r="I186">
        <f t="shared" si="13"/>
        <v>6.9999999999999958E-3</v>
      </c>
      <c r="J186">
        <f t="shared" si="14"/>
        <v>-1.2177648034845774</v>
      </c>
      <c r="K186">
        <f t="shared" si="15"/>
        <v>10.199999999999999</v>
      </c>
      <c r="L186">
        <f t="shared" si="16"/>
        <v>8.9892351965154216</v>
      </c>
      <c r="P186">
        <f t="shared" si="18"/>
        <v>56.75</v>
      </c>
    </row>
    <row r="187" spans="1:17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 s="2">
        <v>55.974999999999994</v>
      </c>
      <c r="I187">
        <f t="shared" si="13"/>
        <v>6.9999999999999958E-3</v>
      </c>
      <c r="J187">
        <f t="shared" si="14"/>
        <v>-1.2177648034845774</v>
      </c>
      <c r="K187">
        <f t="shared" si="15"/>
        <v>10.199999999999999</v>
      </c>
      <c r="L187">
        <f t="shared" si="16"/>
        <v>8.9892351965154216</v>
      </c>
      <c r="P187">
        <f t="shared" si="18"/>
        <v>55.974999999999994</v>
      </c>
    </row>
    <row r="188" spans="1:17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 s="2">
        <v>65.349999999999994</v>
      </c>
      <c r="I188">
        <f t="shared" si="13"/>
        <v>6.9999999999999958E-3</v>
      </c>
      <c r="J188">
        <f t="shared" si="14"/>
        <v>-1.2177648034845774</v>
      </c>
      <c r="K188">
        <f t="shared" si="15"/>
        <v>10.199999999999999</v>
      </c>
      <c r="L188">
        <f t="shared" si="16"/>
        <v>8.9892351965154216</v>
      </c>
      <c r="P188">
        <f t="shared" si="18"/>
        <v>65.349999999999994</v>
      </c>
    </row>
    <row r="189" spans="1:17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 s="2">
        <v>72.95</v>
      </c>
      <c r="I189">
        <f t="shared" si="13"/>
        <v>6.9999999999999958E-3</v>
      </c>
      <c r="J189">
        <f t="shared" si="14"/>
        <v>-1.2177648034845774</v>
      </c>
      <c r="K189">
        <f t="shared" si="15"/>
        <v>10.199999999999999</v>
      </c>
      <c r="L189">
        <f t="shared" si="16"/>
        <v>8.9892351965154216</v>
      </c>
      <c r="P189">
        <f t="shared" si="18"/>
        <v>72.95</v>
      </c>
    </row>
    <row r="190" spans="1:17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 s="2">
        <v>58.924999999999997</v>
      </c>
      <c r="I190">
        <f t="shared" si="13"/>
        <v>6.9999999999999958E-3</v>
      </c>
      <c r="J190">
        <f t="shared" si="14"/>
        <v>-1.2177648034845774</v>
      </c>
      <c r="K190">
        <f t="shared" si="15"/>
        <v>10.199999999999999</v>
      </c>
      <c r="L190">
        <f t="shared" si="16"/>
        <v>8.9892351965154216</v>
      </c>
      <c r="P190">
        <f t="shared" si="18"/>
        <v>58.924999999999997</v>
      </c>
    </row>
    <row r="191" spans="1:17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 s="2">
        <v>73.375</v>
      </c>
      <c r="I191">
        <f t="shared" si="13"/>
        <v>6.9999999999999958E-3</v>
      </c>
      <c r="J191">
        <f t="shared" si="14"/>
        <v>-1.2177648034845774</v>
      </c>
      <c r="K191">
        <f t="shared" si="15"/>
        <v>10.199999999999999</v>
      </c>
      <c r="L191">
        <f t="shared" si="16"/>
        <v>8.9892351965154216</v>
      </c>
      <c r="P191">
        <f t="shared" si="18"/>
        <v>73.375</v>
      </c>
    </row>
    <row r="192" spans="1:17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 s="2">
        <v>61.801749999999998</v>
      </c>
      <c r="I192">
        <f t="shared" si="13"/>
        <v>6.9999999999999958E-3</v>
      </c>
      <c r="J192">
        <f t="shared" si="14"/>
        <v>9.0631848720000114</v>
      </c>
      <c r="K192">
        <f t="shared" si="15"/>
        <v>0.5</v>
      </c>
      <c r="L192">
        <f t="shared" si="16"/>
        <v>9.5701848720000111</v>
      </c>
      <c r="Q192">
        <f t="shared" ref="Q192:Q223" si="19">G192</f>
        <v>61.801749999999998</v>
      </c>
    </row>
    <row r="193" spans="1:17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 s="2">
        <v>53.124499999999998</v>
      </c>
      <c r="I193">
        <f t="shared" si="13"/>
        <v>6.9999999999999958E-3</v>
      </c>
      <c r="J193">
        <f t="shared" si="14"/>
        <v>9.0631848720000114</v>
      </c>
      <c r="K193">
        <f t="shared" si="15"/>
        <v>0.5</v>
      </c>
      <c r="L193">
        <f t="shared" si="16"/>
        <v>9.5701848720000111</v>
      </c>
      <c r="Q193">
        <f t="shared" si="19"/>
        <v>53.124499999999998</v>
      </c>
    </row>
    <row r="194" spans="1:17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 s="2">
        <v>64.987750000000005</v>
      </c>
      <c r="I194">
        <f t="shared" si="13"/>
        <v>6.9999999999999958E-3</v>
      </c>
      <c r="J194">
        <f t="shared" si="14"/>
        <v>9.0631848720000114</v>
      </c>
      <c r="K194">
        <f t="shared" si="15"/>
        <v>0.5</v>
      </c>
      <c r="L194">
        <f t="shared" si="16"/>
        <v>9.5701848720000111</v>
      </c>
      <c r="Q194">
        <f t="shared" si="19"/>
        <v>64.987750000000005</v>
      </c>
    </row>
    <row r="195" spans="1:17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 s="2">
        <v>72.350499999999997</v>
      </c>
      <c r="I195">
        <f t="shared" ref="I195:I258" si="20">(E195-0.17)*$U$2</f>
        <v>6.9999999999999958E-3</v>
      </c>
      <c r="J195">
        <f t="shared" ref="J195:J258" si="21">(8-D195)*$U$4</f>
        <v>9.0631848720000114</v>
      </c>
      <c r="K195">
        <f t="shared" ref="K195:K258" si="22">(C195-20)*$U$3</f>
        <v>0.5</v>
      </c>
      <c r="L195">
        <f t="shared" ref="L195:L258" si="23">SUM(I195:K195)</f>
        <v>9.5701848720000111</v>
      </c>
      <c r="Q195">
        <f t="shared" si="19"/>
        <v>72.350499999999997</v>
      </c>
    </row>
    <row r="196" spans="1:17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 s="2">
        <v>69.716250000000002</v>
      </c>
      <c r="I196">
        <f t="shared" si="20"/>
        <v>6.9999999999999958E-3</v>
      </c>
      <c r="J196">
        <f t="shared" si="21"/>
        <v>9.0631848720000114</v>
      </c>
      <c r="K196">
        <f t="shared" si="22"/>
        <v>0.5</v>
      </c>
      <c r="L196">
        <f t="shared" si="23"/>
        <v>9.5701848720000111</v>
      </c>
      <c r="Q196">
        <f t="shared" si="19"/>
        <v>69.716250000000002</v>
      </c>
    </row>
    <row r="197" spans="1:17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 s="2">
        <v>74.718500000000006</v>
      </c>
      <c r="I197">
        <f t="shared" si="20"/>
        <v>6.9999999999999958E-3</v>
      </c>
      <c r="J197">
        <f t="shared" si="21"/>
        <v>9.0631848720000114</v>
      </c>
      <c r="K197">
        <f t="shared" si="22"/>
        <v>0.5</v>
      </c>
      <c r="L197">
        <f t="shared" si="23"/>
        <v>9.5701848720000111</v>
      </c>
      <c r="Q197">
        <f t="shared" si="19"/>
        <v>74.718500000000006</v>
      </c>
    </row>
    <row r="198" spans="1:17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 s="2">
        <v>64.784750000000003</v>
      </c>
      <c r="I198">
        <f t="shared" si="20"/>
        <v>6.9999999999999958E-3</v>
      </c>
      <c r="J198">
        <f t="shared" si="21"/>
        <v>9.0631848720000114</v>
      </c>
      <c r="K198">
        <f t="shared" si="22"/>
        <v>0.5</v>
      </c>
      <c r="L198">
        <f t="shared" si="23"/>
        <v>9.5701848720000111</v>
      </c>
      <c r="Q198">
        <f t="shared" si="19"/>
        <v>64.784750000000003</v>
      </c>
    </row>
    <row r="199" spans="1:17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 s="2">
        <v>56.6845</v>
      </c>
      <c r="I199">
        <f t="shared" si="20"/>
        <v>6.9999999999999958E-3</v>
      </c>
      <c r="J199">
        <f t="shared" si="21"/>
        <v>9.0631848720000114</v>
      </c>
      <c r="K199">
        <f t="shared" si="22"/>
        <v>0.5</v>
      </c>
      <c r="L199">
        <f t="shared" si="23"/>
        <v>9.5701848720000111</v>
      </c>
      <c r="Q199">
        <f t="shared" si="19"/>
        <v>56.6845</v>
      </c>
    </row>
    <row r="200" spans="1:17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 s="2">
        <v>65.855249999999998</v>
      </c>
      <c r="I200">
        <f t="shared" si="20"/>
        <v>6.9999999999999958E-3</v>
      </c>
      <c r="J200">
        <f t="shared" si="21"/>
        <v>9.0631848720000114</v>
      </c>
      <c r="K200">
        <f t="shared" si="22"/>
        <v>0.5</v>
      </c>
      <c r="L200">
        <f t="shared" si="23"/>
        <v>9.5701848720000111</v>
      </c>
      <c r="Q200">
        <f t="shared" si="19"/>
        <v>65.855249999999998</v>
      </c>
    </row>
    <row r="201" spans="1:17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 s="2">
        <v>57.735249999999994</v>
      </c>
      <c r="I201">
        <f t="shared" si="20"/>
        <v>6.9999999999999958E-3</v>
      </c>
      <c r="J201">
        <f t="shared" si="21"/>
        <v>9.0631848720000114</v>
      </c>
      <c r="K201">
        <f t="shared" si="22"/>
        <v>0.5</v>
      </c>
      <c r="L201">
        <f t="shared" si="23"/>
        <v>9.5701848720000111</v>
      </c>
      <c r="Q201">
        <f t="shared" si="19"/>
        <v>57.735249999999994</v>
      </c>
    </row>
    <row r="202" spans="1:17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 s="2">
        <v>60.078999999999994</v>
      </c>
      <c r="I202">
        <f t="shared" si="20"/>
        <v>6.9999999999999958E-3</v>
      </c>
      <c r="J202">
        <f t="shared" si="21"/>
        <v>9.0631848720000114</v>
      </c>
      <c r="K202">
        <f t="shared" si="22"/>
        <v>0.5</v>
      </c>
      <c r="L202">
        <f t="shared" si="23"/>
        <v>9.5701848720000111</v>
      </c>
      <c r="Q202">
        <f t="shared" si="19"/>
        <v>60.078999999999994</v>
      </c>
    </row>
    <row r="203" spans="1:17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 s="2">
        <v>57.751999999999995</v>
      </c>
      <c r="I203">
        <f t="shared" si="20"/>
        <v>3.4999999999999931E-3</v>
      </c>
      <c r="J203">
        <f t="shared" si="21"/>
        <v>9.0631848720000114</v>
      </c>
      <c r="K203">
        <f t="shared" si="22"/>
        <v>0.69999999999999929</v>
      </c>
      <c r="L203">
        <f t="shared" si="23"/>
        <v>9.7666848720000115</v>
      </c>
      <c r="Q203">
        <f t="shared" si="19"/>
        <v>57.751999999999995</v>
      </c>
    </row>
    <row r="204" spans="1:17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 s="2">
        <v>72.12</v>
      </c>
      <c r="I204">
        <f t="shared" si="20"/>
        <v>3.4999999999999931E-3</v>
      </c>
      <c r="J204">
        <f t="shared" si="21"/>
        <v>9.0631848720000114</v>
      </c>
      <c r="K204">
        <f t="shared" si="22"/>
        <v>0.69999999999999929</v>
      </c>
      <c r="L204">
        <f t="shared" si="23"/>
        <v>9.7666848720000115</v>
      </c>
      <c r="Q204">
        <f t="shared" si="19"/>
        <v>72.12</v>
      </c>
    </row>
    <row r="205" spans="1:17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 s="2">
        <v>77.09075</v>
      </c>
      <c r="I205">
        <f t="shared" si="20"/>
        <v>3.4999999999999931E-3</v>
      </c>
      <c r="J205">
        <f t="shared" si="21"/>
        <v>9.0631848720000114</v>
      </c>
      <c r="K205">
        <f t="shared" si="22"/>
        <v>0.69999999999999929</v>
      </c>
      <c r="L205">
        <f t="shared" si="23"/>
        <v>9.7666848720000115</v>
      </c>
      <c r="Q205">
        <f t="shared" si="19"/>
        <v>77.09075</v>
      </c>
    </row>
    <row r="206" spans="1:17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 s="2">
        <v>69.174250000000001</v>
      </c>
      <c r="I206">
        <f t="shared" si="20"/>
        <v>3.4999999999999931E-3</v>
      </c>
      <c r="J206">
        <f t="shared" si="21"/>
        <v>9.0631848720000114</v>
      </c>
      <c r="K206">
        <f t="shared" si="22"/>
        <v>0.69999999999999929</v>
      </c>
      <c r="L206">
        <f t="shared" si="23"/>
        <v>9.7666848720000115</v>
      </c>
      <c r="Q206">
        <f t="shared" si="19"/>
        <v>69.174250000000001</v>
      </c>
    </row>
    <row r="207" spans="1:17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 s="2">
        <v>61.452250000000006</v>
      </c>
      <c r="I207">
        <f t="shared" si="20"/>
        <v>2.3904999999999998</v>
      </c>
      <c r="J207">
        <f t="shared" si="21"/>
        <v>0.88175334799999305</v>
      </c>
      <c r="K207">
        <f t="shared" si="22"/>
        <v>0.60000000000000142</v>
      </c>
      <c r="L207">
        <f t="shared" si="23"/>
        <v>3.8722533479999943</v>
      </c>
      <c r="Q207">
        <f t="shared" si="19"/>
        <v>61.452250000000006</v>
      </c>
    </row>
    <row r="208" spans="1:17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 s="2">
        <v>68.610249999999994</v>
      </c>
      <c r="I208">
        <f t="shared" si="20"/>
        <v>2.3904999999999998</v>
      </c>
      <c r="J208">
        <f t="shared" si="21"/>
        <v>0.88175334799999305</v>
      </c>
      <c r="K208">
        <f t="shared" si="22"/>
        <v>0.60000000000000142</v>
      </c>
      <c r="L208">
        <f t="shared" si="23"/>
        <v>3.8722533479999943</v>
      </c>
      <c r="Q208">
        <f t="shared" si="19"/>
        <v>68.610249999999994</v>
      </c>
    </row>
    <row r="209" spans="1:17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 s="2">
        <v>55.808250000000001</v>
      </c>
      <c r="I209">
        <f t="shared" si="20"/>
        <v>2.3904999999999998</v>
      </c>
      <c r="J209">
        <f t="shared" si="21"/>
        <v>0.88175334799999305</v>
      </c>
      <c r="K209">
        <f t="shared" si="22"/>
        <v>0.60000000000000142</v>
      </c>
      <c r="L209">
        <f t="shared" si="23"/>
        <v>3.8722533479999943</v>
      </c>
      <c r="Q209">
        <f t="shared" si="19"/>
        <v>55.808250000000001</v>
      </c>
    </row>
    <row r="210" spans="1:17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 s="2">
        <v>72.615499999999997</v>
      </c>
      <c r="I210">
        <f t="shared" si="20"/>
        <v>2.3904999999999998</v>
      </c>
      <c r="J210">
        <f t="shared" si="21"/>
        <v>0.88175334799999305</v>
      </c>
      <c r="K210">
        <f t="shared" si="22"/>
        <v>0.60000000000000142</v>
      </c>
      <c r="L210">
        <f t="shared" si="23"/>
        <v>3.8722533479999943</v>
      </c>
      <c r="Q210">
        <f t="shared" si="19"/>
        <v>72.615499999999997</v>
      </c>
    </row>
    <row r="211" spans="1:17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 s="2">
        <v>73.906499999999994</v>
      </c>
      <c r="I211">
        <f t="shared" si="20"/>
        <v>2.3904999999999998</v>
      </c>
      <c r="J211">
        <f t="shared" si="21"/>
        <v>0.88175334799999305</v>
      </c>
      <c r="K211">
        <f t="shared" si="22"/>
        <v>0.60000000000000142</v>
      </c>
      <c r="L211">
        <f t="shared" si="23"/>
        <v>3.8722533479999943</v>
      </c>
      <c r="Q211">
        <f t="shared" si="19"/>
        <v>73.906499999999994</v>
      </c>
    </row>
    <row r="212" spans="1:17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 s="2">
        <v>74.3245</v>
      </c>
      <c r="I212">
        <f t="shared" si="20"/>
        <v>2.3904999999999998</v>
      </c>
      <c r="J212">
        <f t="shared" si="21"/>
        <v>0.88175334799999305</v>
      </c>
      <c r="K212">
        <f t="shared" si="22"/>
        <v>0.60000000000000142</v>
      </c>
      <c r="L212">
        <f t="shared" si="23"/>
        <v>3.8722533479999943</v>
      </c>
      <c r="Q212">
        <f t="shared" si="19"/>
        <v>74.3245</v>
      </c>
    </row>
    <row r="213" spans="1:17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 s="2">
        <v>68.482249999999993</v>
      </c>
      <c r="I213">
        <f t="shared" si="20"/>
        <v>2.3904999999999998</v>
      </c>
      <c r="J213">
        <f t="shared" si="21"/>
        <v>0.88175334799999305</v>
      </c>
      <c r="K213">
        <f t="shared" si="22"/>
        <v>0.60000000000000142</v>
      </c>
      <c r="L213">
        <f t="shared" si="23"/>
        <v>3.8722533479999943</v>
      </c>
      <c r="Q213">
        <f t="shared" si="19"/>
        <v>68.482249999999993</v>
      </c>
    </row>
    <row r="214" spans="1:17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 s="2">
        <v>63.798749999999998</v>
      </c>
      <c r="I214">
        <f t="shared" si="20"/>
        <v>2.3904999999999998</v>
      </c>
      <c r="J214">
        <f t="shared" si="21"/>
        <v>0.88175334799999305</v>
      </c>
      <c r="K214">
        <f t="shared" si="22"/>
        <v>0.60000000000000142</v>
      </c>
      <c r="L214">
        <f t="shared" si="23"/>
        <v>3.8722533479999943</v>
      </c>
      <c r="Q214">
        <f t="shared" si="19"/>
        <v>63.798749999999998</v>
      </c>
    </row>
    <row r="215" spans="1:17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 s="2">
        <v>64.712249999999997</v>
      </c>
      <c r="I215">
        <f t="shared" si="20"/>
        <v>2.3904999999999998</v>
      </c>
      <c r="J215">
        <f t="shared" si="21"/>
        <v>0.88175334799999305</v>
      </c>
      <c r="K215">
        <f t="shared" si="22"/>
        <v>0.60000000000000142</v>
      </c>
      <c r="L215">
        <f t="shared" si="23"/>
        <v>3.8722533479999943</v>
      </c>
      <c r="Q215">
        <f t="shared" si="19"/>
        <v>64.712249999999997</v>
      </c>
    </row>
    <row r="216" spans="1:17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 s="2">
        <v>56.342749999999995</v>
      </c>
      <c r="I216">
        <f t="shared" si="20"/>
        <v>2.3904999999999998</v>
      </c>
      <c r="J216">
        <f t="shared" si="21"/>
        <v>0.88175334799999305</v>
      </c>
      <c r="K216">
        <f t="shared" si="22"/>
        <v>0.60000000000000142</v>
      </c>
      <c r="L216">
        <f t="shared" si="23"/>
        <v>3.8722533479999943</v>
      </c>
      <c r="Q216">
        <f t="shared" si="19"/>
        <v>56.342749999999995</v>
      </c>
    </row>
    <row r="217" spans="1:17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 s="2">
        <v>71.579750000000004</v>
      </c>
      <c r="I217">
        <f t="shared" si="20"/>
        <v>2.7404999999999999</v>
      </c>
      <c r="J217">
        <f t="shared" si="21"/>
        <v>0.88175334799999305</v>
      </c>
      <c r="K217">
        <f t="shared" si="22"/>
        <v>0.5</v>
      </c>
      <c r="L217">
        <f t="shared" si="23"/>
        <v>4.122253347999993</v>
      </c>
      <c r="Q217">
        <f t="shared" si="19"/>
        <v>71.579750000000004</v>
      </c>
    </row>
    <row r="218" spans="1:17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 s="2">
        <v>73.746499999999997</v>
      </c>
      <c r="I218">
        <f t="shared" si="20"/>
        <v>2.7404999999999999</v>
      </c>
      <c r="J218">
        <f t="shared" si="21"/>
        <v>0.88175334799999305</v>
      </c>
      <c r="K218">
        <f t="shared" si="22"/>
        <v>0.5</v>
      </c>
      <c r="L218">
        <f t="shared" si="23"/>
        <v>4.122253347999993</v>
      </c>
      <c r="Q218">
        <f t="shared" si="19"/>
        <v>73.746499999999997</v>
      </c>
    </row>
    <row r="219" spans="1:17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 s="2">
        <v>66.460499999999996</v>
      </c>
      <c r="I219">
        <f t="shared" si="20"/>
        <v>2.7404999999999999</v>
      </c>
      <c r="J219">
        <f t="shared" si="21"/>
        <v>0.88175334799999305</v>
      </c>
      <c r="K219">
        <f t="shared" si="22"/>
        <v>0.5</v>
      </c>
      <c r="L219">
        <f t="shared" si="23"/>
        <v>4.122253347999993</v>
      </c>
      <c r="Q219">
        <f t="shared" si="19"/>
        <v>66.460499999999996</v>
      </c>
    </row>
    <row r="220" spans="1:17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 s="2">
        <v>67.751750000000001</v>
      </c>
      <c r="I220">
        <f t="shared" si="20"/>
        <v>2.7404999999999999</v>
      </c>
      <c r="J220">
        <f t="shared" si="21"/>
        <v>0.88175334799999305</v>
      </c>
      <c r="K220">
        <f t="shared" si="22"/>
        <v>0.5</v>
      </c>
      <c r="L220">
        <f t="shared" si="23"/>
        <v>4.122253347999993</v>
      </c>
      <c r="Q220">
        <f t="shared" si="19"/>
        <v>67.751750000000001</v>
      </c>
    </row>
    <row r="221" spans="1:17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 s="2">
        <v>71.864000000000004</v>
      </c>
      <c r="I221">
        <f t="shared" si="20"/>
        <v>2.7404999999999999</v>
      </c>
      <c r="J221">
        <f t="shared" si="21"/>
        <v>0.88175334799999305</v>
      </c>
      <c r="K221">
        <f t="shared" si="22"/>
        <v>0.5</v>
      </c>
      <c r="L221">
        <f t="shared" si="23"/>
        <v>4.122253347999993</v>
      </c>
      <c r="Q221">
        <f t="shared" si="19"/>
        <v>71.864000000000004</v>
      </c>
    </row>
    <row r="222" spans="1:17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 s="2">
        <v>77.188500000000005</v>
      </c>
      <c r="I222">
        <f t="shared" si="20"/>
        <v>2.7404999999999999</v>
      </c>
      <c r="J222">
        <f t="shared" si="21"/>
        <v>0.88175334799999305</v>
      </c>
      <c r="K222">
        <f t="shared" si="22"/>
        <v>0.5</v>
      </c>
      <c r="L222">
        <f t="shared" si="23"/>
        <v>4.122253347999993</v>
      </c>
      <c r="Q222">
        <f t="shared" si="19"/>
        <v>77.188500000000005</v>
      </c>
    </row>
    <row r="223" spans="1:17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 s="2">
        <v>80.233000000000004</v>
      </c>
      <c r="I223">
        <f t="shared" si="20"/>
        <v>2.7404999999999999</v>
      </c>
      <c r="J223">
        <f t="shared" si="21"/>
        <v>0.88175334799999305</v>
      </c>
      <c r="K223">
        <f t="shared" si="22"/>
        <v>0.5</v>
      </c>
      <c r="L223">
        <f t="shared" si="23"/>
        <v>4.122253347999993</v>
      </c>
      <c r="Q223">
        <f t="shared" si="19"/>
        <v>80.233000000000004</v>
      </c>
    </row>
    <row r="224" spans="1:17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 s="2">
        <v>66.320750000000004</v>
      </c>
      <c r="I224">
        <f t="shared" si="20"/>
        <v>2.7404999999999999</v>
      </c>
      <c r="J224">
        <f t="shared" si="21"/>
        <v>0.88175334799999305</v>
      </c>
      <c r="K224">
        <f t="shared" si="22"/>
        <v>0.5</v>
      </c>
      <c r="L224">
        <f t="shared" si="23"/>
        <v>4.122253347999993</v>
      </c>
      <c r="Q224">
        <f t="shared" ref="Q224:Q255" si="24">G224</f>
        <v>66.320750000000004</v>
      </c>
    </row>
    <row r="225" spans="1:17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 s="2">
        <v>66.893500000000003</v>
      </c>
      <c r="I225">
        <f t="shared" si="20"/>
        <v>0</v>
      </c>
      <c r="J225">
        <f t="shared" si="21"/>
        <v>6.930171780000002</v>
      </c>
      <c r="K225">
        <f t="shared" si="22"/>
        <v>5.5</v>
      </c>
      <c r="L225">
        <f t="shared" si="23"/>
        <v>12.430171780000002</v>
      </c>
      <c r="Q225">
        <f t="shared" si="24"/>
        <v>66.893500000000003</v>
      </c>
    </row>
    <row r="226" spans="1:17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 s="2">
        <v>81.660499999999999</v>
      </c>
      <c r="I226">
        <f t="shared" si="20"/>
        <v>0</v>
      </c>
      <c r="J226">
        <f t="shared" si="21"/>
        <v>6.930171780000002</v>
      </c>
      <c r="K226">
        <f t="shared" si="22"/>
        <v>5.5</v>
      </c>
      <c r="L226">
        <f t="shared" si="23"/>
        <v>12.430171780000002</v>
      </c>
      <c r="Q226">
        <f t="shared" si="24"/>
        <v>81.660499999999999</v>
      </c>
    </row>
    <row r="227" spans="1:17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 s="2">
        <v>72.416499999999999</v>
      </c>
      <c r="I227">
        <f t="shared" si="20"/>
        <v>0</v>
      </c>
      <c r="J227">
        <f t="shared" si="21"/>
        <v>6.930171780000002</v>
      </c>
      <c r="K227">
        <f t="shared" si="22"/>
        <v>5.5</v>
      </c>
      <c r="L227">
        <f t="shared" si="23"/>
        <v>12.430171780000002</v>
      </c>
      <c r="Q227">
        <f t="shared" si="24"/>
        <v>72.416499999999999</v>
      </c>
    </row>
    <row r="228" spans="1:17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 s="2">
        <v>65.866249999999994</v>
      </c>
      <c r="I228">
        <f t="shared" si="20"/>
        <v>0</v>
      </c>
      <c r="J228">
        <f t="shared" si="21"/>
        <v>6.930171780000002</v>
      </c>
      <c r="K228">
        <f t="shared" si="22"/>
        <v>5.5</v>
      </c>
      <c r="L228">
        <f t="shared" si="23"/>
        <v>12.430171780000002</v>
      </c>
      <c r="Q228">
        <f t="shared" si="24"/>
        <v>65.866249999999994</v>
      </c>
    </row>
    <row r="229" spans="1:17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 s="2">
        <v>75.326750000000004</v>
      </c>
      <c r="I229">
        <f t="shared" si="20"/>
        <v>0</v>
      </c>
      <c r="J229">
        <f t="shared" si="21"/>
        <v>6.930171780000002</v>
      </c>
      <c r="K229">
        <f t="shared" si="22"/>
        <v>5.5</v>
      </c>
      <c r="L229">
        <f t="shared" si="23"/>
        <v>12.430171780000002</v>
      </c>
      <c r="Q229">
        <f t="shared" si="24"/>
        <v>75.326750000000004</v>
      </c>
    </row>
    <row r="230" spans="1:17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 s="2">
        <v>71.574749999999995</v>
      </c>
      <c r="I230">
        <f t="shared" si="20"/>
        <v>0</v>
      </c>
      <c r="J230">
        <f t="shared" si="21"/>
        <v>6.930171780000002</v>
      </c>
      <c r="K230">
        <f t="shared" si="22"/>
        <v>5.5</v>
      </c>
      <c r="L230">
        <f t="shared" si="23"/>
        <v>12.430171780000002</v>
      </c>
      <c r="Q230">
        <f t="shared" si="24"/>
        <v>71.574749999999995</v>
      </c>
    </row>
    <row r="231" spans="1:17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 s="2">
        <v>82.138000000000005</v>
      </c>
      <c r="I231">
        <f t="shared" si="20"/>
        <v>0</v>
      </c>
      <c r="J231">
        <f t="shared" si="21"/>
        <v>6.930171780000002</v>
      </c>
      <c r="K231">
        <f t="shared" si="22"/>
        <v>5.5</v>
      </c>
      <c r="L231">
        <f t="shared" si="23"/>
        <v>12.430171780000002</v>
      </c>
      <c r="Q231">
        <f t="shared" si="24"/>
        <v>82.138000000000005</v>
      </c>
    </row>
    <row r="232" spans="1:17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 s="2">
        <v>72.459999999999994</v>
      </c>
      <c r="I232">
        <f t="shared" si="20"/>
        <v>0</v>
      </c>
      <c r="J232">
        <f t="shared" si="21"/>
        <v>6.930171780000002</v>
      </c>
      <c r="K232">
        <f t="shared" si="22"/>
        <v>5.5</v>
      </c>
      <c r="L232">
        <f t="shared" si="23"/>
        <v>12.430171780000002</v>
      </c>
      <c r="Q232">
        <f t="shared" si="24"/>
        <v>72.459999999999994</v>
      </c>
    </row>
    <row r="233" spans="1:17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 s="2">
        <v>78.288749999999993</v>
      </c>
      <c r="I233">
        <f t="shared" si="20"/>
        <v>0</v>
      </c>
      <c r="J233">
        <f t="shared" si="21"/>
        <v>6.930171780000002</v>
      </c>
      <c r="K233">
        <f t="shared" si="22"/>
        <v>5.5</v>
      </c>
      <c r="L233">
        <f t="shared" si="23"/>
        <v>12.430171780000002</v>
      </c>
      <c r="Q233">
        <f t="shared" si="24"/>
        <v>78.288749999999993</v>
      </c>
    </row>
    <row r="234" spans="1:17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 s="2">
        <v>79.266000000000005</v>
      </c>
      <c r="I234">
        <f t="shared" si="20"/>
        <v>0</v>
      </c>
      <c r="J234">
        <f t="shared" si="21"/>
        <v>6.930171780000002</v>
      </c>
      <c r="K234">
        <f t="shared" si="22"/>
        <v>5.5</v>
      </c>
      <c r="L234">
        <f t="shared" si="23"/>
        <v>12.430171780000002</v>
      </c>
      <c r="Q234">
        <f t="shared" si="24"/>
        <v>79.266000000000005</v>
      </c>
    </row>
    <row r="235" spans="1:17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 s="2">
        <v>74.896000000000001</v>
      </c>
      <c r="I235">
        <f t="shared" si="20"/>
        <v>0</v>
      </c>
      <c r="J235">
        <f t="shared" si="21"/>
        <v>6.930171780000002</v>
      </c>
      <c r="K235">
        <f t="shared" si="22"/>
        <v>5.5</v>
      </c>
      <c r="L235">
        <f t="shared" si="23"/>
        <v>12.430171780000002</v>
      </c>
      <c r="Q235">
        <f t="shared" si="24"/>
        <v>74.896000000000001</v>
      </c>
    </row>
    <row r="236" spans="1:17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 s="2">
        <v>74.737250000000003</v>
      </c>
      <c r="I236">
        <f t="shared" si="20"/>
        <v>0</v>
      </c>
      <c r="J236">
        <f t="shared" si="21"/>
        <v>6.930171780000002</v>
      </c>
      <c r="K236">
        <f t="shared" si="22"/>
        <v>5.5</v>
      </c>
      <c r="L236">
        <f t="shared" si="23"/>
        <v>12.430171780000002</v>
      </c>
      <c r="Q236">
        <f t="shared" si="24"/>
        <v>74.737250000000003</v>
      </c>
    </row>
    <row r="237" spans="1:17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 s="2">
        <v>69.0565</v>
      </c>
      <c r="I237">
        <f t="shared" si="20"/>
        <v>3.4999999999999931E-3</v>
      </c>
      <c r="J237">
        <f t="shared" si="21"/>
        <v>6.7434517080000056</v>
      </c>
      <c r="K237">
        <f t="shared" si="22"/>
        <v>5.3999999999999986</v>
      </c>
      <c r="L237">
        <f t="shared" si="23"/>
        <v>12.146951708000003</v>
      </c>
      <c r="Q237">
        <f t="shared" si="24"/>
        <v>69.0565</v>
      </c>
    </row>
    <row r="238" spans="1:17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 s="2">
        <v>70.078749999999999</v>
      </c>
      <c r="I238">
        <f t="shared" si="20"/>
        <v>3.4999999999999931E-3</v>
      </c>
      <c r="J238">
        <f t="shared" si="21"/>
        <v>6.7434517080000056</v>
      </c>
      <c r="K238">
        <f t="shared" si="22"/>
        <v>5.3999999999999986</v>
      </c>
      <c r="L238">
        <f t="shared" si="23"/>
        <v>12.146951708000003</v>
      </c>
      <c r="Q238">
        <f t="shared" si="24"/>
        <v>70.078749999999999</v>
      </c>
    </row>
    <row r="239" spans="1:17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 s="2">
        <v>78.636750000000006</v>
      </c>
      <c r="I239">
        <f t="shared" si="20"/>
        <v>3.4999999999999931E-3</v>
      </c>
      <c r="J239">
        <f t="shared" si="21"/>
        <v>6.7434517080000056</v>
      </c>
      <c r="K239">
        <f t="shared" si="22"/>
        <v>5.3999999999999986</v>
      </c>
      <c r="L239">
        <f t="shared" si="23"/>
        <v>12.146951708000003</v>
      </c>
      <c r="Q239">
        <f t="shared" si="24"/>
        <v>78.636750000000006</v>
      </c>
    </row>
    <row r="240" spans="1:17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 s="2">
        <v>66.914000000000001</v>
      </c>
      <c r="I240">
        <f t="shared" si="20"/>
        <v>3.4999999999999931E-3</v>
      </c>
      <c r="J240">
        <f t="shared" si="21"/>
        <v>6.7434517080000056</v>
      </c>
      <c r="K240">
        <f t="shared" si="22"/>
        <v>5.3999999999999986</v>
      </c>
      <c r="L240">
        <f t="shared" si="23"/>
        <v>12.146951708000003</v>
      </c>
      <c r="Q240">
        <f t="shared" si="24"/>
        <v>66.914000000000001</v>
      </c>
    </row>
    <row r="241" spans="1:17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 s="2">
        <v>70.268749999999997</v>
      </c>
      <c r="I241">
        <f t="shared" si="20"/>
        <v>3.4999999999999931E-3</v>
      </c>
      <c r="J241">
        <f t="shared" si="21"/>
        <v>6.7434517080000056</v>
      </c>
      <c r="K241">
        <f t="shared" si="22"/>
        <v>5.3999999999999986</v>
      </c>
      <c r="L241">
        <f t="shared" si="23"/>
        <v>12.146951708000003</v>
      </c>
      <c r="Q241">
        <f t="shared" si="24"/>
        <v>70.268749999999997</v>
      </c>
    </row>
    <row r="242" spans="1:17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 s="2">
        <v>73.590249999999997</v>
      </c>
      <c r="I242">
        <f t="shared" si="20"/>
        <v>3.4999999999999931E-3</v>
      </c>
      <c r="J242">
        <f t="shared" si="21"/>
        <v>6.7434517080000056</v>
      </c>
      <c r="K242">
        <f t="shared" si="22"/>
        <v>5.3999999999999986</v>
      </c>
      <c r="L242">
        <f t="shared" si="23"/>
        <v>12.146951708000003</v>
      </c>
      <c r="Q242">
        <f t="shared" si="24"/>
        <v>73.590249999999997</v>
      </c>
    </row>
    <row r="243" spans="1:17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 s="2">
        <v>71.209000000000003</v>
      </c>
      <c r="I243">
        <f t="shared" si="20"/>
        <v>3.4999999999999931E-3</v>
      </c>
      <c r="J243">
        <f t="shared" si="21"/>
        <v>6.7434517080000056</v>
      </c>
      <c r="K243">
        <f t="shared" si="22"/>
        <v>5.3999999999999986</v>
      </c>
      <c r="L243">
        <f t="shared" si="23"/>
        <v>12.146951708000003</v>
      </c>
      <c r="Q243">
        <f t="shared" si="24"/>
        <v>71.209000000000003</v>
      </c>
    </row>
    <row r="244" spans="1:17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 s="2">
        <v>69.923249999999996</v>
      </c>
      <c r="I244">
        <f t="shared" si="20"/>
        <v>3.4999999999999931E-3</v>
      </c>
      <c r="J244">
        <f t="shared" si="21"/>
        <v>6.7434517080000056</v>
      </c>
      <c r="K244">
        <f t="shared" si="22"/>
        <v>5.3999999999999986</v>
      </c>
      <c r="L244">
        <f t="shared" si="23"/>
        <v>12.146951708000003</v>
      </c>
      <c r="Q244">
        <f t="shared" si="24"/>
        <v>69.923249999999996</v>
      </c>
    </row>
    <row r="245" spans="1:17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 s="2">
        <v>72.986500000000007</v>
      </c>
      <c r="I245">
        <f t="shared" si="20"/>
        <v>3.4999999999999931E-3</v>
      </c>
      <c r="J245">
        <f t="shared" si="21"/>
        <v>6.7434517080000056</v>
      </c>
      <c r="K245">
        <f t="shared" si="22"/>
        <v>5.3999999999999986</v>
      </c>
      <c r="L245">
        <f t="shared" si="23"/>
        <v>12.146951708000003</v>
      </c>
      <c r="Q245">
        <f t="shared" si="24"/>
        <v>72.986500000000007</v>
      </c>
    </row>
    <row r="246" spans="1:17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 s="2">
        <v>73.941500000000005</v>
      </c>
      <c r="I246">
        <f t="shared" si="20"/>
        <v>3.4999999999999931E-3</v>
      </c>
      <c r="J246">
        <f t="shared" si="21"/>
        <v>6.7434517080000056</v>
      </c>
      <c r="K246">
        <f t="shared" si="22"/>
        <v>5.3999999999999986</v>
      </c>
      <c r="L246">
        <f t="shared" si="23"/>
        <v>12.146951708000003</v>
      </c>
      <c r="Q246">
        <f t="shared" si="24"/>
        <v>73.941500000000005</v>
      </c>
    </row>
    <row r="247" spans="1:17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 s="2">
        <v>71.51925</v>
      </c>
      <c r="I247">
        <f t="shared" si="20"/>
        <v>3.4999999999999931E-3</v>
      </c>
      <c r="J247">
        <f t="shared" si="21"/>
        <v>6.7434517080000056</v>
      </c>
      <c r="K247">
        <f t="shared" si="22"/>
        <v>5.3999999999999986</v>
      </c>
      <c r="L247">
        <f t="shared" si="23"/>
        <v>12.146951708000003</v>
      </c>
      <c r="Q247">
        <f t="shared" si="24"/>
        <v>71.51925</v>
      </c>
    </row>
    <row r="248" spans="1:17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 s="2">
        <v>63.005499999999998</v>
      </c>
      <c r="I248">
        <f t="shared" si="20"/>
        <v>3.4999999999999931E-3</v>
      </c>
      <c r="J248">
        <f t="shared" si="21"/>
        <v>6.7434517080000056</v>
      </c>
      <c r="K248">
        <f t="shared" si="22"/>
        <v>5.3999999999999986</v>
      </c>
      <c r="L248">
        <f t="shared" si="23"/>
        <v>12.146951708000003</v>
      </c>
      <c r="Q248">
        <f t="shared" si="24"/>
        <v>63.005499999999998</v>
      </c>
    </row>
    <row r="249" spans="1:17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 s="2">
        <v>76.78725</v>
      </c>
      <c r="I249">
        <f t="shared" si="20"/>
        <v>3.4999999999999931E-3</v>
      </c>
      <c r="J249">
        <f t="shared" si="21"/>
        <v>6.7434517080000056</v>
      </c>
      <c r="K249">
        <f t="shared" si="22"/>
        <v>5.3999999999999986</v>
      </c>
      <c r="L249">
        <f t="shared" si="23"/>
        <v>12.146951708000003</v>
      </c>
      <c r="Q249">
        <f t="shared" si="24"/>
        <v>76.78725</v>
      </c>
    </row>
    <row r="250" spans="1:17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 s="2">
        <v>72.307249999999996</v>
      </c>
      <c r="I250">
        <f t="shared" si="20"/>
        <v>3.4999999999999931E-3</v>
      </c>
      <c r="J250">
        <f t="shared" si="21"/>
        <v>6.7434517080000056</v>
      </c>
      <c r="K250">
        <f t="shared" si="22"/>
        <v>5.3999999999999986</v>
      </c>
      <c r="L250">
        <f t="shared" si="23"/>
        <v>12.146951708000003</v>
      </c>
      <c r="Q250">
        <f t="shared" si="24"/>
        <v>72.307249999999996</v>
      </c>
    </row>
    <row r="251" spans="1:17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 s="2">
        <v>76.546250000000001</v>
      </c>
      <c r="I251">
        <f t="shared" si="20"/>
        <v>3.4999999999999931E-3</v>
      </c>
      <c r="J251">
        <f t="shared" si="21"/>
        <v>6.7434517080000056</v>
      </c>
      <c r="K251">
        <f t="shared" si="22"/>
        <v>5.3999999999999986</v>
      </c>
      <c r="L251">
        <f t="shared" si="23"/>
        <v>12.146951708000003</v>
      </c>
      <c r="Q251">
        <f t="shared" si="24"/>
        <v>76.546250000000001</v>
      </c>
    </row>
    <row r="252" spans="1:17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 s="2">
        <v>67.457999999999998</v>
      </c>
      <c r="I252">
        <f t="shared" si="20"/>
        <v>2.3904999999999998</v>
      </c>
      <c r="J252">
        <f t="shared" si="21"/>
        <v>0.74961812800000871</v>
      </c>
      <c r="K252">
        <f t="shared" si="22"/>
        <v>5.3999999999999986</v>
      </c>
      <c r="L252">
        <f t="shared" si="23"/>
        <v>8.5401181280000067</v>
      </c>
      <c r="Q252">
        <f t="shared" si="24"/>
        <v>67.457999999999998</v>
      </c>
    </row>
    <row r="253" spans="1:17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 s="2">
        <v>70.489999999999995</v>
      </c>
      <c r="I253">
        <f t="shared" si="20"/>
        <v>2.3904999999999998</v>
      </c>
      <c r="J253">
        <f t="shared" si="21"/>
        <v>0.74961812800000871</v>
      </c>
      <c r="K253">
        <f t="shared" si="22"/>
        <v>5.3999999999999986</v>
      </c>
      <c r="L253">
        <f t="shared" si="23"/>
        <v>8.5401181280000067</v>
      </c>
      <c r="Q253">
        <f t="shared" si="24"/>
        <v>70.489999999999995</v>
      </c>
    </row>
    <row r="254" spans="1:17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 s="2">
        <v>60.255250000000004</v>
      </c>
      <c r="I254">
        <f t="shared" si="20"/>
        <v>2.3904999999999998</v>
      </c>
      <c r="J254">
        <f t="shared" si="21"/>
        <v>0.74961812800000871</v>
      </c>
      <c r="K254">
        <f t="shared" si="22"/>
        <v>5.3999999999999986</v>
      </c>
      <c r="L254">
        <f t="shared" si="23"/>
        <v>8.5401181280000067</v>
      </c>
      <c r="Q254">
        <f t="shared" si="24"/>
        <v>60.255250000000004</v>
      </c>
    </row>
    <row r="255" spans="1:17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 s="2">
        <v>71.189499999999995</v>
      </c>
      <c r="I255">
        <f t="shared" si="20"/>
        <v>2.3904999999999998</v>
      </c>
      <c r="J255">
        <f t="shared" si="21"/>
        <v>0.74961812800000871</v>
      </c>
      <c r="K255">
        <f t="shared" si="22"/>
        <v>5.3999999999999986</v>
      </c>
      <c r="L255">
        <f t="shared" si="23"/>
        <v>8.5401181280000067</v>
      </c>
      <c r="Q255">
        <f t="shared" si="24"/>
        <v>71.189499999999995</v>
      </c>
    </row>
    <row r="256" spans="1:17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 s="2">
        <v>74.820750000000004</v>
      </c>
      <c r="I256">
        <f t="shared" si="20"/>
        <v>2.3904999999999998</v>
      </c>
      <c r="J256">
        <f t="shared" si="21"/>
        <v>0.74961812800000871</v>
      </c>
      <c r="K256">
        <f t="shared" si="22"/>
        <v>5.3999999999999986</v>
      </c>
      <c r="L256">
        <f t="shared" si="23"/>
        <v>8.5401181280000067</v>
      </c>
      <c r="Q256">
        <f t="shared" ref="Q256:Q287" si="25">G256</f>
        <v>74.820750000000004</v>
      </c>
    </row>
    <row r="257" spans="1:17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 s="2">
        <v>70.762</v>
      </c>
      <c r="I257">
        <f t="shared" si="20"/>
        <v>2.3904999999999998</v>
      </c>
      <c r="J257">
        <f t="shared" si="21"/>
        <v>0.74961812800000871</v>
      </c>
      <c r="K257">
        <f t="shared" si="22"/>
        <v>5.3999999999999986</v>
      </c>
      <c r="L257">
        <f t="shared" si="23"/>
        <v>8.5401181280000067</v>
      </c>
      <c r="Q257">
        <f t="shared" si="25"/>
        <v>70.762</v>
      </c>
    </row>
    <row r="258" spans="1:17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 s="2">
        <v>73.534999999999997</v>
      </c>
      <c r="I258">
        <f t="shared" si="20"/>
        <v>2.3904999999999998</v>
      </c>
      <c r="J258">
        <f t="shared" si="21"/>
        <v>0.74961812800000871</v>
      </c>
      <c r="K258">
        <f t="shared" si="22"/>
        <v>5.3999999999999986</v>
      </c>
      <c r="L258">
        <f t="shared" si="23"/>
        <v>8.5401181280000067</v>
      </c>
      <c r="Q258">
        <f t="shared" si="25"/>
        <v>73.534999999999997</v>
      </c>
    </row>
    <row r="259" spans="1:17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 s="2">
        <v>68.245999999999995</v>
      </c>
      <c r="I259">
        <f t="shared" ref="I259:I322" si="26">(E259-0.17)*$U$2</f>
        <v>2.3904999999999998</v>
      </c>
      <c r="J259">
        <f t="shared" ref="J259:J322" si="27">(8-D259)*$U$4</f>
        <v>0.74961812800000871</v>
      </c>
      <c r="K259">
        <f t="shared" ref="K259:K322" si="28">(C259-20)*$U$3</f>
        <v>5.3999999999999986</v>
      </c>
      <c r="L259">
        <f t="shared" ref="L259:L322" si="29">SUM(I259:K259)</f>
        <v>8.5401181280000067</v>
      </c>
      <c r="Q259">
        <f t="shared" si="25"/>
        <v>68.245999999999995</v>
      </c>
    </row>
    <row r="260" spans="1:17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 s="2">
        <v>77.494749999999996</v>
      </c>
      <c r="I260">
        <f t="shared" si="26"/>
        <v>2.3904999999999998</v>
      </c>
      <c r="J260">
        <f t="shared" si="27"/>
        <v>0.74961812800000871</v>
      </c>
      <c r="K260">
        <f t="shared" si="28"/>
        <v>5.3999999999999986</v>
      </c>
      <c r="L260">
        <f t="shared" si="29"/>
        <v>8.5401181280000067</v>
      </c>
      <c r="Q260">
        <f t="shared" si="25"/>
        <v>77.494749999999996</v>
      </c>
    </row>
    <row r="261" spans="1:17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 s="2">
        <v>77.151499999999999</v>
      </c>
      <c r="I261">
        <f t="shared" si="26"/>
        <v>2.3904999999999998</v>
      </c>
      <c r="J261">
        <f t="shared" si="27"/>
        <v>0.74961812800000871</v>
      </c>
      <c r="K261">
        <f t="shared" si="28"/>
        <v>5.3999999999999986</v>
      </c>
      <c r="L261">
        <f t="shared" si="29"/>
        <v>8.5401181280000067</v>
      </c>
      <c r="Q261">
        <f t="shared" si="25"/>
        <v>77.151499999999999</v>
      </c>
    </row>
    <row r="262" spans="1:17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 s="2">
        <v>71.0685</v>
      </c>
      <c r="I262">
        <f t="shared" si="26"/>
        <v>2.3904999999999998</v>
      </c>
      <c r="J262">
        <f t="shared" si="27"/>
        <v>0.74961812800000871</v>
      </c>
      <c r="K262">
        <f t="shared" si="28"/>
        <v>5.3999999999999986</v>
      </c>
      <c r="L262">
        <f t="shared" si="29"/>
        <v>8.5401181280000067</v>
      </c>
      <c r="Q262">
        <f t="shared" si="25"/>
        <v>71.0685</v>
      </c>
    </row>
    <row r="263" spans="1:17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 s="2">
        <v>77.197500000000005</v>
      </c>
      <c r="I263">
        <f t="shared" si="26"/>
        <v>2.3904999999999998</v>
      </c>
      <c r="J263">
        <f t="shared" si="27"/>
        <v>0.69536432000000659</v>
      </c>
      <c r="K263">
        <f t="shared" si="28"/>
        <v>5.3000000000000007</v>
      </c>
      <c r="L263">
        <f t="shared" si="29"/>
        <v>8.3858643200000067</v>
      </c>
      <c r="Q263">
        <f t="shared" si="25"/>
        <v>77.197500000000005</v>
      </c>
    </row>
    <row r="264" spans="1:17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 s="2">
        <v>71.883499999999998</v>
      </c>
      <c r="I264">
        <f t="shared" si="26"/>
        <v>2.3904999999999998</v>
      </c>
      <c r="J264">
        <f t="shared" si="27"/>
        <v>0.69536432000000659</v>
      </c>
      <c r="K264">
        <f t="shared" si="28"/>
        <v>5.3000000000000007</v>
      </c>
      <c r="L264">
        <f t="shared" si="29"/>
        <v>8.3858643200000067</v>
      </c>
      <c r="Q264">
        <f t="shared" si="25"/>
        <v>71.883499999999998</v>
      </c>
    </row>
    <row r="265" spans="1:17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 s="2">
        <v>75.876999999999995</v>
      </c>
      <c r="I265">
        <f t="shared" si="26"/>
        <v>2.3904999999999998</v>
      </c>
      <c r="J265">
        <f t="shared" si="27"/>
        <v>0.69536432000000659</v>
      </c>
      <c r="K265">
        <f t="shared" si="28"/>
        <v>5.3000000000000007</v>
      </c>
      <c r="L265">
        <f t="shared" si="29"/>
        <v>8.3858643200000067</v>
      </c>
      <c r="Q265">
        <f t="shared" si="25"/>
        <v>75.876999999999995</v>
      </c>
    </row>
    <row r="266" spans="1:17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 s="2">
        <v>73.278000000000006</v>
      </c>
      <c r="I266">
        <f t="shared" si="26"/>
        <v>2.3904999999999998</v>
      </c>
      <c r="J266">
        <f t="shared" si="27"/>
        <v>0.69536432000000659</v>
      </c>
      <c r="K266">
        <f t="shared" si="28"/>
        <v>5.3000000000000007</v>
      </c>
      <c r="L266">
        <f t="shared" si="29"/>
        <v>8.3858643200000067</v>
      </c>
      <c r="Q266">
        <f t="shared" si="25"/>
        <v>73.278000000000006</v>
      </c>
    </row>
    <row r="267" spans="1:17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 s="2">
        <v>62.786000000000001</v>
      </c>
      <c r="I267">
        <f t="shared" si="26"/>
        <v>2.3904999999999998</v>
      </c>
      <c r="J267">
        <f t="shared" si="27"/>
        <v>0.69536432000000659</v>
      </c>
      <c r="K267">
        <f t="shared" si="28"/>
        <v>5.3000000000000007</v>
      </c>
      <c r="L267">
        <f t="shared" si="29"/>
        <v>8.3858643200000067</v>
      </c>
      <c r="Q267">
        <f t="shared" si="25"/>
        <v>62.786000000000001</v>
      </c>
    </row>
    <row r="268" spans="1:17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 s="2">
        <v>70.564250000000001</v>
      </c>
      <c r="I268">
        <f t="shared" si="26"/>
        <v>2.3904999999999998</v>
      </c>
      <c r="J268">
        <f t="shared" si="27"/>
        <v>0.69536432000000659</v>
      </c>
      <c r="K268">
        <f t="shared" si="28"/>
        <v>5.3000000000000007</v>
      </c>
      <c r="L268">
        <f t="shared" si="29"/>
        <v>8.3858643200000067</v>
      </c>
      <c r="Q268">
        <f t="shared" si="25"/>
        <v>70.564250000000001</v>
      </c>
    </row>
    <row r="269" spans="1:17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 s="2">
        <v>60.857500000000002</v>
      </c>
      <c r="I269">
        <f t="shared" si="26"/>
        <v>2.3904999999999998</v>
      </c>
      <c r="J269">
        <f t="shared" si="27"/>
        <v>0.69536432000000659</v>
      </c>
      <c r="K269">
        <f t="shared" si="28"/>
        <v>5.3000000000000007</v>
      </c>
      <c r="L269">
        <f t="shared" si="29"/>
        <v>8.3858643200000067</v>
      </c>
      <c r="Q269">
        <f t="shared" si="25"/>
        <v>60.857500000000002</v>
      </c>
    </row>
    <row r="270" spans="1:17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 s="2">
        <v>70.515000000000001</v>
      </c>
      <c r="I270">
        <f t="shared" si="26"/>
        <v>2.3904999999999998</v>
      </c>
      <c r="J270">
        <f t="shared" si="27"/>
        <v>0.69536432000000659</v>
      </c>
      <c r="K270">
        <f t="shared" si="28"/>
        <v>5.3000000000000007</v>
      </c>
      <c r="L270">
        <f t="shared" si="29"/>
        <v>8.3858643200000067</v>
      </c>
      <c r="Q270">
        <f t="shared" si="25"/>
        <v>70.515000000000001</v>
      </c>
    </row>
    <row r="271" spans="1:17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 s="2">
        <v>62.034499999999994</v>
      </c>
      <c r="I271">
        <f t="shared" si="26"/>
        <v>3.4999999999999931E-3</v>
      </c>
      <c r="J271">
        <f t="shared" si="27"/>
        <v>1.039270036000012</v>
      </c>
      <c r="K271">
        <f t="shared" si="28"/>
        <v>0.89999999999999858</v>
      </c>
      <c r="L271">
        <f t="shared" si="29"/>
        <v>1.9427700360000106</v>
      </c>
      <c r="Q271">
        <f t="shared" si="25"/>
        <v>62.034499999999994</v>
      </c>
    </row>
    <row r="272" spans="1:17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 s="2">
        <v>64.097999999999999</v>
      </c>
      <c r="I272">
        <f t="shared" si="26"/>
        <v>3.4999999999999931E-3</v>
      </c>
      <c r="J272">
        <f t="shared" si="27"/>
        <v>1.039270036000012</v>
      </c>
      <c r="K272">
        <f t="shared" si="28"/>
        <v>0.89999999999999858</v>
      </c>
      <c r="L272">
        <f t="shared" si="29"/>
        <v>1.9427700360000106</v>
      </c>
      <c r="Q272">
        <f t="shared" si="25"/>
        <v>64.097999999999999</v>
      </c>
    </row>
    <row r="273" spans="1:17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 s="2">
        <v>66.070499999999996</v>
      </c>
      <c r="I273">
        <f t="shared" si="26"/>
        <v>3.4999999999999931E-3</v>
      </c>
      <c r="J273">
        <f t="shared" si="27"/>
        <v>1.039270036000012</v>
      </c>
      <c r="K273">
        <f t="shared" si="28"/>
        <v>0.89999999999999858</v>
      </c>
      <c r="L273">
        <f t="shared" si="29"/>
        <v>1.9427700360000106</v>
      </c>
      <c r="Q273">
        <f t="shared" si="25"/>
        <v>66.070499999999996</v>
      </c>
    </row>
    <row r="274" spans="1:17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 s="2">
        <v>64.358999999999995</v>
      </c>
      <c r="I274">
        <f t="shared" si="26"/>
        <v>3.4999999999999931E-3</v>
      </c>
      <c r="J274">
        <f t="shared" si="27"/>
        <v>1.039270036000012</v>
      </c>
      <c r="K274">
        <f t="shared" si="28"/>
        <v>0.89999999999999858</v>
      </c>
      <c r="L274">
        <f t="shared" si="29"/>
        <v>1.9427700360000106</v>
      </c>
      <c r="Q274">
        <f t="shared" si="25"/>
        <v>64.358999999999995</v>
      </c>
    </row>
    <row r="275" spans="1:17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 s="2">
        <v>64.386750000000006</v>
      </c>
      <c r="I275">
        <f t="shared" si="26"/>
        <v>3.4999999999999931E-3</v>
      </c>
      <c r="J275">
        <f t="shared" si="27"/>
        <v>1.039270036000012</v>
      </c>
      <c r="K275">
        <f t="shared" si="28"/>
        <v>0.89999999999999858</v>
      </c>
      <c r="L275">
        <f t="shared" si="29"/>
        <v>1.9427700360000106</v>
      </c>
      <c r="Q275">
        <f t="shared" si="25"/>
        <v>64.386750000000006</v>
      </c>
    </row>
    <row r="276" spans="1:17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 s="2">
        <v>64.91825</v>
      </c>
      <c r="I276">
        <f t="shared" si="26"/>
        <v>3.4999999999999931E-3</v>
      </c>
      <c r="J276">
        <f t="shared" si="27"/>
        <v>1.039270036000012</v>
      </c>
      <c r="K276">
        <f t="shared" si="28"/>
        <v>0.89999999999999858</v>
      </c>
      <c r="L276">
        <f t="shared" si="29"/>
        <v>1.9427700360000106</v>
      </c>
      <c r="Q276">
        <f t="shared" si="25"/>
        <v>64.91825</v>
      </c>
    </row>
    <row r="277" spans="1:17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 s="2">
        <v>63.464749999999995</v>
      </c>
      <c r="I277">
        <f t="shared" si="26"/>
        <v>3.4999999999999931E-3</v>
      </c>
      <c r="J277">
        <f t="shared" si="27"/>
        <v>1.039270036000012</v>
      </c>
      <c r="K277">
        <f t="shared" si="28"/>
        <v>0.89999999999999858</v>
      </c>
      <c r="L277">
        <f t="shared" si="29"/>
        <v>1.9427700360000106</v>
      </c>
      <c r="Q277">
        <f t="shared" si="25"/>
        <v>63.464749999999995</v>
      </c>
    </row>
    <row r="278" spans="1:17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 s="2">
        <v>64.401499999999999</v>
      </c>
      <c r="I278">
        <f t="shared" si="26"/>
        <v>3.4999999999999931E-3</v>
      </c>
      <c r="J278">
        <f t="shared" si="27"/>
        <v>1.039270036000012</v>
      </c>
      <c r="K278">
        <f t="shared" si="28"/>
        <v>0.89999999999999858</v>
      </c>
      <c r="L278">
        <f t="shared" si="29"/>
        <v>1.9427700360000106</v>
      </c>
      <c r="Q278">
        <f t="shared" si="25"/>
        <v>64.401499999999999</v>
      </c>
    </row>
    <row r="279" spans="1:17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 s="2">
        <v>60.358500000000006</v>
      </c>
      <c r="I279">
        <f t="shared" si="26"/>
        <v>3.4999999999999931E-3</v>
      </c>
      <c r="J279">
        <f t="shared" si="27"/>
        <v>1.039270036000012</v>
      </c>
      <c r="K279">
        <f t="shared" si="28"/>
        <v>0.89999999999999858</v>
      </c>
      <c r="L279">
        <f t="shared" si="29"/>
        <v>1.9427700360000106</v>
      </c>
      <c r="Q279">
        <f t="shared" si="25"/>
        <v>60.358500000000006</v>
      </c>
    </row>
    <row r="280" spans="1:17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 s="2">
        <v>73.606250000000003</v>
      </c>
      <c r="I280">
        <f t="shared" si="26"/>
        <v>3.4999999999999931E-3</v>
      </c>
      <c r="J280">
        <f t="shared" si="27"/>
        <v>0.79619313199999198</v>
      </c>
      <c r="K280">
        <f t="shared" si="28"/>
        <v>0.69999999999999929</v>
      </c>
      <c r="L280">
        <f t="shared" si="29"/>
        <v>1.4996931319999911</v>
      </c>
      <c r="Q280">
        <f t="shared" si="25"/>
        <v>73.606250000000003</v>
      </c>
    </row>
    <row r="281" spans="1:17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 s="2">
        <v>73.959249999999997</v>
      </c>
      <c r="I281">
        <f t="shared" si="26"/>
        <v>3.4999999999999931E-3</v>
      </c>
      <c r="J281">
        <f t="shared" si="27"/>
        <v>0.79619313199999198</v>
      </c>
      <c r="K281">
        <f t="shared" si="28"/>
        <v>0.69999999999999929</v>
      </c>
      <c r="L281">
        <f t="shared" si="29"/>
        <v>1.4996931319999911</v>
      </c>
      <c r="Q281">
        <f t="shared" si="25"/>
        <v>73.959249999999997</v>
      </c>
    </row>
    <row r="282" spans="1:17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 s="2">
        <v>74.582750000000004</v>
      </c>
      <c r="I282">
        <f t="shared" si="26"/>
        <v>3.4999999999999931E-3</v>
      </c>
      <c r="J282">
        <f t="shared" si="27"/>
        <v>0.79619313199999198</v>
      </c>
      <c r="K282">
        <f t="shared" si="28"/>
        <v>0.69999999999999929</v>
      </c>
      <c r="L282">
        <f t="shared" si="29"/>
        <v>1.4996931319999911</v>
      </c>
      <c r="Q282">
        <f t="shared" si="25"/>
        <v>74.582750000000004</v>
      </c>
    </row>
    <row r="283" spans="1:17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 s="2">
        <v>77.698750000000004</v>
      </c>
      <c r="I283">
        <f t="shared" si="26"/>
        <v>3.4999999999999931E-3</v>
      </c>
      <c r="J283">
        <f t="shared" si="27"/>
        <v>0.79619313199999198</v>
      </c>
      <c r="K283">
        <f t="shared" si="28"/>
        <v>0.69999999999999929</v>
      </c>
      <c r="L283">
        <f t="shared" si="29"/>
        <v>1.4996931319999911</v>
      </c>
      <c r="Q283">
        <f t="shared" si="25"/>
        <v>77.698750000000004</v>
      </c>
    </row>
    <row r="284" spans="1:17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 s="2">
        <v>75.792749999999998</v>
      </c>
      <c r="I284">
        <f t="shared" si="26"/>
        <v>3.4999999999999931E-3</v>
      </c>
      <c r="J284">
        <f t="shared" si="27"/>
        <v>0.79619313199999198</v>
      </c>
      <c r="K284">
        <f t="shared" si="28"/>
        <v>0.69999999999999929</v>
      </c>
      <c r="L284">
        <f t="shared" si="29"/>
        <v>1.4996931319999911</v>
      </c>
      <c r="Q284">
        <f t="shared" si="25"/>
        <v>75.792749999999998</v>
      </c>
    </row>
    <row r="285" spans="1:17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 s="2">
        <v>75.799750000000003</v>
      </c>
      <c r="I285">
        <f t="shared" si="26"/>
        <v>3.4999999999999931E-3</v>
      </c>
      <c r="J285">
        <f t="shared" si="27"/>
        <v>0.79619313199999198</v>
      </c>
      <c r="K285">
        <f t="shared" si="28"/>
        <v>0.69999999999999929</v>
      </c>
      <c r="L285">
        <f t="shared" si="29"/>
        <v>1.4996931319999911</v>
      </c>
      <c r="Q285">
        <f t="shared" si="25"/>
        <v>75.799750000000003</v>
      </c>
    </row>
    <row r="286" spans="1:17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 s="2">
        <v>71.466250000000002</v>
      </c>
      <c r="I286">
        <f t="shared" si="26"/>
        <v>3.4999999999999931E-3</v>
      </c>
      <c r="J286">
        <f t="shared" si="27"/>
        <v>0.79619313199999198</v>
      </c>
      <c r="K286">
        <f t="shared" si="28"/>
        <v>0.69999999999999929</v>
      </c>
      <c r="L286">
        <f t="shared" si="29"/>
        <v>1.4996931319999911</v>
      </c>
      <c r="Q286">
        <f t="shared" si="25"/>
        <v>71.466250000000002</v>
      </c>
    </row>
    <row r="287" spans="1:17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 s="2">
        <v>74.690250000000006</v>
      </c>
      <c r="I287">
        <f t="shared" si="26"/>
        <v>3.4999999999999931E-3</v>
      </c>
      <c r="J287">
        <f t="shared" si="27"/>
        <v>0.79619313199999198</v>
      </c>
      <c r="K287">
        <f t="shared" si="28"/>
        <v>0.69999999999999929</v>
      </c>
      <c r="L287">
        <f t="shared" si="29"/>
        <v>1.4996931319999911</v>
      </c>
      <c r="Q287">
        <f t="shared" si="25"/>
        <v>74.690250000000006</v>
      </c>
    </row>
    <row r="288" spans="1:17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 s="2">
        <v>75.964250000000007</v>
      </c>
      <c r="I288">
        <f t="shared" si="26"/>
        <v>3.4999999999999931E-3</v>
      </c>
      <c r="J288">
        <f t="shared" si="27"/>
        <v>0.79619313199999198</v>
      </c>
      <c r="K288">
        <f t="shared" si="28"/>
        <v>0.69999999999999929</v>
      </c>
      <c r="L288">
        <f t="shared" si="29"/>
        <v>1.4996931319999911</v>
      </c>
      <c r="Q288">
        <f t="shared" ref="Q288:Q319" si="30">G288</f>
        <v>75.964250000000007</v>
      </c>
    </row>
    <row r="289" spans="1:17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 s="2">
        <v>75.179749999999999</v>
      </c>
      <c r="I289">
        <f t="shared" si="26"/>
        <v>3.4999999999999931E-3</v>
      </c>
      <c r="J289">
        <f t="shared" si="27"/>
        <v>0.79619313199999198</v>
      </c>
      <c r="K289">
        <f t="shared" si="28"/>
        <v>0.69999999999999929</v>
      </c>
      <c r="L289">
        <f t="shared" si="29"/>
        <v>1.4996931319999911</v>
      </c>
      <c r="Q289">
        <f t="shared" si="30"/>
        <v>75.179749999999999</v>
      </c>
    </row>
    <row r="290" spans="1:17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 s="2">
        <v>66.342500000000001</v>
      </c>
      <c r="I290">
        <f t="shared" si="26"/>
        <v>2.3904999999999998</v>
      </c>
      <c r="J290">
        <f t="shared" si="27"/>
        <v>8.9616326520000058</v>
      </c>
      <c r="K290">
        <f t="shared" si="28"/>
        <v>0.80000000000000071</v>
      </c>
      <c r="L290">
        <f t="shared" si="29"/>
        <v>12.152132652000006</v>
      </c>
      <c r="Q290">
        <f t="shared" si="30"/>
        <v>66.342500000000001</v>
      </c>
    </row>
    <row r="291" spans="1:17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 s="2">
        <v>73.388499999999993</v>
      </c>
      <c r="I291">
        <f t="shared" si="26"/>
        <v>2.3904999999999998</v>
      </c>
      <c r="J291">
        <f t="shared" si="27"/>
        <v>8.9616326520000058</v>
      </c>
      <c r="K291">
        <f t="shared" si="28"/>
        <v>0.80000000000000071</v>
      </c>
      <c r="L291">
        <f t="shared" si="29"/>
        <v>12.152132652000006</v>
      </c>
      <c r="Q291">
        <f t="shared" si="30"/>
        <v>73.388499999999993</v>
      </c>
    </row>
    <row r="292" spans="1:17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 s="2">
        <v>71.013249999999999</v>
      </c>
      <c r="I292">
        <f t="shared" si="26"/>
        <v>2.3904999999999998</v>
      </c>
      <c r="J292">
        <f t="shared" si="27"/>
        <v>8.9616326520000058</v>
      </c>
      <c r="K292">
        <f t="shared" si="28"/>
        <v>0.80000000000000071</v>
      </c>
      <c r="L292">
        <f t="shared" si="29"/>
        <v>12.152132652000006</v>
      </c>
      <c r="Q292">
        <f t="shared" si="30"/>
        <v>71.013249999999999</v>
      </c>
    </row>
    <row r="293" spans="1:17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 s="2">
        <v>75.055750000000003</v>
      </c>
      <c r="I293">
        <f t="shared" si="26"/>
        <v>2.3904999999999998</v>
      </c>
      <c r="J293">
        <f t="shared" si="27"/>
        <v>8.9616326520000058</v>
      </c>
      <c r="K293">
        <f t="shared" si="28"/>
        <v>0.80000000000000071</v>
      </c>
      <c r="L293">
        <f t="shared" si="29"/>
        <v>12.152132652000006</v>
      </c>
      <c r="Q293">
        <f t="shared" si="30"/>
        <v>75.055750000000003</v>
      </c>
    </row>
    <row r="294" spans="1:17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 s="2">
        <v>78.205500000000001</v>
      </c>
      <c r="I294">
        <f t="shared" si="26"/>
        <v>2.3904999999999998</v>
      </c>
      <c r="J294">
        <f t="shared" si="27"/>
        <v>8.9616326520000058</v>
      </c>
      <c r="K294">
        <f t="shared" si="28"/>
        <v>0.80000000000000071</v>
      </c>
      <c r="L294">
        <f t="shared" si="29"/>
        <v>12.152132652000006</v>
      </c>
      <c r="Q294">
        <f t="shared" si="30"/>
        <v>78.205500000000001</v>
      </c>
    </row>
    <row r="295" spans="1:17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 s="2">
        <v>78.96875</v>
      </c>
      <c r="I295">
        <f t="shared" si="26"/>
        <v>2.3904999999999998</v>
      </c>
      <c r="J295">
        <f t="shared" si="27"/>
        <v>8.9616326520000058</v>
      </c>
      <c r="K295">
        <f t="shared" si="28"/>
        <v>0.80000000000000071</v>
      </c>
      <c r="L295">
        <f t="shared" si="29"/>
        <v>12.152132652000006</v>
      </c>
      <c r="Q295">
        <f t="shared" si="30"/>
        <v>78.96875</v>
      </c>
    </row>
    <row r="296" spans="1:17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 s="2">
        <v>74.054749999999999</v>
      </c>
      <c r="I296">
        <f t="shared" si="26"/>
        <v>2.7404999999999999</v>
      </c>
      <c r="J296">
        <f t="shared" si="27"/>
        <v>8.9616326520000058</v>
      </c>
      <c r="K296">
        <f t="shared" si="28"/>
        <v>0.5</v>
      </c>
      <c r="L296">
        <f t="shared" si="29"/>
        <v>12.202132652000007</v>
      </c>
      <c r="Q296">
        <f t="shared" si="30"/>
        <v>74.054749999999999</v>
      </c>
    </row>
    <row r="297" spans="1:17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 s="2">
        <v>74.791250000000005</v>
      </c>
      <c r="I297">
        <f t="shared" si="26"/>
        <v>2.7404999999999999</v>
      </c>
      <c r="J297">
        <f t="shared" si="27"/>
        <v>8.9616326520000058</v>
      </c>
      <c r="K297">
        <f t="shared" si="28"/>
        <v>0.5</v>
      </c>
      <c r="L297">
        <f t="shared" si="29"/>
        <v>12.202132652000007</v>
      </c>
      <c r="Q297">
        <f t="shared" si="30"/>
        <v>74.791250000000005</v>
      </c>
    </row>
    <row r="298" spans="1:17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 s="2">
        <v>67.599999999999994</v>
      </c>
      <c r="I298">
        <f t="shared" si="26"/>
        <v>2.7404999999999999</v>
      </c>
      <c r="J298">
        <f t="shared" si="27"/>
        <v>8.9616326520000058</v>
      </c>
      <c r="K298">
        <f t="shared" si="28"/>
        <v>0.5</v>
      </c>
      <c r="L298">
        <f t="shared" si="29"/>
        <v>12.202132652000007</v>
      </c>
      <c r="Q298">
        <f t="shared" si="30"/>
        <v>67.599999999999994</v>
      </c>
    </row>
    <row r="299" spans="1:17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 s="2">
        <v>64.681749999999994</v>
      </c>
      <c r="I299">
        <f t="shared" si="26"/>
        <v>2.7404999999999999</v>
      </c>
      <c r="J299">
        <f t="shared" si="27"/>
        <v>8.9616326520000058</v>
      </c>
      <c r="K299">
        <f t="shared" si="28"/>
        <v>0.5</v>
      </c>
      <c r="L299">
        <f t="shared" si="29"/>
        <v>12.202132652000007</v>
      </c>
      <c r="Q299">
        <f t="shared" si="30"/>
        <v>64.681749999999994</v>
      </c>
    </row>
    <row r="300" spans="1:17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 s="2">
        <v>67.825749999999999</v>
      </c>
      <c r="I300">
        <f t="shared" si="26"/>
        <v>2.7404999999999999</v>
      </c>
      <c r="J300">
        <f t="shared" si="27"/>
        <v>8.9616326520000058</v>
      </c>
      <c r="K300">
        <f t="shared" si="28"/>
        <v>0.5</v>
      </c>
      <c r="L300">
        <f t="shared" si="29"/>
        <v>12.202132652000007</v>
      </c>
      <c r="Q300">
        <f t="shared" si="30"/>
        <v>67.825749999999999</v>
      </c>
    </row>
    <row r="301" spans="1:17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 s="2">
        <v>65.484750000000005</v>
      </c>
      <c r="I301">
        <f t="shared" si="26"/>
        <v>2.7404999999999999</v>
      </c>
      <c r="J301">
        <f t="shared" si="27"/>
        <v>8.9616326520000058</v>
      </c>
      <c r="K301">
        <f t="shared" si="28"/>
        <v>0.5</v>
      </c>
      <c r="L301">
        <f t="shared" si="29"/>
        <v>12.202132652000007</v>
      </c>
      <c r="Q301">
        <f t="shared" si="30"/>
        <v>65.484750000000005</v>
      </c>
    </row>
    <row r="302" spans="1:17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 s="2">
        <v>77.291499999999999</v>
      </c>
      <c r="I302">
        <f t="shared" si="26"/>
        <v>2.7404999999999999</v>
      </c>
      <c r="J302">
        <f t="shared" si="27"/>
        <v>8.9616326520000058</v>
      </c>
      <c r="K302">
        <f t="shared" si="28"/>
        <v>0.5</v>
      </c>
      <c r="L302">
        <f t="shared" si="29"/>
        <v>12.202132652000007</v>
      </c>
      <c r="Q302">
        <f t="shared" si="30"/>
        <v>77.291499999999999</v>
      </c>
    </row>
    <row r="303" spans="1:17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 s="2">
        <v>83.308499999999995</v>
      </c>
      <c r="I303">
        <f t="shared" si="26"/>
        <v>3.4999999999999931E-3</v>
      </c>
      <c r="J303">
        <f t="shared" si="27"/>
        <v>0.87257195199999416</v>
      </c>
      <c r="K303">
        <f t="shared" si="28"/>
        <v>5.5</v>
      </c>
      <c r="L303">
        <f t="shared" si="29"/>
        <v>6.376071951999994</v>
      </c>
      <c r="Q303">
        <f t="shared" si="30"/>
        <v>83.308499999999995</v>
      </c>
    </row>
    <row r="304" spans="1:17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 s="2">
        <v>82.948499999999996</v>
      </c>
      <c r="I304">
        <f t="shared" si="26"/>
        <v>3.4999999999999931E-3</v>
      </c>
      <c r="J304">
        <f t="shared" si="27"/>
        <v>0.87257195199999416</v>
      </c>
      <c r="K304">
        <f t="shared" si="28"/>
        <v>5.5</v>
      </c>
      <c r="L304">
        <f t="shared" si="29"/>
        <v>6.376071951999994</v>
      </c>
      <c r="Q304">
        <f t="shared" si="30"/>
        <v>82.948499999999996</v>
      </c>
    </row>
    <row r="305" spans="1:17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 s="2">
        <v>70.364500000000007</v>
      </c>
      <c r="I305">
        <f t="shared" si="26"/>
        <v>3.4999999999999931E-3</v>
      </c>
      <c r="J305">
        <f t="shared" si="27"/>
        <v>0.87257195199999416</v>
      </c>
      <c r="K305">
        <f t="shared" si="28"/>
        <v>5.5</v>
      </c>
      <c r="L305">
        <f t="shared" si="29"/>
        <v>6.376071951999994</v>
      </c>
      <c r="Q305">
        <f t="shared" si="30"/>
        <v>70.364500000000007</v>
      </c>
    </row>
    <row r="306" spans="1:17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 s="2">
        <v>66.692250000000001</v>
      </c>
      <c r="I306">
        <f t="shared" si="26"/>
        <v>3.4999999999999931E-3</v>
      </c>
      <c r="J306">
        <f t="shared" si="27"/>
        <v>0.87257195199999416</v>
      </c>
      <c r="K306">
        <f t="shared" si="28"/>
        <v>5.5</v>
      </c>
      <c r="L306">
        <f t="shared" si="29"/>
        <v>6.376071951999994</v>
      </c>
      <c r="Q306">
        <f t="shared" si="30"/>
        <v>66.692250000000001</v>
      </c>
    </row>
    <row r="307" spans="1:17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 s="2">
        <v>72.786249999999995</v>
      </c>
      <c r="I307">
        <f t="shared" si="26"/>
        <v>3.4999999999999931E-3</v>
      </c>
      <c r="J307">
        <f t="shared" si="27"/>
        <v>0.87257195199999416</v>
      </c>
      <c r="K307">
        <f t="shared" si="28"/>
        <v>5.5</v>
      </c>
      <c r="L307">
        <f t="shared" si="29"/>
        <v>6.376071951999994</v>
      </c>
      <c r="Q307">
        <f t="shared" si="30"/>
        <v>72.786249999999995</v>
      </c>
    </row>
    <row r="308" spans="1:17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 s="2">
        <v>76.325749999999999</v>
      </c>
      <c r="I308">
        <f t="shared" si="26"/>
        <v>3.4999999999999931E-3</v>
      </c>
      <c r="J308">
        <f t="shared" si="27"/>
        <v>0.87257195199999416</v>
      </c>
      <c r="K308">
        <f t="shared" si="28"/>
        <v>5.5</v>
      </c>
      <c r="L308">
        <f t="shared" si="29"/>
        <v>6.376071951999994</v>
      </c>
      <c r="Q308">
        <f t="shared" si="30"/>
        <v>76.325749999999999</v>
      </c>
    </row>
    <row r="309" spans="1:17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 s="2">
        <v>75.438000000000002</v>
      </c>
      <c r="I309">
        <f t="shared" si="26"/>
        <v>3.4999999999999931E-3</v>
      </c>
      <c r="J309">
        <f t="shared" si="27"/>
        <v>0.87257195199999416</v>
      </c>
      <c r="K309">
        <f t="shared" si="28"/>
        <v>5.5</v>
      </c>
      <c r="L309">
        <f t="shared" si="29"/>
        <v>6.376071951999994</v>
      </c>
      <c r="Q309">
        <f t="shared" si="30"/>
        <v>75.438000000000002</v>
      </c>
    </row>
    <row r="310" spans="1:17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 s="2">
        <v>75.391750000000002</v>
      </c>
      <c r="I310">
        <f t="shared" si="26"/>
        <v>3.4999999999999931E-3</v>
      </c>
      <c r="J310">
        <f t="shared" si="27"/>
        <v>0.87257195199999416</v>
      </c>
      <c r="K310">
        <f t="shared" si="28"/>
        <v>5.5</v>
      </c>
      <c r="L310">
        <f t="shared" si="29"/>
        <v>6.376071951999994</v>
      </c>
      <c r="Q310">
        <f t="shared" si="30"/>
        <v>75.391750000000002</v>
      </c>
    </row>
    <row r="311" spans="1:17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 s="2">
        <v>83.333250000000007</v>
      </c>
      <c r="I311">
        <f t="shared" si="26"/>
        <v>3.4999999999999931E-3</v>
      </c>
      <c r="J311">
        <f t="shared" si="27"/>
        <v>0.87257195199999416</v>
      </c>
      <c r="K311">
        <f t="shared" si="28"/>
        <v>5.5</v>
      </c>
      <c r="L311">
        <f t="shared" si="29"/>
        <v>6.376071951999994</v>
      </c>
      <c r="Q311">
        <f t="shared" si="30"/>
        <v>83.333250000000007</v>
      </c>
    </row>
    <row r="312" spans="1:17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 s="2">
        <v>73.309749999999994</v>
      </c>
      <c r="I312">
        <f t="shared" si="26"/>
        <v>3.4999999999999931E-3</v>
      </c>
      <c r="J312">
        <f t="shared" si="27"/>
        <v>0.87257195199999416</v>
      </c>
      <c r="K312">
        <f t="shared" si="28"/>
        <v>5.5</v>
      </c>
      <c r="L312">
        <f t="shared" si="29"/>
        <v>6.376071951999994</v>
      </c>
      <c r="Q312">
        <f t="shared" si="30"/>
        <v>73.309749999999994</v>
      </c>
    </row>
    <row r="313" spans="1:17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 s="2">
        <v>65.238</v>
      </c>
      <c r="I313">
        <f t="shared" si="26"/>
        <v>3.4999999999999931E-3</v>
      </c>
      <c r="J313">
        <f t="shared" si="27"/>
        <v>1.0139420760000029</v>
      </c>
      <c r="K313">
        <f t="shared" si="28"/>
        <v>5.6000000000000014</v>
      </c>
      <c r="L313">
        <f t="shared" si="29"/>
        <v>6.6174420760000041</v>
      </c>
      <c r="Q313">
        <f t="shared" si="30"/>
        <v>65.238</v>
      </c>
    </row>
    <row r="314" spans="1:17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 s="2">
        <v>70.255499999999998</v>
      </c>
      <c r="I314">
        <f t="shared" si="26"/>
        <v>3.4999999999999931E-3</v>
      </c>
      <c r="J314">
        <f t="shared" si="27"/>
        <v>1.0139420760000029</v>
      </c>
      <c r="K314">
        <f t="shared" si="28"/>
        <v>5.6000000000000014</v>
      </c>
      <c r="L314">
        <f t="shared" si="29"/>
        <v>6.6174420760000041</v>
      </c>
      <c r="Q314">
        <f t="shared" si="30"/>
        <v>70.255499999999998</v>
      </c>
    </row>
    <row r="315" spans="1:17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 s="2">
        <v>64.192499999999995</v>
      </c>
      <c r="I315">
        <f t="shared" si="26"/>
        <v>3.4999999999999931E-3</v>
      </c>
      <c r="J315">
        <f t="shared" si="27"/>
        <v>1.0139420760000029</v>
      </c>
      <c r="K315">
        <f t="shared" si="28"/>
        <v>5.6000000000000014</v>
      </c>
      <c r="L315">
        <f t="shared" si="29"/>
        <v>6.6174420760000041</v>
      </c>
      <c r="Q315">
        <f t="shared" si="30"/>
        <v>64.192499999999995</v>
      </c>
    </row>
    <row r="316" spans="1:17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 s="2">
        <v>68.926000000000002</v>
      </c>
      <c r="I316">
        <f t="shared" si="26"/>
        <v>3.4999999999999931E-3</v>
      </c>
      <c r="J316">
        <f t="shared" si="27"/>
        <v>1.0139420760000029</v>
      </c>
      <c r="K316">
        <f t="shared" si="28"/>
        <v>5.6000000000000014</v>
      </c>
      <c r="L316">
        <f t="shared" si="29"/>
        <v>6.6174420760000041</v>
      </c>
      <c r="Q316">
        <f t="shared" si="30"/>
        <v>68.926000000000002</v>
      </c>
    </row>
    <row r="317" spans="1:17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 s="2">
        <v>65.261750000000006</v>
      </c>
      <c r="I317">
        <f t="shared" si="26"/>
        <v>3.4999999999999931E-3</v>
      </c>
      <c r="J317">
        <f t="shared" si="27"/>
        <v>1.0139420760000029</v>
      </c>
      <c r="K317">
        <f t="shared" si="28"/>
        <v>5.6000000000000014</v>
      </c>
      <c r="L317">
        <f t="shared" si="29"/>
        <v>6.6174420760000041</v>
      </c>
      <c r="Q317">
        <f t="shared" si="30"/>
        <v>65.261750000000006</v>
      </c>
    </row>
    <row r="318" spans="1:17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 s="2">
        <v>68.194249999999997</v>
      </c>
      <c r="I318">
        <f t="shared" si="26"/>
        <v>3.4999999999999931E-3</v>
      </c>
      <c r="J318">
        <f t="shared" si="27"/>
        <v>1.0139420760000029</v>
      </c>
      <c r="K318">
        <f t="shared" si="28"/>
        <v>5.6000000000000014</v>
      </c>
      <c r="L318">
        <f t="shared" si="29"/>
        <v>6.6174420760000041</v>
      </c>
      <c r="Q318">
        <f t="shared" si="30"/>
        <v>68.194249999999997</v>
      </c>
    </row>
    <row r="319" spans="1:17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 s="2">
        <v>67.949749999999995</v>
      </c>
      <c r="I319">
        <f t="shared" si="26"/>
        <v>3.4999999999999931E-3</v>
      </c>
      <c r="J319">
        <f t="shared" si="27"/>
        <v>1.0139420760000029</v>
      </c>
      <c r="K319">
        <f t="shared" si="28"/>
        <v>5.6000000000000014</v>
      </c>
      <c r="L319">
        <f t="shared" si="29"/>
        <v>6.6174420760000041</v>
      </c>
      <c r="Q319">
        <f t="shared" si="30"/>
        <v>67.949749999999995</v>
      </c>
    </row>
    <row r="320" spans="1:17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 s="2">
        <v>69.40325</v>
      </c>
      <c r="I320">
        <f t="shared" si="26"/>
        <v>3.4999999999999931E-3</v>
      </c>
      <c r="J320">
        <f t="shared" si="27"/>
        <v>1.0139420760000029</v>
      </c>
      <c r="K320">
        <f t="shared" si="28"/>
        <v>5.6000000000000014</v>
      </c>
      <c r="L320">
        <f t="shared" si="29"/>
        <v>6.6174420760000041</v>
      </c>
      <c r="Q320">
        <f t="shared" ref="Q320:Q340" si="31">G320</f>
        <v>69.40325</v>
      </c>
    </row>
    <row r="321" spans="1:17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 s="2">
        <v>67.777000000000001</v>
      </c>
      <c r="I321">
        <f t="shared" si="26"/>
        <v>3.4999999999999931E-3</v>
      </c>
      <c r="J321">
        <f t="shared" si="27"/>
        <v>1.0139420760000029</v>
      </c>
      <c r="K321">
        <f t="shared" si="28"/>
        <v>5.6000000000000014</v>
      </c>
      <c r="L321">
        <f t="shared" si="29"/>
        <v>6.6174420760000041</v>
      </c>
      <c r="Q321">
        <f t="shared" si="31"/>
        <v>67.777000000000001</v>
      </c>
    </row>
    <row r="322" spans="1:17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 s="2">
        <v>70.790000000000006</v>
      </c>
      <c r="I322">
        <f t="shared" si="26"/>
        <v>3.4999999999999931E-3</v>
      </c>
      <c r="J322">
        <f t="shared" si="27"/>
        <v>1.0139420760000029</v>
      </c>
      <c r="K322">
        <f t="shared" si="28"/>
        <v>5.6000000000000014</v>
      </c>
      <c r="L322">
        <f t="shared" si="29"/>
        <v>6.6174420760000041</v>
      </c>
      <c r="Q322">
        <f t="shared" si="31"/>
        <v>70.790000000000006</v>
      </c>
    </row>
    <row r="323" spans="1:17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 s="2">
        <v>69.434250000000006</v>
      </c>
      <c r="I323">
        <f t="shared" ref="I323:I340" si="32">(E323-0.17)*$U$2</f>
        <v>2.3904999999999998</v>
      </c>
      <c r="J323">
        <f t="shared" ref="J323:J340" si="33">(8-D323)*$U$4</f>
        <v>6.6920391160000001</v>
      </c>
      <c r="K323">
        <f t="shared" ref="K323:K340" si="34">(C323-20)*$U$3</f>
        <v>5.5</v>
      </c>
      <c r="L323">
        <f t="shared" ref="L323:L340" si="35">SUM(I323:K323)</f>
        <v>14.582539116</v>
      </c>
      <c r="Q323">
        <f t="shared" si="31"/>
        <v>69.434250000000006</v>
      </c>
    </row>
    <row r="324" spans="1:17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 s="2">
        <v>68.284999999999997</v>
      </c>
      <c r="I324">
        <f t="shared" si="32"/>
        <v>2.3904999999999998</v>
      </c>
      <c r="J324">
        <f t="shared" si="33"/>
        <v>6.6920391160000001</v>
      </c>
      <c r="K324">
        <f t="shared" si="34"/>
        <v>5.5</v>
      </c>
      <c r="L324">
        <f t="shared" si="35"/>
        <v>14.582539116</v>
      </c>
      <c r="Q324">
        <f t="shared" si="31"/>
        <v>68.284999999999997</v>
      </c>
    </row>
    <row r="325" spans="1:17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 s="2">
        <v>69.519499999999994</v>
      </c>
      <c r="I325">
        <f t="shared" si="32"/>
        <v>2.3904999999999998</v>
      </c>
      <c r="J325">
        <f t="shared" si="33"/>
        <v>6.6920391160000001</v>
      </c>
      <c r="K325">
        <f t="shared" si="34"/>
        <v>5.5</v>
      </c>
      <c r="L325">
        <f t="shared" si="35"/>
        <v>14.582539116</v>
      </c>
      <c r="Q325">
        <f t="shared" si="31"/>
        <v>69.519499999999994</v>
      </c>
    </row>
    <row r="326" spans="1:17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 s="2">
        <v>69.006500000000003</v>
      </c>
      <c r="I326">
        <f t="shared" si="32"/>
        <v>2.3904999999999998</v>
      </c>
      <c r="J326">
        <f t="shared" si="33"/>
        <v>6.6920391160000001</v>
      </c>
      <c r="K326">
        <f t="shared" si="34"/>
        <v>5.5</v>
      </c>
      <c r="L326">
        <f t="shared" si="35"/>
        <v>14.582539116</v>
      </c>
      <c r="Q326">
        <f t="shared" si="31"/>
        <v>69.006500000000003</v>
      </c>
    </row>
    <row r="327" spans="1:17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 s="2">
        <v>70.947000000000003</v>
      </c>
      <c r="I327">
        <f t="shared" si="32"/>
        <v>2.3904999999999998</v>
      </c>
      <c r="J327">
        <f t="shared" si="33"/>
        <v>6.6920391160000001</v>
      </c>
      <c r="K327">
        <f t="shared" si="34"/>
        <v>5.5</v>
      </c>
      <c r="L327">
        <f t="shared" si="35"/>
        <v>14.582539116</v>
      </c>
      <c r="Q327">
        <f t="shared" si="31"/>
        <v>70.947000000000003</v>
      </c>
    </row>
    <row r="328" spans="1:17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 s="2">
        <v>71.025750000000002</v>
      </c>
      <c r="I328">
        <f t="shared" si="32"/>
        <v>2.3904999999999998</v>
      </c>
      <c r="J328">
        <f t="shared" si="33"/>
        <v>6.6920391160000001</v>
      </c>
      <c r="K328">
        <f t="shared" si="34"/>
        <v>5.5</v>
      </c>
      <c r="L328">
        <f t="shared" si="35"/>
        <v>14.582539116</v>
      </c>
      <c r="Q328">
        <f t="shared" si="31"/>
        <v>71.025750000000002</v>
      </c>
    </row>
    <row r="329" spans="1:17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 s="2">
        <v>71.959249999999997</v>
      </c>
      <c r="I329">
        <f t="shared" si="32"/>
        <v>2.3904999999999998</v>
      </c>
      <c r="J329">
        <f t="shared" si="33"/>
        <v>6.6920391160000001</v>
      </c>
      <c r="K329">
        <f t="shared" si="34"/>
        <v>5.5</v>
      </c>
      <c r="L329">
        <f t="shared" si="35"/>
        <v>14.582539116</v>
      </c>
      <c r="Q329">
        <f t="shared" si="31"/>
        <v>71.959249999999997</v>
      </c>
    </row>
    <row r="330" spans="1:17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 s="2">
        <v>67.175250000000005</v>
      </c>
      <c r="I330">
        <f t="shared" si="32"/>
        <v>2.3904999999999998</v>
      </c>
      <c r="J330">
        <f t="shared" si="33"/>
        <v>6.6920391160000001</v>
      </c>
      <c r="K330">
        <f t="shared" si="34"/>
        <v>5.5</v>
      </c>
      <c r="L330">
        <f t="shared" si="35"/>
        <v>14.582539116</v>
      </c>
      <c r="Q330">
        <f t="shared" si="31"/>
        <v>67.175250000000005</v>
      </c>
    </row>
    <row r="331" spans="1:17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 s="2">
        <v>68.65325</v>
      </c>
      <c r="I331">
        <f t="shared" si="32"/>
        <v>2.3904999999999998</v>
      </c>
      <c r="J331">
        <f t="shared" si="33"/>
        <v>6.6920391160000001</v>
      </c>
      <c r="K331">
        <f t="shared" si="34"/>
        <v>5.5</v>
      </c>
      <c r="L331">
        <f t="shared" si="35"/>
        <v>14.582539116</v>
      </c>
      <c r="Q331">
        <f t="shared" si="31"/>
        <v>68.65325</v>
      </c>
    </row>
    <row r="332" spans="1:17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 s="2">
        <v>68.779750000000007</v>
      </c>
      <c r="I332">
        <f t="shared" si="32"/>
        <v>2.3904999999999998</v>
      </c>
      <c r="J332">
        <f t="shared" si="33"/>
        <v>6.6920391160000001</v>
      </c>
      <c r="K332">
        <f t="shared" si="34"/>
        <v>5.5</v>
      </c>
      <c r="L332">
        <f t="shared" si="35"/>
        <v>14.582539116</v>
      </c>
      <c r="Q332">
        <f t="shared" si="31"/>
        <v>68.779750000000007</v>
      </c>
    </row>
    <row r="333" spans="1:17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 s="2">
        <v>67.592250000000007</v>
      </c>
      <c r="I333">
        <f t="shared" si="32"/>
        <v>2.7404999999999999</v>
      </c>
      <c r="J333">
        <f t="shared" si="33"/>
        <v>6.9879633599999877</v>
      </c>
      <c r="K333">
        <f t="shared" si="34"/>
        <v>5.6000000000000014</v>
      </c>
      <c r="L333">
        <f t="shared" si="35"/>
        <v>15.32846335999999</v>
      </c>
      <c r="Q333">
        <f t="shared" si="31"/>
        <v>67.592250000000007</v>
      </c>
    </row>
    <row r="334" spans="1:17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 s="2">
        <v>67.016000000000005</v>
      </c>
      <c r="I334">
        <f t="shared" si="32"/>
        <v>2.7404999999999999</v>
      </c>
      <c r="J334">
        <f t="shared" si="33"/>
        <v>6.9879633599999877</v>
      </c>
      <c r="K334">
        <f t="shared" si="34"/>
        <v>5.6000000000000014</v>
      </c>
      <c r="L334">
        <f t="shared" si="35"/>
        <v>15.32846335999999</v>
      </c>
      <c r="Q334">
        <f t="shared" si="31"/>
        <v>67.016000000000005</v>
      </c>
    </row>
    <row r="335" spans="1:17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 s="2">
        <v>79.293750000000003</v>
      </c>
      <c r="I335">
        <f t="shared" si="32"/>
        <v>2.7404999999999999</v>
      </c>
      <c r="J335">
        <f t="shared" si="33"/>
        <v>6.9879633599999877</v>
      </c>
      <c r="K335">
        <f t="shared" si="34"/>
        <v>5.6000000000000014</v>
      </c>
      <c r="L335">
        <f t="shared" si="35"/>
        <v>15.32846335999999</v>
      </c>
      <c r="Q335">
        <f t="shared" si="31"/>
        <v>79.293750000000003</v>
      </c>
    </row>
    <row r="336" spans="1:17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 s="2">
        <v>68.154499999999999</v>
      </c>
      <c r="I336">
        <f t="shared" si="32"/>
        <v>2.7404999999999999</v>
      </c>
      <c r="J336">
        <f t="shared" si="33"/>
        <v>6.9879633599999877</v>
      </c>
      <c r="K336">
        <f t="shared" si="34"/>
        <v>5.6000000000000014</v>
      </c>
      <c r="L336">
        <f t="shared" si="35"/>
        <v>15.32846335999999</v>
      </c>
      <c r="Q336">
        <f t="shared" si="31"/>
        <v>68.154499999999999</v>
      </c>
    </row>
    <row r="337" spans="1:17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 s="2">
        <v>67.481999999999999</v>
      </c>
      <c r="I337">
        <f t="shared" si="32"/>
        <v>2.7404999999999999</v>
      </c>
      <c r="J337">
        <f t="shared" si="33"/>
        <v>6.9879633599999877</v>
      </c>
      <c r="K337">
        <f t="shared" si="34"/>
        <v>5.6000000000000014</v>
      </c>
      <c r="L337">
        <f t="shared" si="35"/>
        <v>15.32846335999999</v>
      </c>
      <c r="Q337">
        <f t="shared" si="31"/>
        <v>67.481999999999999</v>
      </c>
    </row>
    <row r="338" spans="1:17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 s="2">
        <v>61.647999999999996</v>
      </c>
      <c r="I338">
        <f t="shared" si="32"/>
        <v>2.7404999999999999</v>
      </c>
      <c r="J338">
        <f t="shared" si="33"/>
        <v>6.9879633599999877</v>
      </c>
      <c r="K338">
        <f t="shared" si="34"/>
        <v>5.6000000000000014</v>
      </c>
      <c r="L338">
        <f t="shared" si="35"/>
        <v>15.32846335999999</v>
      </c>
      <c r="Q338">
        <f t="shared" si="31"/>
        <v>61.647999999999996</v>
      </c>
    </row>
    <row r="339" spans="1:17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 s="2">
        <v>71.407749999999993</v>
      </c>
      <c r="I339">
        <f t="shared" si="32"/>
        <v>2.7404999999999999</v>
      </c>
      <c r="J339">
        <f t="shared" si="33"/>
        <v>6.9879633599999877</v>
      </c>
      <c r="K339">
        <f t="shared" si="34"/>
        <v>5.6000000000000014</v>
      </c>
      <c r="L339">
        <f t="shared" si="35"/>
        <v>15.32846335999999</v>
      </c>
      <c r="Q339">
        <f t="shared" si="31"/>
        <v>71.407749999999993</v>
      </c>
    </row>
    <row r="340" spans="1:17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 s="2">
        <v>64.258499999999998</v>
      </c>
      <c r="I340">
        <f t="shared" si="32"/>
        <v>2.7404999999999999</v>
      </c>
      <c r="J340">
        <f t="shared" si="33"/>
        <v>6.9879633599999877</v>
      </c>
      <c r="K340">
        <f t="shared" si="34"/>
        <v>5.6000000000000014</v>
      </c>
      <c r="L340">
        <f t="shared" si="35"/>
        <v>15.32846335999999</v>
      </c>
      <c r="Q340">
        <f t="shared" si="31"/>
        <v>64.258499999999998</v>
      </c>
    </row>
    <row r="343" spans="1:17" x14ac:dyDescent="0.2">
      <c r="A343" t="s">
        <v>12</v>
      </c>
      <c r="F343">
        <f>MAX(F2:F340)</f>
        <v>83.333250000000007</v>
      </c>
      <c r="G343">
        <f>MAX(G2:G340)</f>
        <v>83.333250000000007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16A1-0739-4F6D-A4CE-0013FAAAF25B}">
  <dimension ref="A1:V343"/>
  <sheetViews>
    <sheetView tabSelected="1" topLeftCell="F1" zoomScale="110" workbookViewId="0">
      <selection activeCell="K6" sqref="K6"/>
    </sheetView>
  </sheetViews>
  <sheetFormatPr baseColWidth="10" defaultColWidth="8.83203125" defaultRowHeight="15" x14ac:dyDescent="0.2"/>
  <sheetData>
    <row r="1" spans="1:22" s="9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5</v>
      </c>
      <c r="I1" s="9" t="s">
        <v>13</v>
      </c>
      <c r="J1" s="9" t="s">
        <v>14</v>
      </c>
      <c r="K1" s="9" t="s">
        <v>15</v>
      </c>
      <c r="L1" s="9" t="s">
        <v>19</v>
      </c>
      <c r="N1" s="9" t="s">
        <v>27</v>
      </c>
      <c r="O1" s="9" t="s">
        <v>26</v>
      </c>
      <c r="R1" s="9" t="s">
        <v>16</v>
      </c>
      <c r="V1" s="9" t="s">
        <v>21</v>
      </c>
    </row>
    <row r="2" spans="1:22" x14ac:dyDescent="0.2">
      <c r="A2" t="s">
        <v>6</v>
      </c>
      <c r="B2" t="s">
        <v>7</v>
      </c>
      <c r="C2">
        <v>19.7</v>
      </c>
      <c r="D2">
        <v>7.9820907870228899</v>
      </c>
      <c r="E2">
        <v>0.19</v>
      </c>
      <c r="F2" s="1">
        <v>72.665999999999997</v>
      </c>
      <c r="G2" s="1">
        <v>72.665999999999997</v>
      </c>
      <c r="I2">
        <f t="shared" ref="I2:I65" si="0">(E2-0.17)*$S$2</f>
        <v>6.9999999999999958E-3</v>
      </c>
      <c r="J2">
        <f t="shared" ref="J2:J65" si="1">(8-D2)*$S$4</f>
        <v>0.50145796335908344</v>
      </c>
      <c r="K2">
        <f t="shared" ref="K2:K65" si="2">(C2-20)*$S$3</f>
        <v>-0.30000000000000071</v>
      </c>
      <c r="L2">
        <f t="shared" ref="L2:L65" si="3">SUM(I2:K2)+($V$2*(J2*K2))</f>
        <v>0.20845796335908273</v>
      </c>
      <c r="N2">
        <f t="shared" ref="N2:N33" si="4">G2</f>
        <v>72.665999999999997</v>
      </c>
      <c r="R2" t="s">
        <v>17</v>
      </c>
      <c r="S2">
        <v>0.35</v>
      </c>
      <c r="U2" t="s">
        <v>22</v>
      </c>
      <c r="V2">
        <v>0</v>
      </c>
    </row>
    <row r="3" spans="1:22" x14ac:dyDescent="0.2">
      <c r="A3" t="s">
        <v>6</v>
      </c>
      <c r="B3" t="s">
        <v>7</v>
      </c>
      <c r="C3">
        <v>19.7</v>
      </c>
      <c r="D3">
        <v>7.9820907870228899</v>
      </c>
      <c r="E3">
        <v>0.19</v>
      </c>
      <c r="F3" s="1">
        <v>76.6875</v>
      </c>
      <c r="G3" s="1">
        <v>76.6875</v>
      </c>
      <c r="I3">
        <f t="shared" si="0"/>
        <v>6.9999999999999958E-3</v>
      </c>
      <c r="J3">
        <f t="shared" si="1"/>
        <v>0.50145796335908344</v>
      </c>
      <c r="K3">
        <f t="shared" si="2"/>
        <v>-0.30000000000000071</v>
      </c>
      <c r="L3">
        <f t="shared" si="3"/>
        <v>0.20845796335908273</v>
      </c>
      <c r="N3">
        <f t="shared" si="4"/>
        <v>76.6875</v>
      </c>
      <c r="R3" t="s">
        <v>18</v>
      </c>
      <c r="S3">
        <v>1</v>
      </c>
    </row>
    <row r="4" spans="1:22" x14ac:dyDescent="0.2">
      <c r="A4" t="s">
        <v>6</v>
      </c>
      <c r="B4" t="s">
        <v>7</v>
      </c>
      <c r="C4">
        <v>19.7</v>
      </c>
      <c r="D4">
        <v>7.9820907870228899</v>
      </c>
      <c r="E4">
        <v>0.19</v>
      </c>
      <c r="F4" s="1">
        <v>69.563249999999996</v>
      </c>
      <c r="G4" s="1">
        <v>69.563249999999996</v>
      </c>
      <c r="I4">
        <f t="shared" si="0"/>
        <v>6.9999999999999958E-3</v>
      </c>
      <c r="J4">
        <f t="shared" si="1"/>
        <v>0.50145796335908344</v>
      </c>
      <c r="K4">
        <f t="shared" si="2"/>
        <v>-0.30000000000000071</v>
      </c>
      <c r="L4">
        <f t="shared" si="3"/>
        <v>0.20845796335908273</v>
      </c>
      <c r="N4">
        <f t="shared" si="4"/>
        <v>69.563249999999996</v>
      </c>
      <c r="R4" t="s">
        <v>8</v>
      </c>
      <c r="S4">
        <v>28</v>
      </c>
    </row>
    <row r="5" spans="1:22" x14ac:dyDescent="0.2">
      <c r="A5" t="s">
        <v>6</v>
      </c>
      <c r="B5" t="s">
        <v>7</v>
      </c>
      <c r="C5">
        <v>19.7</v>
      </c>
      <c r="D5">
        <v>7.9820907870228899</v>
      </c>
      <c r="E5">
        <v>0.19</v>
      </c>
      <c r="F5" s="1">
        <v>66.738500000000002</v>
      </c>
      <c r="G5" s="1">
        <v>66.738500000000002</v>
      </c>
      <c r="I5">
        <f t="shared" si="0"/>
        <v>6.9999999999999958E-3</v>
      </c>
      <c r="J5">
        <f t="shared" si="1"/>
        <v>0.50145796335908344</v>
      </c>
      <c r="K5">
        <f t="shared" si="2"/>
        <v>-0.30000000000000071</v>
      </c>
      <c r="L5">
        <f t="shared" si="3"/>
        <v>0.20845796335908273</v>
      </c>
      <c r="N5">
        <f t="shared" si="4"/>
        <v>66.738500000000002</v>
      </c>
    </row>
    <row r="6" spans="1:22" x14ac:dyDescent="0.2">
      <c r="A6" t="s">
        <v>6</v>
      </c>
      <c r="B6" t="s">
        <v>7</v>
      </c>
      <c r="C6">
        <v>19.7</v>
      </c>
      <c r="D6">
        <v>7.9820907870228899</v>
      </c>
      <c r="E6">
        <v>0.19</v>
      </c>
      <c r="F6" s="1">
        <v>81.515000000000001</v>
      </c>
      <c r="G6" s="1">
        <v>81.515000000000001</v>
      </c>
      <c r="I6">
        <f t="shared" si="0"/>
        <v>6.9999999999999958E-3</v>
      </c>
      <c r="J6">
        <f t="shared" si="1"/>
        <v>0.50145796335908344</v>
      </c>
      <c r="K6">
        <f t="shared" si="2"/>
        <v>-0.30000000000000071</v>
      </c>
      <c r="L6">
        <f t="shared" si="3"/>
        <v>0.20845796335908273</v>
      </c>
      <c r="N6">
        <f t="shared" si="4"/>
        <v>81.515000000000001</v>
      </c>
    </row>
    <row r="7" spans="1:22" x14ac:dyDescent="0.2">
      <c r="A7" t="s">
        <v>6</v>
      </c>
      <c r="B7" t="s">
        <v>7</v>
      </c>
      <c r="C7">
        <v>19.7</v>
      </c>
      <c r="D7">
        <v>7.9820907870228899</v>
      </c>
      <c r="E7">
        <v>0.19</v>
      </c>
      <c r="F7" s="1">
        <v>69.140249999999995</v>
      </c>
      <c r="G7" s="1">
        <v>69.140249999999995</v>
      </c>
      <c r="I7">
        <f t="shared" si="0"/>
        <v>6.9999999999999958E-3</v>
      </c>
      <c r="J7">
        <f t="shared" si="1"/>
        <v>0.50145796335908344</v>
      </c>
      <c r="K7">
        <f t="shared" si="2"/>
        <v>-0.30000000000000071</v>
      </c>
      <c r="L7">
        <f t="shared" si="3"/>
        <v>0.20845796335908273</v>
      </c>
      <c r="N7">
        <f t="shared" si="4"/>
        <v>69.140249999999995</v>
      </c>
    </row>
    <row r="8" spans="1:22" x14ac:dyDescent="0.2">
      <c r="A8" t="s">
        <v>6</v>
      </c>
      <c r="B8" t="s">
        <v>7</v>
      </c>
      <c r="C8">
        <v>19.7</v>
      </c>
      <c r="D8">
        <v>7.9820907870228899</v>
      </c>
      <c r="E8">
        <v>0.19</v>
      </c>
      <c r="F8" s="1">
        <v>73.923500000000004</v>
      </c>
      <c r="G8" s="1">
        <v>73.923500000000004</v>
      </c>
      <c r="I8">
        <f t="shared" si="0"/>
        <v>6.9999999999999958E-3</v>
      </c>
      <c r="J8">
        <f t="shared" si="1"/>
        <v>0.50145796335908344</v>
      </c>
      <c r="K8">
        <f t="shared" si="2"/>
        <v>-0.30000000000000071</v>
      </c>
      <c r="L8">
        <f t="shared" si="3"/>
        <v>0.20845796335908273</v>
      </c>
      <c r="N8">
        <f t="shared" si="4"/>
        <v>73.923500000000004</v>
      </c>
    </row>
    <row r="9" spans="1:22" x14ac:dyDescent="0.2">
      <c r="A9" t="s">
        <v>6</v>
      </c>
      <c r="B9" t="s">
        <v>7</v>
      </c>
      <c r="C9">
        <v>19.7</v>
      </c>
      <c r="D9">
        <v>7.9820907870228899</v>
      </c>
      <c r="E9">
        <v>0.19</v>
      </c>
      <c r="F9" s="1">
        <v>80.172749999999994</v>
      </c>
      <c r="G9" s="1">
        <v>80.172749999999994</v>
      </c>
      <c r="I9">
        <f t="shared" si="0"/>
        <v>6.9999999999999958E-3</v>
      </c>
      <c r="J9">
        <f t="shared" si="1"/>
        <v>0.50145796335908344</v>
      </c>
      <c r="K9">
        <f t="shared" si="2"/>
        <v>-0.30000000000000071</v>
      </c>
      <c r="L9">
        <f t="shared" si="3"/>
        <v>0.20845796335908273</v>
      </c>
      <c r="N9">
        <f t="shared" si="4"/>
        <v>80.172749999999994</v>
      </c>
    </row>
    <row r="10" spans="1:22" x14ac:dyDescent="0.2">
      <c r="A10" t="s">
        <v>6</v>
      </c>
      <c r="B10" t="s">
        <v>7</v>
      </c>
      <c r="C10">
        <v>19.7</v>
      </c>
      <c r="D10">
        <v>7.9820907870228899</v>
      </c>
      <c r="E10">
        <v>0.19</v>
      </c>
      <c r="F10" s="1">
        <v>70.266249999999999</v>
      </c>
      <c r="G10" s="1">
        <v>70.266249999999999</v>
      </c>
      <c r="I10">
        <f t="shared" si="0"/>
        <v>6.9999999999999958E-3</v>
      </c>
      <c r="J10">
        <f t="shared" si="1"/>
        <v>0.50145796335908344</v>
      </c>
      <c r="K10">
        <f t="shared" si="2"/>
        <v>-0.30000000000000071</v>
      </c>
      <c r="L10">
        <f t="shared" si="3"/>
        <v>0.20845796335908273</v>
      </c>
      <c r="N10">
        <f t="shared" si="4"/>
        <v>70.266249999999999</v>
      </c>
    </row>
    <row r="11" spans="1:22" x14ac:dyDescent="0.2">
      <c r="A11" t="s">
        <v>6</v>
      </c>
      <c r="B11" t="s">
        <v>7</v>
      </c>
      <c r="C11">
        <v>19.7</v>
      </c>
      <c r="D11">
        <v>7.9820907870228899</v>
      </c>
      <c r="E11">
        <v>0.19</v>
      </c>
      <c r="F11" s="1">
        <v>82.92</v>
      </c>
      <c r="G11" s="1">
        <v>82.92</v>
      </c>
      <c r="I11">
        <f t="shared" si="0"/>
        <v>6.9999999999999958E-3</v>
      </c>
      <c r="J11">
        <f t="shared" si="1"/>
        <v>0.50145796335908344</v>
      </c>
      <c r="K11">
        <f t="shared" si="2"/>
        <v>-0.30000000000000071</v>
      </c>
      <c r="L11">
        <f t="shared" si="3"/>
        <v>0.20845796335908273</v>
      </c>
      <c r="N11">
        <f t="shared" si="4"/>
        <v>82.92</v>
      </c>
    </row>
    <row r="12" spans="1:22" x14ac:dyDescent="0.2">
      <c r="A12" t="s">
        <v>6</v>
      </c>
      <c r="B12" t="s">
        <v>7</v>
      </c>
      <c r="C12">
        <v>19.7</v>
      </c>
      <c r="D12">
        <v>7.9820907870228899</v>
      </c>
      <c r="E12">
        <v>0.19</v>
      </c>
      <c r="F12" s="1">
        <v>69.458749999999995</v>
      </c>
      <c r="G12" s="1">
        <v>69.458749999999995</v>
      </c>
      <c r="I12">
        <f t="shared" si="0"/>
        <v>6.9999999999999958E-3</v>
      </c>
      <c r="J12">
        <f t="shared" si="1"/>
        <v>0.50145796335908344</v>
      </c>
      <c r="K12">
        <f t="shared" si="2"/>
        <v>-0.30000000000000071</v>
      </c>
      <c r="L12">
        <f t="shared" si="3"/>
        <v>0.20845796335908273</v>
      </c>
      <c r="N12">
        <f t="shared" si="4"/>
        <v>69.458749999999995</v>
      </c>
    </row>
    <row r="13" spans="1:22" x14ac:dyDescent="0.2">
      <c r="A13" t="s">
        <v>6</v>
      </c>
      <c r="B13" t="s">
        <v>7</v>
      </c>
      <c r="C13">
        <v>19.7</v>
      </c>
      <c r="D13">
        <v>7.9820907870228899</v>
      </c>
      <c r="E13">
        <v>0.19</v>
      </c>
      <c r="F13" s="1">
        <v>73.944749999999999</v>
      </c>
      <c r="G13" s="1">
        <v>73.944749999999999</v>
      </c>
      <c r="I13">
        <f t="shared" si="0"/>
        <v>6.9999999999999958E-3</v>
      </c>
      <c r="J13">
        <f t="shared" si="1"/>
        <v>0.50145796335908344</v>
      </c>
      <c r="K13">
        <f t="shared" si="2"/>
        <v>-0.30000000000000071</v>
      </c>
      <c r="L13">
        <f t="shared" si="3"/>
        <v>0.20845796335908273</v>
      </c>
      <c r="N13">
        <f t="shared" si="4"/>
        <v>73.944749999999999</v>
      </c>
    </row>
    <row r="14" spans="1:22" x14ac:dyDescent="0.2">
      <c r="A14" t="s">
        <v>6</v>
      </c>
      <c r="B14" t="s">
        <v>7</v>
      </c>
      <c r="C14">
        <v>19.7</v>
      </c>
      <c r="D14">
        <v>7.9820907870228899</v>
      </c>
      <c r="E14">
        <v>0.19</v>
      </c>
      <c r="F14" s="1">
        <v>78.923249999999996</v>
      </c>
      <c r="G14" s="1">
        <v>78.923249999999996</v>
      </c>
      <c r="I14">
        <f t="shared" si="0"/>
        <v>6.9999999999999958E-3</v>
      </c>
      <c r="J14">
        <f t="shared" si="1"/>
        <v>0.50145796335908344</v>
      </c>
      <c r="K14">
        <f t="shared" si="2"/>
        <v>-0.30000000000000071</v>
      </c>
      <c r="L14">
        <f t="shared" si="3"/>
        <v>0.20845796335908273</v>
      </c>
      <c r="N14">
        <f t="shared" si="4"/>
        <v>78.923249999999996</v>
      </c>
    </row>
    <row r="15" spans="1:22" x14ac:dyDescent="0.2">
      <c r="A15" t="s">
        <v>6</v>
      </c>
      <c r="B15" t="s">
        <v>7</v>
      </c>
      <c r="C15">
        <v>19.7</v>
      </c>
      <c r="D15">
        <v>7.9820907870228899</v>
      </c>
      <c r="E15">
        <v>0.19</v>
      </c>
      <c r="F15" s="1">
        <v>81.489999999999995</v>
      </c>
      <c r="G15" s="1">
        <v>81.489999999999995</v>
      </c>
      <c r="I15">
        <f t="shared" si="0"/>
        <v>6.9999999999999958E-3</v>
      </c>
      <c r="J15">
        <f t="shared" si="1"/>
        <v>0.50145796335908344</v>
      </c>
      <c r="K15">
        <f t="shared" si="2"/>
        <v>-0.30000000000000071</v>
      </c>
      <c r="L15">
        <f t="shared" si="3"/>
        <v>0.20845796335908273</v>
      </c>
      <c r="N15">
        <f t="shared" si="4"/>
        <v>81.489999999999995</v>
      </c>
    </row>
    <row r="16" spans="1:22" x14ac:dyDescent="0.2">
      <c r="A16" t="s">
        <v>6</v>
      </c>
      <c r="B16" t="s">
        <v>7</v>
      </c>
      <c r="C16">
        <v>19.7</v>
      </c>
      <c r="D16">
        <v>7.9820907870228899</v>
      </c>
      <c r="E16">
        <v>0.19</v>
      </c>
      <c r="F16" s="1">
        <v>77.010999999999996</v>
      </c>
      <c r="G16" s="1">
        <v>77.010999999999996</v>
      </c>
      <c r="I16">
        <f t="shared" si="0"/>
        <v>6.9999999999999958E-3</v>
      </c>
      <c r="J16">
        <f t="shared" si="1"/>
        <v>0.50145796335908344</v>
      </c>
      <c r="K16">
        <f t="shared" si="2"/>
        <v>-0.30000000000000071</v>
      </c>
      <c r="L16">
        <f t="shared" si="3"/>
        <v>0.20845796335908273</v>
      </c>
      <c r="N16">
        <f t="shared" si="4"/>
        <v>77.010999999999996</v>
      </c>
    </row>
    <row r="17" spans="1:14" x14ac:dyDescent="0.2">
      <c r="A17" t="s">
        <v>6</v>
      </c>
      <c r="B17" t="s">
        <v>7</v>
      </c>
      <c r="C17">
        <v>19.7</v>
      </c>
      <c r="D17">
        <v>7.9820907870228899</v>
      </c>
      <c r="E17">
        <v>0.19</v>
      </c>
      <c r="F17" s="1">
        <v>73.716999999999999</v>
      </c>
      <c r="G17" s="1">
        <v>73.716999999999999</v>
      </c>
      <c r="I17">
        <f t="shared" si="0"/>
        <v>6.9999999999999958E-3</v>
      </c>
      <c r="J17">
        <f t="shared" si="1"/>
        <v>0.50145796335908344</v>
      </c>
      <c r="K17">
        <f t="shared" si="2"/>
        <v>-0.30000000000000071</v>
      </c>
      <c r="L17">
        <f t="shared" si="3"/>
        <v>0.20845796335908273</v>
      </c>
      <c r="N17">
        <f t="shared" si="4"/>
        <v>73.716999999999999</v>
      </c>
    </row>
    <row r="18" spans="1:14" x14ac:dyDescent="0.2">
      <c r="A18" t="s">
        <v>6</v>
      </c>
      <c r="B18" t="s">
        <v>7</v>
      </c>
      <c r="C18">
        <v>19.7</v>
      </c>
      <c r="D18">
        <v>7.9820907870228899</v>
      </c>
      <c r="E18">
        <v>0.19</v>
      </c>
      <c r="F18" s="1">
        <v>68.298500000000004</v>
      </c>
      <c r="G18" s="1">
        <v>68.298500000000004</v>
      </c>
      <c r="I18">
        <f t="shared" si="0"/>
        <v>6.9999999999999958E-3</v>
      </c>
      <c r="J18">
        <f t="shared" si="1"/>
        <v>0.50145796335908344</v>
      </c>
      <c r="K18">
        <f t="shared" si="2"/>
        <v>-0.30000000000000071</v>
      </c>
      <c r="L18">
        <f t="shared" si="3"/>
        <v>0.20845796335908273</v>
      </c>
      <c r="N18">
        <f t="shared" si="4"/>
        <v>68.298500000000004</v>
      </c>
    </row>
    <row r="19" spans="1:14" x14ac:dyDescent="0.2">
      <c r="A19" t="s">
        <v>6</v>
      </c>
      <c r="B19" t="s">
        <v>7</v>
      </c>
      <c r="C19">
        <v>19.7</v>
      </c>
      <c r="D19">
        <v>7.9820907870228899</v>
      </c>
      <c r="E19">
        <v>0.19</v>
      </c>
      <c r="F19" s="1">
        <v>81.363249999999994</v>
      </c>
      <c r="G19" s="1">
        <v>81.363249999999994</v>
      </c>
      <c r="I19">
        <f t="shared" si="0"/>
        <v>6.9999999999999958E-3</v>
      </c>
      <c r="J19">
        <f t="shared" si="1"/>
        <v>0.50145796335908344</v>
      </c>
      <c r="K19">
        <f t="shared" si="2"/>
        <v>-0.30000000000000071</v>
      </c>
      <c r="L19">
        <f t="shared" si="3"/>
        <v>0.20845796335908273</v>
      </c>
      <c r="N19">
        <f t="shared" si="4"/>
        <v>81.363249999999994</v>
      </c>
    </row>
    <row r="20" spans="1:14" x14ac:dyDescent="0.2">
      <c r="A20" t="s">
        <v>6</v>
      </c>
      <c r="B20" t="s">
        <v>7</v>
      </c>
      <c r="C20">
        <v>19.7</v>
      </c>
      <c r="D20">
        <v>7.9820907870228899</v>
      </c>
      <c r="E20">
        <v>0.19</v>
      </c>
      <c r="F20" s="1">
        <v>67.977500000000006</v>
      </c>
      <c r="G20" s="1">
        <v>67.977500000000006</v>
      </c>
      <c r="I20">
        <f t="shared" si="0"/>
        <v>6.9999999999999958E-3</v>
      </c>
      <c r="J20">
        <f t="shared" si="1"/>
        <v>0.50145796335908344</v>
      </c>
      <c r="K20">
        <f t="shared" si="2"/>
        <v>-0.30000000000000071</v>
      </c>
      <c r="L20">
        <f t="shared" si="3"/>
        <v>0.20845796335908273</v>
      </c>
      <c r="N20">
        <f t="shared" si="4"/>
        <v>67.977500000000006</v>
      </c>
    </row>
    <row r="21" spans="1:14" x14ac:dyDescent="0.2">
      <c r="A21" t="s">
        <v>6</v>
      </c>
      <c r="B21" t="s">
        <v>7</v>
      </c>
      <c r="C21">
        <v>19.7</v>
      </c>
      <c r="D21">
        <v>7.9820907870228899</v>
      </c>
      <c r="E21">
        <v>0.19</v>
      </c>
      <c r="F21" s="1">
        <v>65.9285</v>
      </c>
      <c r="G21" s="1">
        <v>65.9285</v>
      </c>
      <c r="I21">
        <f t="shared" si="0"/>
        <v>6.9999999999999958E-3</v>
      </c>
      <c r="J21">
        <f t="shared" si="1"/>
        <v>0.50145796335908344</v>
      </c>
      <c r="K21">
        <f t="shared" si="2"/>
        <v>-0.30000000000000071</v>
      </c>
      <c r="L21">
        <f t="shared" si="3"/>
        <v>0.20845796335908273</v>
      </c>
      <c r="N21">
        <f t="shared" si="4"/>
        <v>65.9285</v>
      </c>
    </row>
    <row r="22" spans="1:14" x14ac:dyDescent="0.2">
      <c r="A22" t="s">
        <v>6</v>
      </c>
      <c r="B22" t="s">
        <v>7</v>
      </c>
      <c r="C22">
        <v>19.7</v>
      </c>
      <c r="D22">
        <v>7.9898910209944702</v>
      </c>
      <c r="E22">
        <v>3</v>
      </c>
      <c r="F22" s="1">
        <v>71.902500000000003</v>
      </c>
      <c r="G22" s="1">
        <v>71.902500000000003</v>
      </c>
      <c r="I22">
        <f t="shared" si="0"/>
        <v>0.99049999999999994</v>
      </c>
      <c r="J22">
        <f t="shared" si="1"/>
        <v>0.28305141215483332</v>
      </c>
      <c r="K22">
        <f t="shared" si="2"/>
        <v>-0.30000000000000071</v>
      </c>
      <c r="L22">
        <f t="shared" si="3"/>
        <v>0.97355141215483254</v>
      </c>
      <c r="N22">
        <f t="shared" si="4"/>
        <v>71.902500000000003</v>
      </c>
    </row>
    <row r="23" spans="1:14" x14ac:dyDescent="0.2">
      <c r="A23" t="s">
        <v>6</v>
      </c>
      <c r="B23" t="s">
        <v>7</v>
      </c>
      <c r="C23">
        <v>19.7</v>
      </c>
      <c r="D23">
        <v>7.9898910209944702</v>
      </c>
      <c r="E23">
        <v>3</v>
      </c>
      <c r="F23" s="1">
        <v>67.558750000000003</v>
      </c>
      <c r="G23" s="1">
        <v>67.558750000000003</v>
      </c>
      <c r="I23">
        <f t="shared" si="0"/>
        <v>0.99049999999999994</v>
      </c>
      <c r="J23">
        <f t="shared" si="1"/>
        <v>0.28305141215483332</v>
      </c>
      <c r="K23">
        <f t="shared" si="2"/>
        <v>-0.30000000000000071</v>
      </c>
      <c r="L23">
        <f t="shared" si="3"/>
        <v>0.97355141215483254</v>
      </c>
      <c r="N23">
        <f t="shared" si="4"/>
        <v>67.558750000000003</v>
      </c>
    </row>
    <row r="24" spans="1:14" x14ac:dyDescent="0.2">
      <c r="A24" t="s">
        <v>6</v>
      </c>
      <c r="B24" t="s">
        <v>7</v>
      </c>
      <c r="C24">
        <v>19.7</v>
      </c>
      <c r="D24">
        <v>7.9898910209944702</v>
      </c>
      <c r="E24">
        <v>3</v>
      </c>
      <c r="F24" s="1">
        <v>72.10275</v>
      </c>
      <c r="G24" s="1">
        <v>72.10275</v>
      </c>
      <c r="I24">
        <f t="shared" si="0"/>
        <v>0.99049999999999994</v>
      </c>
      <c r="J24">
        <f t="shared" si="1"/>
        <v>0.28305141215483332</v>
      </c>
      <c r="K24">
        <f t="shared" si="2"/>
        <v>-0.30000000000000071</v>
      </c>
      <c r="L24">
        <f t="shared" si="3"/>
        <v>0.97355141215483254</v>
      </c>
      <c r="N24">
        <f t="shared" si="4"/>
        <v>72.10275</v>
      </c>
    </row>
    <row r="25" spans="1:14" x14ac:dyDescent="0.2">
      <c r="A25" t="s">
        <v>6</v>
      </c>
      <c r="B25" t="s">
        <v>7</v>
      </c>
      <c r="C25">
        <v>19.7</v>
      </c>
      <c r="D25">
        <v>7.9898910209944702</v>
      </c>
      <c r="E25">
        <v>3</v>
      </c>
      <c r="F25" s="1">
        <v>68.047250000000005</v>
      </c>
      <c r="G25" s="1">
        <v>68.047250000000005</v>
      </c>
      <c r="I25">
        <f t="shared" si="0"/>
        <v>0.99049999999999994</v>
      </c>
      <c r="J25">
        <f t="shared" si="1"/>
        <v>0.28305141215483332</v>
      </c>
      <c r="K25">
        <f t="shared" si="2"/>
        <v>-0.30000000000000071</v>
      </c>
      <c r="L25">
        <f t="shared" si="3"/>
        <v>0.97355141215483254</v>
      </c>
      <c r="N25">
        <f t="shared" si="4"/>
        <v>68.047250000000005</v>
      </c>
    </row>
    <row r="26" spans="1:14" x14ac:dyDescent="0.2">
      <c r="A26" t="s">
        <v>6</v>
      </c>
      <c r="B26" t="s">
        <v>7</v>
      </c>
      <c r="C26">
        <v>19.7</v>
      </c>
      <c r="D26">
        <v>7.9898910209944702</v>
      </c>
      <c r="E26">
        <v>3</v>
      </c>
      <c r="F26" s="1">
        <v>69.138000000000005</v>
      </c>
      <c r="G26" s="1">
        <v>69.138000000000005</v>
      </c>
      <c r="I26">
        <f t="shared" si="0"/>
        <v>0.99049999999999994</v>
      </c>
      <c r="J26">
        <f t="shared" si="1"/>
        <v>0.28305141215483332</v>
      </c>
      <c r="K26">
        <f t="shared" si="2"/>
        <v>-0.30000000000000071</v>
      </c>
      <c r="L26">
        <f t="shared" si="3"/>
        <v>0.97355141215483254</v>
      </c>
      <c r="N26">
        <f t="shared" si="4"/>
        <v>69.138000000000005</v>
      </c>
    </row>
    <row r="27" spans="1:14" x14ac:dyDescent="0.2">
      <c r="A27" t="s">
        <v>6</v>
      </c>
      <c r="B27" t="s">
        <v>7</v>
      </c>
      <c r="C27">
        <v>19.7</v>
      </c>
      <c r="D27">
        <v>7.9898910209944702</v>
      </c>
      <c r="E27">
        <v>3</v>
      </c>
      <c r="F27" s="1">
        <v>75.832250000000002</v>
      </c>
      <c r="G27" s="1">
        <v>75.832250000000002</v>
      </c>
      <c r="I27">
        <f t="shared" si="0"/>
        <v>0.99049999999999994</v>
      </c>
      <c r="J27">
        <f t="shared" si="1"/>
        <v>0.28305141215483332</v>
      </c>
      <c r="K27">
        <f t="shared" si="2"/>
        <v>-0.30000000000000071</v>
      </c>
      <c r="L27">
        <f t="shared" si="3"/>
        <v>0.97355141215483254</v>
      </c>
      <c r="N27">
        <f t="shared" si="4"/>
        <v>75.832250000000002</v>
      </c>
    </row>
    <row r="28" spans="1:14" x14ac:dyDescent="0.2">
      <c r="A28" t="s">
        <v>6</v>
      </c>
      <c r="B28" t="s">
        <v>7</v>
      </c>
      <c r="C28">
        <v>19.7</v>
      </c>
      <c r="D28">
        <v>7.9898910209944702</v>
      </c>
      <c r="E28">
        <v>3</v>
      </c>
      <c r="F28" s="1">
        <v>67.867249999999999</v>
      </c>
      <c r="G28" s="1">
        <v>67.867249999999999</v>
      </c>
      <c r="I28">
        <f t="shared" si="0"/>
        <v>0.99049999999999994</v>
      </c>
      <c r="J28">
        <f t="shared" si="1"/>
        <v>0.28305141215483332</v>
      </c>
      <c r="K28">
        <f t="shared" si="2"/>
        <v>-0.30000000000000071</v>
      </c>
      <c r="L28">
        <f t="shared" si="3"/>
        <v>0.97355141215483254</v>
      </c>
      <c r="N28">
        <f t="shared" si="4"/>
        <v>67.867249999999999</v>
      </c>
    </row>
    <row r="29" spans="1:14" x14ac:dyDescent="0.2">
      <c r="A29" t="s">
        <v>6</v>
      </c>
      <c r="B29" t="s">
        <v>7</v>
      </c>
      <c r="C29">
        <v>19.7</v>
      </c>
      <c r="D29">
        <v>7.9898910209944702</v>
      </c>
      <c r="E29">
        <v>3</v>
      </c>
      <c r="F29" s="1">
        <v>73.296999999999997</v>
      </c>
      <c r="G29" s="1">
        <v>73.296999999999997</v>
      </c>
      <c r="I29">
        <f t="shared" si="0"/>
        <v>0.99049999999999994</v>
      </c>
      <c r="J29">
        <f t="shared" si="1"/>
        <v>0.28305141215483332</v>
      </c>
      <c r="K29">
        <f t="shared" si="2"/>
        <v>-0.30000000000000071</v>
      </c>
      <c r="L29">
        <f t="shared" si="3"/>
        <v>0.97355141215483254</v>
      </c>
      <c r="N29">
        <f t="shared" si="4"/>
        <v>73.296999999999997</v>
      </c>
    </row>
    <row r="30" spans="1:14" x14ac:dyDescent="0.2">
      <c r="A30" t="s">
        <v>6</v>
      </c>
      <c r="B30" t="s">
        <v>7</v>
      </c>
      <c r="C30">
        <v>19.7</v>
      </c>
      <c r="D30">
        <v>7.9898910209944702</v>
      </c>
      <c r="E30">
        <v>3</v>
      </c>
      <c r="F30" s="1">
        <v>69.992249999999999</v>
      </c>
      <c r="G30" s="1">
        <v>69.992249999999999</v>
      </c>
      <c r="I30">
        <f t="shared" si="0"/>
        <v>0.99049999999999994</v>
      </c>
      <c r="J30">
        <f t="shared" si="1"/>
        <v>0.28305141215483332</v>
      </c>
      <c r="K30">
        <f t="shared" si="2"/>
        <v>-0.30000000000000071</v>
      </c>
      <c r="L30">
        <f t="shared" si="3"/>
        <v>0.97355141215483254</v>
      </c>
      <c r="N30">
        <f t="shared" si="4"/>
        <v>69.992249999999999</v>
      </c>
    </row>
    <row r="31" spans="1:14" x14ac:dyDescent="0.2">
      <c r="A31" t="s">
        <v>6</v>
      </c>
      <c r="B31" t="s">
        <v>7</v>
      </c>
      <c r="C31">
        <v>19.7</v>
      </c>
      <c r="D31">
        <v>7.9898910209944702</v>
      </c>
      <c r="E31">
        <v>3</v>
      </c>
      <c r="F31" s="1">
        <v>77.667249999999996</v>
      </c>
      <c r="G31" s="1">
        <v>77.667249999999996</v>
      </c>
      <c r="I31">
        <f t="shared" si="0"/>
        <v>0.99049999999999994</v>
      </c>
      <c r="J31">
        <f t="shared" si="1"/>
        <v>0.28305141215483332</v>
      </c>
      <c r="K31">
        <f t="shared" si="2"/>
        <v>-0.30000000000000071</v>
      </c>
      <c r="L31">
        <f t="shared" si="3"/>
        <v>0.97355141215483254</v>
      </c>
      <c r="N31">
        <f t="shared" si="4"/>
        <v>77.667249999999996</v>
      </c>
    </row>
    <row r="32" spans="1:14" x14ac:dyDescent="0.2">
      <c r="A32" t="s">
        <v>6</v>
      </c>
      <c r="B32" t="s">
        <v>7</v>
      </c>
      <c r="C32">
        <v>19.7</v>
      </c>
      <c r="D32">
        <v>7.9898910209944702</v>
      </c>
      <c r="E32">
        <v>3</v>
      </c>
      <c r="F32" s="1">
        <v>73.642250000000004</v>
      </c>
      <c r="G32" s="1">
        <v>73.642250000000004</v>
      </c>
      <c r="I32">
        <f t="shared" si="0"/>
        <v>0.99049999999999994</v>
      </c>
      <c r="J32">
        <f t="shared" si="1"/>
        <v>0.28305141215483332</v>
      </c>
      <c r="K32">
        <f t="shared" si="2"/>
        <v>-0.30000000000000071</v>
      </c>
      <c r="L32">
        <f t="shared" si="3"/>
        <v>0.97355141215483254</v>
      </c>
      <c r="N32">
        <f t="shared" si="4"/>
        <v>73.642250000000004</v>
      </c>
    </row>
    <row r="33" spans="1:14" x14ac:dyDescent="0.2">
      <c r="A33" t="s">
        <v>6</v>
      </c>
      <c r="B33" t="s">
        <v>7</v>
      </c>
      <c r="C33">
        <v>19.7</v>
      </c>
      <c r="D33">
        <v>7.9898910209944702</v>
      </c>
      <c r="E33">
        <v>3</v>
      </c>
      <c r="F33" s="1">
        <v>78.064750000000004</v>
      </c>
      <c r="G33" s="1">
        <v>78.064750000000004</v>
      </c>
      <c r="I33">
        <f t="shared" si="0"/>
        <v>0.99049999999999994</v>
      </c>
      <c r="J33">
        <f t="shared" si="1"/>
        <v>0.28305141215483332</v>
      </c>
      <c r="K33">
        <f t="shared" si="2"/>
        <v>-0.30000000000000071</v>
      </c>
      <c r="L33">
        <f t="shared" si="3"/>
        <v>0.97355141215483254</v>
      </c>
      <c r="N33">
        <f t="shared" si="4"/>
        <v>78.064750000000004</v>
      </c>
    </row>
    <row r="34" spans="1:14" x14ac:dyDescent="0.2">
      <c r="A34" t="s">
        <v>6</v>
      </c>
      <c r="B34" t="s">
        <v>7</v>
      </c>
      <c r="C34">
        <v>19.7</v>
      </c>
      <c r="D34">
        <v>7.9898910209944702</v>
      </c>
      <c r="E34">
        <v>3</v>
      </c>
      <c r="F34" s="1">
        <v>77.946250000000006</v>
      </c>
      <c r="G34" s="1">
        <v>77.946250000000006</v>
      </c>
      <c r="I34">
        <f t="shared" si="0"/>
        <v>0.99049999999999994</v>
      </c>
      <c r="J34">
        <f t="shared" si="1"/>
        <v>0.28305141215483332</v>
      </c>
      <c r="K34">
        <f t="shared" si="2"/>
        <v>-0.30000000000000071</v>
      </c>
      <c r="L34">
        <f t="shared" si="3"/>
        <v>0.97355141215483254</v>
      </c>
      <c r="N34">
        <f t="shared" ref="N34:N65" si="5">G34</f>
        <v>77.946250000000006</v>
      </c>
    </row>
    <row r="35" spans="1:14" x14ac:dyDescent="0.2">
      <c r="A35" t="s">
        <v>6</v>
      </c>
      <c r="B35" t="s">
        <v>7</v>
      </c>
      <c r="C35">
        <v>19.7</v>
      </c>
      <c r="D35">
        <v>7.9898910209944702</v>
      </c>
      <c r="E35">
        <v>3</v>
      </c>
      <c r="F35" s="1">
        <v>72.652749999999997</v>
      </c>
      <c r="G35" s="1">
        <v>72.652749999999997</v>
      </c>
      <c r="I35">
        <f t="shared" si="0"/>
        <v>0.99049999999999994</v>
      </c>
      <c r="J35">
        <f t="shared" si="1"/>
        <v>0.28305141215483332</v>
      </c>
      <c r="K35">
        <f t="shared" si="2"/>
        <v>-0.30000000000000071</v>
      </c>
      <c r="L35">
        <f t="shared" si="3"/>
        <v>0.97355141215483254</v>
      </c>
      <c r="N35">
        <f t="shared" si="5"/>
        <v>72.652749999999997</v>
      </c>
    </row>
    <row r="36" spans="1:14" x14ac:dyDescent="0.2">
      <c r="A36" t="s">
        <v>6</v>
      </c>
      <c r="B36" t="s">
        <v>7</v>
      </c>
      <c r="C36">
        <v>19.7</v>
      </c>
      <c r="D36">
        <v>7.9791906442568097</v>
      </c>
      <c r="E36">
        <v>8</v>
      </c>
      <c r="F36" s="1">
        <v>74.101749999999996</v>
      </c>
      <c r="G36" s="1">
        <v>74.101749999999996</v>
      </c>
      <c r="I36">
        <f t="shared" si="0"/>
        <v>2.7404999999999999</v>
      </c>
      <c r="J36">
        <f t="shared" si="1"/>
        <v>0.58266196080932886</v>
      </c>
      <c r="K36">
        <f t="shared" si="2"/>
        <v>-0.30000000000000071</v>
      </c>
      <c r="L36">
        <f t="shared" si="3"/>
        <v>3.0231619608093281</v>
      </c>
      <c r="N36">
        <f t="shared" si="5"/>
        <v>74.101749999999996</v>
      </c>
    </row>
    <row r="37" spans="1:14" x14ac:dyDescent="0.2">
      <c r="A37" t="s">
        <v>6</v>
      </c>
      <c r="B37" t="s">
        <v>7</v>
      </c>
      <c r="C37">
        <v>19.7</v>
      </c>
      <c r="D37">
        <v>7.9791906442568097</v>
      </c>
      <c r="E37">
        <v>8</v>
      </c>
      <c r="F37" s="1">
        <v>77.573499999999996</v>
      </c>
      <c r="G37" s="1">
        <v>77.573499999999996</v>
      </c>
      <c r="I37">
        <f t="shared" si="0"/>
        <v>2.7404999999999999</v>
      </c>
      <c r="J37">
        <f t="shared" si="1"/>
        <v>0.58266196080932886</v>
      </c>
      <c r="K37">
        <f t="shared" si="2"/>
        <v>-0.30000000000000071</v>
      </c>
      <c r="L37">
        <f t="shared" si="3"/>
        <v>3.0231619608093281</v>
      </c>
      <c r="N37">
        <f t="shared" si="5"/>
        <v>77.573499999999996</v>
      </c>
    </row>
    <row r="38" spans="1:14" x14ac:dyDescent="0.2">
      <c r="A38" t="s">
        <v>6</v>
      </c>
      <c r="B38" t="s">
        <v>7</v>
      </c>
      <c r="C38">
        <v>19.7</v>
      </c>
      <c r="D38">
        <v>7.9791906442568097</v>
      </c>
      <c r="E38">
        <v>8</v>
      </c>
      <c r="F38" s="1">
        <v>76.248249999999999</v>
      </c>
      <c r="G38" s="1">
        <v>76.248249999999999</v>
      </c>
      <c r="I38">
        <f t="shared" si="0"/>
        <v>2.7404999999999999</v>
      </c>
      <c r="J38">
        <f t="shared" si="1"/>
        <v>0.58266196080932886</v>
      </c>
      <c r="K38">
        <f t="shared" si="2"/>
        <v>-0.30000000000000071</v>
      </c>
      <c r="L38">
        <f t="shared" si="3"/>
        <v>3.0231619608093281</v>
      </c>
      <c r="N38">
        <f t="shared" si="5"/>
        <v>76.248249999999999</v>
      </c>
    </row>
    <row r="39" spans="1:14" x14ac:dyDescent="0.2">
      <c r="A39" t="s">
        <v>6</v>
      </c>
      <c r="B39" t="s">
        <v>7</v>
      </c>
      <c r="C39">
        <v>19.7</v>
      </c>
      <c r="D39">
        <v>7.9791906442568097</v>
      </c>
      <c r="E39">
        <v>8</v>
      </c>
      <c r="F39" s="1">
        <v>73.350499999999997</v>
      </c>
      <c r="G39" s="1">
        <v>73.350499999999997</v>
      </c>
      <c r="I39">
        <f t="shared" si="0"/>
        <v>2.7404999999999999</v>
      </c>
      <c r="J39">
        <f t="shared" si="1"/>
        <v>0.58266196080932886</v>
      </c>
      <c r="K39">
        <f t="shared" si="2"/>
        <v>-0.30000000000000071</v>
      </c>
      <c r="L39">
        <f t="shared" si="3"/>
        <v>3.0231619608093281</v>
      </c>
      <c r="N39">
        <f t="shared" si="5"/>
        <v>73.350499999999997</v>
      </c>
    </row>
    <row r="40" spans="1:14" x14ac:dyDescent="0.2">
      <c r="A40" t="s">
        <v>6</v>
      </c>
      <c r="B40" t="s">
        <v>7</v>
      </c>
      <c r="C40">
        <v>19.7</v>
      </c>
      <c r="D40">
        <v>7.9791906442568097</v>
      </c>
      <c r="E40">
        <v>8</v>
      </c>
      <c r="F40" s="1">
        <v>75.473749999999995</v>
      </c>
      <c r="G40" s="1">
        <v>75.473749999999995</v>
      </c>
      <c r="I40">
        <f t="shared" si="0"/>
        <v>2.7404999999999999</v>
      </c>
      <c r="J40">
        <f t="shared" si="1"/>
        <v>0.58266196080932886</v>
      </c>
      <c r="K40">
        <f t="shared" si="2"/>
        <v>-0.30000000000000071</v>
      </c>
      <c r="L40">
        <f t="shared" si="3"/>
        <v>3.0231619608093281</v>
      </c>
      <c r="N40">
        <f t="shared" si="5"/>
        <v>75.473749999999995</v>
      </c>
    </row>
    <row r="41" spans="1:14" x14ac:dyDescent="0.2">
      <c r="A41" t="s">
        <v>6</v>
      </c>
      <c r="B41" t="s">
        <v>7</v>
      </c>
      <c r="C41">
        <v>19.7</v>
      </c>
      <c r="D41">
        <v>7.9791906442568097</v>
      </c>
      <c r="E41">
        <v>8</v>
      </c>
      <c r="F41" s="1">
        <v>70.245500000000007</v>
      </c>
      <c r="G41" s="1">
        <v>70.245500000000007</v>
      </c>
      <c r="I41">
        <f t="shared" si="0"/>
        <v>2.7404999999999999</v>
      </c>
      <c r="J41">
        <f t="shared" si="1"/>
        <v>0.58266196080932886</v>
      </c>
      <c r="K41">
        <f t="shared" si="2"/>
        <v>-0.30000000000000071</v>
      </c>
      <c r="L41">
        <f t="shared" si="3"/>
        <v>3.0231619608093281</v>
      </c>
      <c r="N41">
        <f t="shared" si="5"/>
        <v>70.245500000000007</v>
      </c>
    </row>
    <row r="42" spans="1:14" x14ac:dyDescent="0.2">
      <c r="A42" t="s">
        <v>6</v>
      </c>
      <c r="B42" t="s">
        <v>7</v>
      </c>
      <c r="C42">
        <v>19.7</v>
      </c>
      <c r="D42">
        <v>7.9791906442568097</v>
      </c>
      <c r="E42">
        <v>8</v>
      </c>
      <c r="F42" s="1">
        <v>76.742999999999995</v>
      </c>
      <c r="G42" s="1">
        <v>76.742999999999995</v>
      </c>
      <c r="I42">
        <f t="shared" si="0"/>
        <v>2.7404999999999999</v>
      </c>
      <c r="J42">
        <f t="shared" si="1"/>
        <v>0.58266196080932886</v>
      </c>
      <c r="K42">
        <f t="shared" si="2"/>
        <v>-0.30000000000000071</v>
      </c>
      <c r="L42">
        <f t="shared" si="3"/>
        <v>3.0231619608093281</v>
      </c>
      <c r="N42">
        <f t="shared" si="5"/>
        <v>76.742999999999995</v>
      </c>
    </row>
    <row r="43" spans="1:14" x14ac:dyDescent="0.2">
      <c r="A43" t="s">
        <v>6</v>
      </c>
      <c r="B43" t="s">
        <v>7</v>
      </c>
      <c r="C43">
        <v>19.7</v>
      </c>
      <c r="D43">
        <v>7.9791906442568097</v>
      </c>
      <c r="E43">
        <v>8</v>
      </c>
      <c r="F43" s="1">
        <v>75.751750000000001</v>
      </c>
      <c r="G43" s="1">
        <v>75.751750000000001</v>
      </c>
      <c r="I43">
        <f t="shared" si="0"/>
        <v>2.7404999999999999</v>
      </c>
      <c r="J43">
        <f t="shared" si="1"/>
        <v>0.58266196080932886</v>
      </c>
      <c r="K43">
        <f t="shared" si="2"/>
        <v>-0.30000000000000071</v>
      </c>
      <c r="L43">
        <f t="shared" si="3"/>
        <v>3.0231619608093281</v>
      </c>
      <c r="N43">
        <f t="shared" si="5"/>
        <v>75.751750000000001</v>
      </c>
    </row>
    <row r="44" spans="1:14" x14ac:dyDescent="0.2">
      <c r="A44" t="s">
        <v>6</v>
      </c>
      <c r="B44" t="s">
        <v>7</v>
      </c>
      <c r="C44">
        <v>19.7</v>
      </c>
      <c r="D44">
        <v>7.9791906442568097</v>
      </c>
      <c r="E44">
        <v>8</v>
      </c>
      <c r="F44" s="1">
        <v>71.84075</v>
      </c>
      <c r="G44" s="1">
        <v>71.84075</v>
      </c>
      <c r="I44">
        <f t="shared" si="0"/>
        <v>2.7404999999999999</v>
      </c>
      <c r="J44">
        <f t="shared" si="1"/>
        <v>0.58266196080932886</v>
      </c>
      <c r="K44">
        <f t="shared" si="2"/>
        <v>-0.30000000000000071</v>
      </c>
      <c r="L44">
        <f t="shared" si="3"/>
        <v>3.0231619608093281</v>
      </c>
      <c r="N44">
        <f t="shared" si="5"/>
        <v>71.84075</v>
      </c>
    </row>
    <row r="45" spans="1:14" x14ac:dyDescent="0.2">
      <c r="A45" t="s">
        <v>6</v>
      </c>
      <c r="B45" t="s">
        <v>7</v>
      </c>
      <c r="C45">
        <v>19.7</v>
      </c>
      <c r="D45">
        <v>7.9791906442568097</v>
      </c>
      <c r="E45">
        <v>8</v>
      </c>
      <c r="F45" s="1">
        <v>76.287750000000003</v>
      </c>
      <c r="G45" s="1">
        <v>76.287750000000003</v>
      </c>
      <c r="I45">
        <f t="shared" si="0"/>
        <v>2.7404999999999999</v>
      </c>
      <c r="J45">
        <f t="shared" si="1"/>
        <v>0.58266196080932886</v>
      </c>
      <c r="K45">
        <f t="shared" si="2"/>
        <v>-0.30000000000000071</v>
      </c>
      <c r="L45">
        <f t="shared" si="3"/>
        <v>3.0231619608093281</v>
      </c>
      <c r="N45">
        <f t="shared" si="5"/>
        <v>76.287750000000003</v>
      </c>
    </row>
    <row r="46" spans="1:14" x14ac:dyDescent="0.2">
      <c r="A46" t="s">
        <v>6</v>
      </c>
      <c r="B46" t="s">
        <v>7</v>
      </c>
      <c r="C46">
        <v>19.7</v>
      </c>
      <c r="D46">
        <v>7.9791906442568097</v>
      </c>
      <c r="E46">
        <v>8</v>
      </c>
      <c r="F46" s="1">
        <v>77.219750000000005</v>
      </c>
      <c r="G46" s="1">
        <v>77.219750000000005</v>
      </c>
      <c r="I46">
        <f t="shared" si="0"/>
        <v>2.7404999999999999</v>
      </c>
      <c r="J46">
        <f t="shared" si="1"/>
        <v>0.58266196080932886</v>
      </c>
      <c r="K46">
        <f t="shared" si="2"/>
        <v>-0.30000000000000071</v>
      </c>
      <c r="L46">
        <f t="shared" si="3"/>
        <v>3.0231619608093281</v>
      </c>
      <c r="N46">
        <f t="shared" si="5"/>
        <v>77.219750000000005</v>
      </c>
    </row>
    <row r="47" spans="1:14" x14ac:dyDescent="0.2">
      <c r="A47" t="s">
        <v>6</v>
      </c>
      <c r="B47" t="s">
        <v>7</v>
      </c>
      <c r="C47">
        <v>19.7</v>
      </c>
      <c r="D47">
        <v>7.9791906442568097</v>
      </c>
      <c r="E47">
        <v>8</v>
      </c>
      <c r="F47" s="1">
        <v>69.163749999999993</v>
      </c>
      <c r="G47" s="1">
        <v>69.163749999999993</v>
      </c>
      <c r="I47">
        <f t="shared" si="0"/>
        <v>2.7404999999999999</v>
      </c>
      <c r="J47">
        <f t="shared" si="1"/>
        <v>0.58266196080932886</v>
      </c>
      <c r="K47">
        <f t="shared" si="2"/>
        <v>-0.30000000000000071</v>
      </c>
      <c r="L47">
        <f t="shared" si="3"/>
        <v>3.0231619608093281</v>
      </c>
      <c r="N47">
        <f t="shared" si="5"/>
        <v>69.163749999999993</v>
      </c>
    </row>
    <row r="48" spans="1:14" x14ac:dyDescent="0.2">
      <c r="A48" t="s">
        <v>6</v>
      </c>
      <c r="B48" t="s">
        <v>7</v>
      </c>
      <c r="C48">
        <v>19.7</v>
      </c>
      <c r="D48">
        <v>7.9842908099129204</v>
      </c>
      <c r="E48">
        <v>12</v>
      </c>
      <c r="F48" s="1">
        <v>75.228250000000003</v>
      </c>
      <c r="G48" s="1">
        <v>75.228250000000003</v>
      </c>
      <c r="I48">
        <f t="shared" si="0"/>
        <v>4.1404999999999994</v>
      </c>
      <c r="J48">
        <f t="shared" si="1"/>
        <v>0.43985732243822895</v>
      </c>
      <c r="K48">
        <f t="shared" si="2"/>
        <v>-0.30000000000000071</v>
      </c>
      <c r="L48">
        <f t="shared" si="3"/>
        <v>4.2803573224382276</v>
      </c>
      <c r="N48">
        <f t="shared" si="5"/>
        <v>75.228250000000003</v>
      </c>
    </row>
    <row r="49" spans="1:14" x14ac:dyDescent="0.2">
      <c r="A49" t="s">
        <v>6</v>
      </c>
      <c r="B49" t="s">
        <v>7</v>
      </c>
      <c r="C49">
        <v>19.7</v>
      </c>
      <c r="D49">
        <v>7.9842908099129204</v>
      </c>
      <c r="E49">
        <v>12</v>
      </c>
      <c r="F49" s="1">
        <v>71.296499999999995</v>
      </c>
      <c r="G49" s="1">
        <v>71.296499999999995</v>
      </c>
      <c r="I49">
        <f t="shared" si="0"/>
        <v>4.1404999999999994</v>
      </c>
      <c r="J49">
        <f t="shared" si="1"/>
        <v>0.43985732243822895</v>
      </c>
      <c r="K49">
        <f t="shared" si="2"/>
        <v>-0.30000000000000071</v>
      </c>
      <c r="L49">
        <f t="shared" si="3"/>
        <v>4.2803573224382276</v>
      </c>
      <c r="N49">
        <f t="shared" si="5"/>
        <v>71.296499999999995</v>
      </c>
    </row>
    <row r="50" spans="1:14" x14ac:dyDescent="0.2">
      <c r="A50" t="s">
        <v>6</v>
      </c>
      <c r="B50" t="s">
        <v>7</v>
      </c>
      <c r="C50">
        <v>19.7</v>
      </c>
      <c r="D50">
        <v>7.9842908099129204</v>
      </c>
      <c r="E50">
        <v>12</v>
      </c>
      <c r="F50" s="1">
        <v>71.164000000000001</v>
      </c>
      <c r="G50" s="1">
        <v>71.164000000000001</v>
      </c>
      <c r="I50">
        <f t="shared" si="0"/>
        <v>4.1404999999999994</v>
      </c>
      <c r="J50">
        <f t="shared" si="1"/>
        <v>0.43985732243822895</v>
      </c>
      <c r="K50">
        <f t="shared" si="2"/>
        <v>-0.30000000000000071</v>
      </c>
      <c r="L50">
        <f t="shared" si="3"/>
        <v>4.2803573224382276</v>
      </c>
      <c r="N50">
        <f t="shared" si="5"/>
        <v>71.164000000000001</v>
      </c>
    </row>
    <row r="51" spans="1:14" x14ac:dyDescent="0.2">
      <c r="A51" t="s">
        <v>6</v>
      </c>
      <c r="B51" t="s">
        <v>7</v>
      </c>
      <c r="C51">
        <v>19.7</v>
      </c>
      <c r="D51">
        <v>7.9842908099129204</v>
      </c>
      <c r="E51">
        <v>12</v>
      </c>
      <c r="F51" s="1">
        <v>73.168750000000003</v>
      </c>
      <c r="G51" s="1">
        <v>73.168750000000003</v>
      </c>
      <c r="I51">
        <f t="shared" si="0"/>
        <v>4.1404999999999994</v>
      </c>
      <c r="J51">
        <f t="shared" si="1"/>
        <v>0.43985732243822895</v>
      </c>
      <c r="K51">
        <f t="shared" si="2"/>
        <v>-0.30000000000000071</v>
      </c>
      <c r="L51">
        <f t="shared" si="3"/>
        <v>4.2803573224382276</v>
      </c>
      <c r="N51">
        <f t="shared" si="5"/>
        <v>73.168750000000003</v>
      </c>
    </row>
    <row r="52" spans="1:14" x14ac:dyDescent="0.2">
      <c r="A52" t="s">
        <v>6</v>
      </c>
      <c r="B52" t="s">
        <v>7</v>
      </c>
      <c r="C52">
        <v>19.7</v>
      </c>
      <c r="D52">
        <v>7.9842908099129204</v>
      </c>
      <c r="E52">
        <v>12</v>
      </c>
      <c r="F52" s="1">
        <v>77.060249999999996</v>
      </c>
      <c r="G52" s="1">
        <v>77.060249999999996</v>
      </c>
      <c r="I52">
        <f t="shared" si="0"/>
        <v>4.1404999999999994</v>
      </c>
      <c r="J52">
        <f t="shared" si="1"/>
        <v>0.43985732243822895</v>
      </c>
      <c r="K52">
        <f t="shared" si="2"/>
        <v>-0.30000000000000071</v>
      </c>
      <c r="L52">
        <f t="shared" si="3"/>
        <v>4.2803573224382276</v>
      </c>
      <c r="N52">
        <f t="shared" si="5"/>
        <v>77.060249999999996</v>
      </c>
    </row>
    <row r="53" spans="1:14" x14ac:dyDescent="0.2">
      <c r="A53" t="s">
        <v>6</v>
      </c>
      <c r="B53" t="s">
        <v>7</v>
      </c>
      <c r="C53">
        <v>19.7</v>
      </c>
      <c r="D53">
        <v>7.9842908099129204</v>
      </c>
      <c r="E53">
        <v>12</v>
      </c>
      <c r="F53" s="1">
        <v>67.301749999999998</v>
      </c>
      <c r="G53" s="1">
        <v>67.301749999999998</v>
      </c>
      <c r="I53">
        <f t="shared" si="0"/>
        <v>4.1404999999999994</v>
      </c>
      <c r="J53">
        <f t="shared" si="1"/>
        <v>0.43985732243822895</v>
      </c>
      <c r="K53">
        <f t="shared" si="2"/>
        <v>-0.30000000000000071</v>
      </c>
      <c r="L53">
        <f t="shared" si="3"/>
        <v>4.2803573224382276</v>
      </c>
      <c r="N53">
        <f t="shared" si="5"/>
        <v>67.301749999999998</v>
      </c>
    </row>
    <row r="54" spans="1:14" x14ac:dyDescent="0.2">
      <c r="A54" t="s">
        <v>6</v>
      </c>
      <c r="B54" t="s">
        <v>7</v>
      </c>
      <c r="C54">
        <v>19.7</v>
      </c>
      <c r="D54">
        <v>7.9842908099129204</v>
      </c>
      <c r="E54">
        <v>12</v>
      </c>
      <c r="F54" s="1">
        <v>64.227500000000006</v>
      </c>
      <c r="G54" s="1">
        <v>64.227500000000006</v>
      </c>
      <c r="I54">
        <f t="shared" si="0"/>
        <v>4.1404999999999994</v>
      </c>
      <c r="J54">
        <f t="shared" si="1"/>
        <v>0.43985732243822895</v>
      </c>
      <c r="K54">
        <f t="shared" si="2"/>
        <v>-0.30000000000000071</v>
      </c>
      <c r="L54">
        <f t="shared" si="3"/>
        <v>4.2803573224382276</v>
      </c>
      <c r="N54">
        <f t="shared" si="5"/>
        <v>64.227500000000006</v>
      </c>
    </row>
    <row r="55" spans="1:14" x14ac:dyDescent="0.2">
      <c r="A55" t="s">
        <v>6</v>
      </c>
      <c r="B55" t="s">
        <v>7</v>
      </c>
      <c r="C55">
        <v>19.7</v>
      </c>
      <c r="D55">
        <v>7.9842908099129204</v>
      </c>
      <c r="E55">
        <v>12</v>
      </c>
      <c r="F55" s="1">
        <v>61.954250000000002</v>
      </c>
      <c r="G55" s="1">
        <v>61.954250000000002</v>
      </c>
      <c r="I55">
        <f t="shared" si="0"/>
        <v>4.1404999999999994</v>
      </c>
      <c r="J55">
        <f t="shared" si="1"/>
        <v>0.43985732243822895</v>
      </c>
      <c r="K55">
        <f t="shared" si="2"/>
        <v>-0.30000000000000071</v>
      </c>
      <c r="L55">
        <f t="shared" si="3"/>
        <v>4.2803573224382276</v>
      </c>
      <c r="N55">
        <f t="shared" si="5"/>
        <v>61.954250000000002</v>
      </c>
    </row>
    <row r="56" spans="1:14" x14ac:dyDescent="0.2">
      <c r="A56" t="s">
        <v>6</v>
      </c>
      <c r="B56" t="s">
        <v>7</v>
      </c>
      <c r="C56">
        <v>19.7</v>
      </c>
      <c r="D56">
        <v>7.9842908099129204</v>
      </c>
      <c r="E56">
        <v>12</v>
      </c>
      <c r="F56" s="1">
        <v>65.525750000000002</v>
      </c>
      <c r="G56" s="1">
        <v>65.525750000000002</v>
      </c>
      <c r="I56">
        <f t="shared" si="0"/>
        <v>4.1404999999999994</v>
      </c>
      <c r="J56">
        <f t="shared" si="1"/>
        <v>0.43985732243822895</v>
      </c>
      <c r="K56">
        <f t="shared" si="2"/>
        <v>-0.30000000000000071</v>
      </c>
      <c r="L56">
        <f t="shared" si="3"/>
        <v>4.2803573224382276</v>
      </c>
      <c r="N56">
        <f t="shared" si="5"/>
        <v>65.525750000000002</v>
      </c>
    </row>
    <row r="57" spans="1:14" x14ac:dyDescent="0.2">
      <c r="A57" t="s">
        <v>6</v>
      </c>
      <c r="B57" t="s">
        <v>7</v>
      </c>
      <c r="C57">
        <v>19.7</v>
      </c>
      <c r="D57">
        <v>7.9842908099129204</v>
      </c>
      <c r="E57">
        <v>12</v>
      </c>
      <c r="F57" s="1">
        <v>74.906750000000002</v>
      </c>
      <c r="G57" s="1">
        <v>74.906750000000002</v>
      </c>
      <c r="I57">
        <f t="shared" si="0"/>
        <v>4.1404999999999994</v>
      </c>
      <c r="J57">
        <f t="shared" si="1"/>
        <v>0.43985732243822895</v>
      </c>
      <c r="K57">
        <f t="shared" si="2"/>
        <v>-0.30000000000000071</v>
      </c>
      <c r="L57">
        <f t="shared" si="3"/>
        <v>4.2803573224382276</v>
      </c>
      <c r="N57">
        <f t="shared" si="5"/>
        <v>74.906750000000002</v>
      </c>
    </row>
    <row r="58" spans="1:14" x14ac:dyDescent="0.2">
      <c r="A58" t="s">
        <v>6</v>
      </c>
      <c r="B58" t="s">
        <v>7</v>
      </c>
      <c r="C58">
        <v>19.7</v>
      </c>
      <c r="D58">
        <v>7.9842908099129204</v>
      </c>
      <c r="E58">
        <v>12</v>
      </c>
      <c r="F58" s="1">
        <v>80.564250000000001</v>
      </c>
      <c r="G58" s="1">
        <v>80.564250000000001</v>
      </c>
      <c r="I58">
        <f t="shared" si="0"/>
        <v>4.1404999999999994</v>
      </c>
      <c r="J58">
        <f t="shared" si="1"/>
        <v>0.43985732243822895</v>
      </c>
      <c r="K58">
        <f t="shared" si="2"/>
        <v>-0.30000000000000071</v>
      </c>
      <c r="L58">
        <f t="shared" si="3"/>
        <v>4.2803573224382276</v>
      </c>
      <c r="N58">
        <f t="shared" si="5"/>
        <v>80.564250000000001</v>
      </c>
    </row>
    <row r="59" spans="1:14" x14ac:dyDescent="0.2">
      <c r="A59" t="s">
        <v>6</v>
      </c>
      <c r="B59" t="s">
        <v>7</v>
      </c>
      <c r="C59">
        <v>19.7</v>
      </c>
      <c r="D59">
        <v>7.9842908099129204</v>
      </c>
      <c r="E59">
        <v>12</v>
      </c>
      <c r="F59" s="1">
        <v>67.590500000000006</v>
      </c>
      <c r="G59" s="1">
        <v>67.590500000000006</v>
      </c>
      <c r="I59">
        <f t="shared" si="0"/>
        <v>4.1404999999999994</v>
      </c>
      <c r="J59">
        <f t="shared" si="1"/>
        <v>0.43985732243822895</v>
      </c>
      <c r="K59">
        <f t="shared" si="2"/>
        <v>-0.30000000000000071</v>
      </c>
      <c r="L59">
        <f t="shared" si="3"/>
        <v>4.2803573224382276</v>
      </c>
      <c r="N59">
        <f t="shared" si="5"/>
        <v>67.590500000000006</v>
      </c>
    </row>
    <row r="60" spans="1:14" x14ac:dyDescent="0.2">
      <c r="A60" t="s">
        <v>6</v>
      </c>
      <c r="B60" t="s">
        <v>7</v>
      </c>
      <c r="C60">
        <v>19.7</v>
      </c>
      <c r="D60">
        <v>7.9842908099129204</v>
      </c>
      <c r="E60">
        <v>12</v>
      </c>
      <c r="F60" s="1">
        <v>73.180250000000001</v>
      </c>
      <c r="G60" s="1">
        <v>73.180250000000001</v>
      </c>
      <c r="I60">
        <f t="shared" si="0"/>
        <v>4.1404999999999994</v>
      </c>
      <c r="J60">
        <f t="shared" si="1"/>
        <v>0.43985732243822895</v>
      </c>
      <c r="K60">
        <f t="shared" si="2"/>
        <v>-0.30000000000000071</v>
      </c>
      <c r="L60">
        <f t="shared" si="3"/>
        <v>4.2803573224382276</v>
      </c>
      <c r="N60">
        <f t="shared" si="5"/>
        <v>73.180250000000001</v>
      </c>
    </row>
    <row r="61" spans="1:14" x14ac:dyDescent="0.2">
      <c r="A61" t="s">
        <v>6</v>
      </c>
      <c r="B61" t="s">
        <v>7</v>
      </c>
      <c r="C61">
        <v>19.7</v>
      </c>
      <c r="D61">
        <v>7.9842908099129204</v>
      </c>
      <c r="E61">
        <v>12</v>
      </c>
      <c r="F61" s="1">
        <v>75.034000000000006</v>
      </c>
      <c r="G61" s="1">
        <v>75.034000000000006</v>
      </c>
      <c r="I61">
        <f t="shared" si="0"/>
        <v>4.1404999999999994</v>
      </c>
      <c r="J61">
        <f t="shared" si="1"/>
        <v>0.43985732243822895</v>
      </c>
      <c r="K61">
        <f t="shared" si="2"/>
        <v>-0.30000000000000071</v>
      </c>
      <c r="L61">
        <f t="shared" si="3"/>
        <v>4.2803573224382276</v>
      </c>
      <c r="N61">
        <f t="shared" si="5"/>
        <v>75.034000000000006</v>
      </c>
    </row>
    <row r="62" spans="1:14" x14ac:dyDescent="0.2">
      <c r="A62" t="s">
        <v>6</v>
      </c>
      <c r="B62" t="s">
        <v>7</v>
      </c>
      <c r="C62">
        <v>19.7</v>
      </c>
      <c r="D62">
        <v>8.0032913179122094</v>
      </c>
      <c r="E62">
        <v>21</v>
      </c>
      <c r="F62" s="1">
        <v>68.441999999999993</v>
      </c>
      <c r="G62" s="1">
        <v>68.441999999999993</v>
      </c>
      <c r="I62">
        <f t="shared" si="0"/>
        <v>7.2904999999999989</v>
      </c>
      <c r="J62">
        <f t="shared" si="1"/>
        <v>-9.2156901541862624E-2</v>
      </c>
      <c r="K62">
        <f t="shared" si="2"/>
        <v>-0.30000000000000071</v>
      </c>
      <c r="L62">
        <f t="shared" si="3"/>
        <v>6.8983430984581355</v>
      </c>
      <c r="N62">
        <f t="shared" si="5"/>
        <v>68.441999999999993</v>
      </c>
    </row>
    <row r="63" spans="1:14" x14ac:dyDescent="0.2">
      <c r="A63" t="s">
        <v>6</v>
      </c>
      <c r="B63" t="s">
        <v>7</v>
      </c>
      <c r="C63">
        <v>19.7</v>
      </c>
      <c r="D63">
        <v>8.0032913179122094</v>
      </c>
      <c r="E63">
        <v>21</v>
      </c>
      <c r="F63" s="1">
        <v>64.836749999999995</v>
      </c>
      <c r="G63" s="1">
        <v>64.836749999999995</v>
      </c>
      <c r="I63">
        <f t="shared" si="0"/>
        <v>7.2904999999999989</v>
      </c>
      <c r="J63">
        <f t="shared" si="1"/>
        <v>-9.2156901541862624E-2</v>
      </c>
      <c r="K63">
        <f t="shared" si="2"/>
        <v>-0.30000000000000071</v>
      </c>
      <c r="L63">
        <f t="shared" si="3"/>
        <v>6.8983430984581355</v>
      </c>
      <c r="N63">
        <f t="shared" si="5"/>
        <v>64.836749999999995</v>
      </c>
    </row>
    <row r="64" spans="1:14" x14ac:dyDescent="0.2">
      <c r="A64" t="s">
        <v>6</v>
      </c>
      <c r="B64" t="s">
        <v>7</v>
      </c>
      <c r="C64">
        <v>19.7</v>
      </c>
      <c r="D64">
        <v>8.0032913179122094</v>
      </c>
      <c r="E64">
        <v>21</v>
      </c>
      <c r="F64" s="1">
        <v>66.087000000000003</v>
      </c>
      <c r="G64" s="1">
        <v>66.087000000000003</v>
      </c>
      <c r="I64">
        <f t="shared" si="0"/>
        <v>7.2904999999999989</v>
      </c>
      <c r="J64">
        <f t="shared" si="1"/>
        <v>-9.2156901541862624E-2</v>
      </c>
      <c r="K64">
        <f t="shared" si="2"/>
        <v>-0.30000000000000071</v>
      </c>
      <c r="L64">
        <f t="shared" si="3"/>
        <v>6.8983430984581355</v>
      </c>
      <c r="N64">
        <f t="shared" si="5"/>
        <v>66.087000000000003</v>
      </c>
    </row>
    <row r="65" spans="1:14" x14ac:dyDescent="0.2">
      <c r="A65" t="s">
        <v>6</v>
      </c>
      <c r="B65" t="s">
        <v>7</v>
      </c>
      <c r="C65">
        <v>19.7</v>
      </c>
      <c r="D65">
        <v>8.0032913179122094</v>
      </c>
      <c r="E65">
        <v>21</v>
      </c>
      <c r="F65" s="1">
        <v>72.808000000000007</v>
      </c>
      <c r="G65" s="1">
        <v>72.808000000000007</v>
      </c>
      <c r="I65">
        <f t="shared" si="0"/>
        <v>7.2904999999999989</v>
      </c>
      <c r="J65">
        <f t="shared" si="1"/>
        <v>-9.2156901541862624E-2</v>
      </c>
      <c r="K65">
        <f t="shared" si="2"/>
        <v>-0.30000000000000071</v>
      </c>
      <c r="L65">
        <f t="shared" si="3"/>
        <v>6.8983430984581355</v>
      </c>
      <c r="N65">
        <f t="shared" si="5"/>
        <v>72.808000000000007</v>
      </c>
    </row>
    <row r="66" spans="1:14" x14ac:dyDescent="0.2">
      <c r="A66" t="s">
        <v>6</v>
      </c>
      <c r="B66" t="s">
        <v>7</v>
      </c>
      <c r="C66">
        <v>19.7</v>
      </c>
      <c r="D66">
        <v>8.0032913179122094</v>
      </c>
      <c r="E66">
        <v>21</v>
      </c>
      <c r="F66" s="1">
        <v>72.396000000000001</v>
      </c>
      <c r="G66" s="1">
        <v>72.396000000000001</v>
      </c>
      <c r="I66">
        <f t="shared" ref="I66:I129" si="6">(E66-0.17)*$S$2</f>
        <v>7.2904999999999989</v>
      </c>
      <c r="J66">
        <f t="shared" ref="J66:J129" si="7">(8-D66)*$S$4</f>
        <v>-9.2156901541862624E-2</v>
      </c>
      <c r="K66">
        <f t="shared" ref="K66:K129" si="8">(C66-20)*$S$3</f>
        <v>-0.30000000000000071</v>
      </c>
      <c r="L66">
        <f t="shared" ref="L66:L129" si="9">SUM(I66:K66)+($V$2*(J66*K66))</f>
        <v>6.8983430984581355</v>
      </c>
      <c r="N66">
        <f t="shared" ref="N66:N83" si="10">G66</f>
        <v>72.396000000000001</v>
      </c>
    </row>
    <row r="67" spans="1:14" x14ac:dyDescent="0.2">
      <c r="A67" t="s">
        <v>6</v>
      </c>
      <c r="B67" t="s">
        <v>7</v>
      </c>
      <c r="C67">
        <v>19.7</v>
      </c>
      <c r="D67">
        <v>8.0032913179122094</v>
      </c>
      <c r="E67">
        <v>21</v>
      </c>
      <c r="F67" s="1">
        <v>69.297250000000005</v>
      </c>
      <c r="G67" s="1">
        <v>69.297250000000005</v>
      </c>
      <c r="I67">
        <f t="shared" si="6"/>
        <v>7.2904999999999989</v>
      </c>
      <c r="J67">
        <f t="shared" si="7"/>
        <v>-9.2156901541862624E-2</v>
      </c>
      <c r="K67">
        <f t="shared" si="8"/>
        <v>-0.30000000000000071</v>
      </c>
      <c r="L67">
        <f t="shared" si="9"/>
        <v>6.8983430984581355</v>
      </c>
      <c r="N67">
        <f t="shared" si="10"/>
        <v>69.297250000000005</v>
      </c>
    </row>
    <row r="68" spans="1:14" x14ac:dyDescent="0.2">
      <c r="A68" t="s">
        <v>6</v>
      </c>
      <c r="B68" t="s">
        <v>7</v>
      </c>
      <c r="C68">
        <v>19.7</v>
      </c>
      <c r="D68">
        <v>8.0032913179122094</v>
      </c>
      <c r="E68">
        <v>21</v>
      </c>
      <c r="F68" s="1">
        <v>66.781499999999994</v>
      </c>
      <c r="G68" s="1">
        <v>66.781499999999994</v>
      </c>
      <c r="I68">
        <f t="shared" si="6"/>
        <v>7.2904999999999989</v>
      </c>
      <c r="J68">
        <f t="shared" si="7"/>
        <v>-9.2156901541862624E-2</v>
      </c>
      <c r="K68">
        <f t="shared" si="8"/>
        <v>-0.30000000000000071</v>
      </c>
      <c r="L68">
        <f t="shared" si="9"/>
        <v>6.8983430984581355</v>
      </c>
      <c r="N68">
        <f t="shared" si="10"/>
        <v>66.781499999999994</v>
      </c>
    </row>
    <row r="69" spans="1:14" x14ac:dyDescent="0.2">
      <c r="A69" t="s">
        <v>6</v>
      </c>
      <c r="B69" t="s">
        <v>7</v>
      </c>
      <c r="C69">
        <v>19.7</v>
      </c>
      <c r="D69">
        <v>8.0032913179122094</v>
      </c>
      <c r="E69">
        <v>21</v>
      </c>
      <c r="F69" s="1">
        <v>66.496750000000006</v>
      </c>
      <c r="G69" s="1">
        <v>66.496750000000006</v>
      </c>
      <c r="I69">
        <f t="shared" si="6"/>
        <v>7.2904999999999989</v>
      </c>
      <c r="J69">
        <f t="shared" si="7"/>
        <v>-9.2156901541862624E-2</v>
      </c>
      <c r="K69">
        <f t="shared" si="8"/>
        <v>-0.30000000000000071</v>
      </c>
      <c r="L69">
        <f t="shared" si="9"/>
        <v>6.8983430984581355</v>
      </c>
      <c r="N69">
        <f t="shared" si="10"/>
        <v>66.496750000000006</v>
      </c>
    </row>
    <row r="70" spans="1:14" x14ac:dyDescent="0.2">
      <c r="A70" t="s">
        <v>6</v>
      </c>
      <c r="B70" t="s">
        <v>7</v>
      </c>
      <c r="C70">
        <v>19.7</v>
      </c>
      <c r="D70">
        <v>8.0032913179122094</v>
      </c>
      <c r="E70">
        <v>21</v>
      </c>
      <c r="F70" s="1">
        <v>65.281000000000006</v>
      </c>
      <c r="G70" s="1">
        <v>65.281000000000006</v>
      </c>
      <c r="I70">
        <f t="shared" si="6"/>
        <v>7.2904999999999989</v>
      </c>
      <c r="J70">
        <f t="shared" si="7"/>
        <v>-9.2156901541862624E-2</v>
      </c>
      <c r="K70">
        <f t="shared" si="8"/>
        <v>-0.30000000000000071</v>
      </c>
      <c r="L70">
        <f t="shared" si="9"/>
        <v>6.8983430984581355</v>
      </c>
      <c r="N70">
        <f t="shared" si="10"/>
        <v>65.281000000000006</v>
      </c>
    </row>
    <row r="71" spans="1:14" x14ac:dyDescent="0.2">
      <c r="A71" t="s">
        <v>6</v>
      </c>
      <c r="B71" t="s">
        <v>7</v>
      </c>
      <c r="C71">
        <v>19.7</v>
      </c>
      <c r="D71">
        <v>8.0032913179122094</v>
      </c>
      <c r="E71">
        <v>21</v>
      </c>
      <c r="F71" s="1">
        <v>64.187749999999994</v>
      </c>
      <c r="G71" s="1">
        <v>64.187749999999994</v>
      </c>
      <c r="I71">
        <f t="shared" si="6"/>
        <v>7.2904999999999989</v>
      </c>
      <c r="J71">
        <f t="shared" si="7"/>
        <v>-9.2156901541862624E-2</v>
      </c>
      <c r="K71">
        <f t="shared" si="8"/>
        <v>-0.30000000000000071</v>
      </c>
      <c r="L71">
        <f t="shared" si="9"/>
        <v>6.8983430984581355</v>
      </c>
      <c r="N71">
        <f t="shared" si="10"/>
        <v>64.187749999999994</v>
      </c>
    </row>
    <row r="72" spans="1:14" x14ac:dyDescent="0.2">
      <c r="A72" t="s">
        <v>6</v>
      </c>
      <c r="B72" t="s">
        <v>7</v>
      </c>
      <c r="C72">
        <v>19.7</v>
      </c>
      <c r="D72">
        <v>8.0032913179122094</v>
      </c>
      <c r="E72">
        <v>21</v>
      </c>
      <c r="F72" s="1">
        <v>65.477249999999998</v>
      </c>
      <c r="G72" s="1">
        <v>65.477249999999998</v>
      </c>
      <c r="I72">
        <f t="shared" si="6"/>
        <v>7.2904999999999989</v>
      </c>
      <c r="J72">
        <f t="shared" si="7"/>
        <v>-9.2156901541862624E-2</v>
      </c>
      <c r="K72">
        <f t="shared" si="8"/>
        <v>-0.30000000000000071</v>
      </c>
      <c r="L72">
        <f t="shared" si="9"/>
        <v>6.8983430984581355</v>
      </c>
      <c r="N72">
        <f t="shared" si="10"/>
        <v>65.477249999999998</v>
      </c>
    </row>
    <row r="73" spans="1:14" x14ac:dyDescent="0.2">
      <c r="A73" t="s">
        <v>6</v>
      </c>
      <c r="B73" t="s">
        <v>7</v>
      </c>
      <c r="C73">
        <v>19.7</v>
      </c>
      <c r="D73">
        <v>8.0032913179122094</v>
      </c>
      <c r="E73">
        <v>21</v>
      </c>
      <c r="F73" s="1">
        <v>66.047499999999999</v>
      </c>
      <c r="G73" s="1">
        <v>66.047499999999999</v>
      </c>
      <c r="I73">
        <f t="shared" si="6"/>
        <v>7.2904999999999989</v>
      </c>
      <c r="J73">
        <f t="shared" si="7"/>
        <v>-9.2156901541862624E-2</v>
      </c>
      <c r="K73">
        <f t="shared" si="8"/>
        <v>-0.30000000000000071</v>
      </c>
      <c r="L73">
        <f t="shared" si="9"/>
        <v>6.8983430984581355</v>
      </c>
      <c r="N73">
        <f t="shared" si="10"/>
        <v>66.047499999999999</v>
      </c>
    </row>
    <row r="74" spans="1:14" x14ac:dyDescent="0.2">
      <c r="A74" t="s">
        <v>6</v>
      </c>
      <c r="B74" t="s">
        <v>7</v>
      </c>
      <c r="C74">
        <v>19.7</v>
      </c>
      <c r="D74">
        <v>8.0032913179122094</v>
      </c>
      <c r="E74">
        <v>21</v>
      </c>
      <c r="F74" s="1">
        <v>62.9345</v>
      </c>
      <c r="G74" s="1">
        <v>62.9345</v>
      </c>
      <c r="I74">
        <f t="shared" si="6"/>
        <v>7.2904999999999989</v>
      </c>
      <c r="J74">
        <f t="shared" si="7"/>
        <v>-9.2156901541862624E-2</v>
      </c>
      <c r="K74">
        <f t="shared" si="8"/>
        <v>-0.30000000000000071</v>
      </c>
      <c r="L74">
        <f t="shared" si="9"/>
        <v>6.8983430984581355</v>
      </c>
      <c r="N74">
        <f t="shared" si="10"/>
        <v>62.9345</v>
      </c>
    </row>
    <row r="75" spans="1:14" x14ac:dyDescent="0.2">
      <c r="A75" t="s">
        <v>6</v>
      </c>
      <c r="B75" t="s">
        <v>7</v>
      </c>
      <c r="C75">
        <v>19.7</v>
      </c>
      <c r="D75">
        <v>8.0032913179122094</v>
      </c>
      <c r="E75">
        <v>21</v>
      </c>
      <c r="F75" s="1">
        <v>62.370000000000005</v>
      </c>
      <c r="G75" s="1">
        <v>62.370000000000005</v>
      </c>
      <c r="I75">
        <f t="shared" si="6"/>
        <v>7.2904999999999989</v>
      </c>
      <c r="J75">
        <f t="shared" si="7"/>
        <v>-9.2156901541862624E-2</v>
      </c>
      <c r="K75">
        <f t="shared" si="8"/>
        <v>-0.30000000000000071</v>
      </c>
      <c r="L75">
        <f t="shared" si="9"/>
        <v>6.8983430984581355</v>
      </c>
      <c r="N75">
        <f t="shared" si="10"/>
        <v>62.370000000000005</v>
      </c>
    </row>
    <row r="76" spans="1:14" x14ac:dyDescent="0.2">
      <c r="A76" t="s">
        <v>6</v>
      </c>
      <c r="B76" t="s">
        <v>7</v>
      </c>
      <c r="C76">
        <v>19.7</v>
      </c>
      <c r="D76">
        <v>8.0032913179122094</v>
      </c>
      <c r="E76">
        <v>21</v>
      </c>
      <c r="F76" s="1">
        <v>69.628749999999997</v>
      </c>
      <c r="G76" s="1">
        <v>69.628749999999997</v>
      </c>
      <c r="I76">
        <f t="shared" si="6"/>
        <v>7.2904999999999989</v>
      </c>
      <c r="J76">
        <f t="shared" si="7"/>
        <v>-9.2156901541862624E-2</v>
      </c>
      <c r="K76">
        <f t="shared" si="8"/>
        <v>-0.30000000000000071</v>
      </c>
      <c r="L76">
        <f t="shared" si="9"/>
        <v>6.8983430984581355</v>
      </c>
      <c r="N76">
        <f t="shared" si="10"/>
        <v>69.628749999999997</v>
      </c>
    </row>
    <row r="77" spans="1:14" x14ac:dyDescent="0.2">
      <c r="A77" t="s">
        <v>6</v>
      </c>
      <c r="B77" t="s">
        <v>7</v>
      </c>
      <c r="C77">
        <v>19.7</v>
      </c>
      <c r="D77">
        <v>8.0032913179122094</v>
      </c>
      <c r="E77">
        <v>21</v>
      </c>
      <c r="F77" s="1">
        <v>68.044499999999999</v>
      </c>
      <c r="G77" s="1">
        <v>68.044499999999999</v>
      </c>
      <c r="I77">
        <f t="shared" si="6"/>
        <v>7.2904999999999989</v>
      </c>
      <c r="J77">
        <f t="shared" si="7"/>
        <v>-9.2156901541862624E-2</v>
      </c>
      <c r="K77">
        <f t="shared" si="8"/>
        <v>-0.30000000000000071</v>
      </c>
      <c r="L77">
        <f t="shared" si="9"/>
        <v>6.8983430984581355</v>
      </c>
      <c r="N77">
        <f t="shared" si="10"/>
        <v>68.044499999999999</v>
      </c>
    </row>
    <row r="78" spans="1:14" x14ac:dyDescent="0.2">
      <c r="A78" t="s">
        <v>6</v>
      </c>
      <c r="B78" t="s">
        <v>7</v>
      </c>
      <c r="C78">
        <v>19.7</v>
      </c>
      <c r="D78">
        <v>8.0032913179122094</v>
      </c>
      <c r="E78">
        <v>21</v>
      </c>
      <c r="F78" s="1">
        <v>68.733500000000006</v>
      </c>
      <c r="G78" s="1">
        <v>68.733500000000006</v>
      </c>
      <c r="I78">
        <f t="shared" si="6"/>
        <v>7.2904999999999989</v>
      </c>
      <c r="J78">
        <f t="shared" si="7"/>
        <v>-9.2156901541862624E-2</v>
      </c>
      <c r="K78">
        <f t="shared" si="8"/>
        <v>-0.30000000000000071</v>
      </c>
      <c r="L78">
        <f t="shared" si="9"/>
        <v>6.8983430984581355</v>
      </c>
      <c r="N78">
        <f t="shared" si="10"/>
        <v>68.733500000000006</v>
      </c>
    </row>
    <row r="79" spans="1:14" x14ac:dyDescent="0.2">
      <c r="A79" t="s">
        <v>6</v>
      </c>
      <c r="B79" t="s">
        <v>7</v>
      </c>
      <c r="C79">
        <v>19.7</v>
      </c>
      <c r="D79">
        <v>8.0032913179122094</v>
      </c>
      <c r="E79">
        <v>21</v>
      </c>
      <c r="F79" s="1">
        <v>68.153000000000006</v>
      </c>
      <c r="G79" s="1">
        <v>68.153000000000006</v>
      </c>
      <c r="I79">
        <f t="shared" si="6"/>
        <v>7.2904999999999989</v>
      </c>
      <c r="J79">
        <f t="shared" si="7"/>
        <v>-9.2156901541862624E-2</v>
      </c>
      <c r="K79">
        <f t="shared" si="8"/>
        <v>-0.30000000000000071</v>
      </c>
      <c r="L79">
        <f t="shared" si="9"/>
        <v>6.8983430984581355</v>
      </c>
      <c r="N79">
        <f t="shared" si="10"/>
        <v>68.153000000000006</v>
      </c>
    </row>
    <row r="80" spans="1:14" x14ac:dyDescent="0.2">
      <c r="A80" t="s">
        <v>6</v>
      </c>
      <c r="B80" t="s">
        <v>7</v>
      </c>
      <c r="C80">
        <v>19.7</v>
      </c>
      <c r="D80">
        <v>8.0032913179122094</v>
      </c>
      <c r="E80">
        <v>21</v>
      </c>
      <c r="F80" s="1">
        <v>68.601249999999993</v>
      </c>
      <c r="G80" s="1">
        <v>68.601249999999993</v>
      </c>
      <c r="I80">
        <f t="shared" si="6"/>
        <v>7.2904999999999989</v>
      </c>
      <c r="J80">
        <f t="shared" si="7"/>
        <v>-9.2156901541862624E-2</v>
      </c>
      <c r="K80">
        <f t="shared" si="8"/>
        <v>-0.30000000000000071</v>
      </c>
      <c r="L80">
        <f t="shared" si="9"/>
        <v>6.8983430984581355</v>
      </c>
      <c r="N80">
        <f t="shared" si="10"/>
        <v>68.601249999999993</v>
      </c>
    </row>
    <row r="81" spans="1:14" x14ac:dyDescent="0.2">
      <c r="A81" t="s">
        <v>6</v>
      </c>
      <c r="B81" t="s">
        <v>7</v>
      </c>
      <c r="C81">
        <v>19.7</v>
      </c>
      <c r="D81">
        <v>8.0032913179122094</v>
      </c>
      <c r="E81">
        <v>21</v>
      </c>
      <c r="F81" s="1">
        <v>62.592749999999995</v>
      </c>
      <c r="G81" s="1">
        <v>62.592749999999995</v>
      </c>
      <c r="I81">
        <f t="shared" si="6"/>
        <v>7.2904999999999989</v>
      </c>
      <c r="J81">
        <f t="shared" si="7"/>
        <v>-9.2156901541862624E-2</v>
      </c>
      <c r="K81">
        <f t="shared" si="8"/>
        <v>-0.30000000000000071</v>
      </c>
      <c r="L81">
        <f t="shared" si="9"/>
        <v>6.8983430984581355</v>
      </c>
      <c r="N81">
        <f t="shared" si="10"/>
        <v>62.592749999999995</v>
      </c>
    </row>
    <row r="82" spans="1:14" x14ac:dyDescent="0.2">
      <c r="A82" t="s">
        <v>6</v>
      </c>
      <c r="B82" t="s">
        <v>7</v>
      </c>
      <c r="C82">
        <v>19.7</v>
      </c>
      <c r="D82">
        <v>8.0032913179122094</v>
      </c>
      <c r="E82">
        <v>21</v>
      </c>
      <c r="F82" s="1">
        <v>63.495750000000001</v>
      </c>
      <c r="G82" s="1">
        <v>63.495750000000001</v>
      </c>
      <c r="I82">
        <f t="shared" si="6"/>
        <v>7.2904999999999989</v>
      </c>
      <c r="J82">
        <f t="shared" si="7"/>
        <v>-9.2156901541862624E-2</v>
      </c>
      <c r="K82">
        <f t="shared" si="8"/>
        <v>-0.30000000000000071</v>
      </c>
      <c r="L82">
        <f t="shared" si="9"/>
        <v>6.8983430984581355</v>
      </c>
      <c r="N82">
        <f t="shared" si="10"/>
        <v>63.495750000000001</v>
      </c>
    </row>
    <row r="83" spans="1:14" x14ac:dyDescent="0.2">
      <c r="A83" t="s">
        <v>6</v>
      </c>
      <c r="B83" t="s">
        <v>8</v>
      </c>
      <c r="C83">
        <v>19.7</v>
      </c>
      <c r="D83">
        <v>7.9872908913822096</v>
      </c>
      <c r="E83">
        <v>0.19</v>
      </c>
      <c r="F83" s="1">
        <v>77.47475</v>
      </c>
      <c r="G83" s="1">
        <v>77.47475</v>
      </c>
      <c r="I83">
        <f t="shared" si="6"/>
        <v>6.9999999999999958E-3</v>
      </c>
      <c r="J83">
        <f t="shared" si="7"/>
        <v>0.35585504129813117</v>
      </c>
      <c r="K83">
        <f t="shared" si="8"/>
        <v>-0.30000000000000071</v>
      </c>
      <c r="L83">
        <f t="shared" si="9"/>
        <v>6.2855041298130465E-2</v>
      </c>
      <c r="N83">
        <f t="shared" si="10"/>
        <v>77.47475</v>
      </c>
    </row>
    <row r="84" spans="1:14" x14ac:dyDescent="0.2">
      <c r="A84" t="s">
        <v>6</v>
      </c>
      <c r="B84" t="s">
        <v>8</v>
      </c>
      <c r="C84">
        <v>19.7</v>
      </c>
      <c r="D84">
        <v>7.9872908913822096</v>
      </c>
      <c r="E84">
        <v>0.19</v>
      </c>
      <c r="F84" s="1">
        <v>76.91525</v>
      </c>
      <c r="G84" s="1">
        <v>76.91525</v>
      </c>
      <c r="I84">
        <f t="shared" si="6"/>
        <v>6.9999999999999958E-3</v>
      </c>
      <c r="J84">
        <f t="shared" si="7"/>
        <v>0.35585504129813117</v>
      </c>
      <c r="K84">
        <f t="shared" si="8"/>
        <v>-0.30000000000000071</v>
      </c>
      <c r="L84">
        <f t="shared" si="9"/>
        <v>6.2855041298130465E-2</v>
      </c>
      <c r="N84">
        <f t="shared" ref="N84:N133" si="11">G84</f>
        <v>76.91525</v>
      </c>
    </row>
    <row r="85" spans="1:14" x14ac:dyDescent="0.2">
      <c r="A85" t="s">
        <v>6</v>
      </c>
      <c r="B85" t="s">
        <v>8</v>
      </c>
      <c r="C85">
        <v>19.7</v>
      </c>
      <c r="D85">
        <v>7.9872908913822096</v>
      </c>
      <c r="E85">
        <v>0.19</v>
      </c>
      <c r="F85" s="1">
        <v>70.283249999999995</v>
      </c>
      <c r="G85" s="1">
        <v>70.283249999999995</v>
      </c>
      <c r="I85">
        <f t="shared" si="6"/>
        <v>6.9999999999999958E-3</v>
      </c>
      <c r="J85">
        <f t="shared" si="7"/>
        <v>0.35585504129813117</v>
      </c>
      <c r="K85">
        <f t="shared" si="8"/>
        <v>-0.30000000000000071</v>
      </c>
      <c r="L85">
        <f t="shared" si="9"/>
        <v>6.2855041298130465E-2</v>
      </c>
      <c r="N85">
        <f t="shared" si="11"/>
        <v>70.283249999999995</v>
      </c>
    </row>
    <row r="86" spans="1:14" x14ac:dyDescent="0.2">
      <c r="A86" t="s">
        <v>6</v>
      </c>
      <c r="B86" t="s">
        <v>8</v>
      </c>
      <c r="C86">
        <v>19.7</v>
      </c>
      <c r="D86">
        <v>7.9872908913822096</v>
      </c>
      <c r="E86">
        <v>0.19</v>
      </c>
      <c r="F86" s="1">
        <v>75.927999999999997</v>
      </c>
      <c r="G86" s="1">
        <v>75.927999999999997</v>
      </c>
      <c r="I86">
        <f t="shared" si="6"/>
        <v>6.9999999999999958E-3</v>
      </c>
      <c r="J86">
        <f t="shared" si="7"/>
        <v>0.35585504129813117</v>
      </c>
      <c r="K86">
        <f t="shared" si="8"/>
        <v>-0.30000000000000071</v>
      </c>
      <c r="L86">
        <f t="shared" si="9"/>
        <v>6.2855041298130465E-2</v>
      </c>
      <c r="N86">
        <f t="shared" si="11"/>
        <v>75.927999999999997</v>
      </c>
    </row>
    <row r="87" spans="1:14" x14ac:dyDescent="0.2">
      <c r="A87" t="s">
        <v>6</v>
      </c>
      <c r="B87" t="s">
        <v>8</v>
      </c>
      <c r="C87">
        <v>19.7</v>
      </c>
      <c r="D87">
        <v>7.9872908913822096</v>
      </c>
      <c r="E87">
        <v>0.19</v>
      </c>
      <c r="F87">
        <v>70.821749999999994</v>
      </c>
      <c r="G87">
        <v>70.821749999999994</v>
      </c>
      <c r="I87">
        <f t="shared" si="6"/>
        <v>6.9999999999999958E-3</v>
      </c>
      <c r="J87">
        <f t="shared" si="7"/>
        <v>0.35585504129813117</v>
      </c>
      <c r="K87">
        <f t="shared" si="8"/>
        <v>-0.30000000000000071</v>
      </c>
      <c r="L87">
        <f t="shared" si="9"/>
        <v>6.2855041298130465E-2</v>
      </c>
      <c r="N87">
        <f t="shared" si="11"/>
        <v>70.821749999999994</v>
      </c>
    </row>
    <row r="88" spans="1:14" x14ac:dyDescent="0.2">
      <c r="A88" t="s">
        <v>6</v>
      </c>
      <c r="B88" t="s">
        <v>8</v>
      </c>
      <c r="C88">
        <v>19.7</v>
      </c>
      <c r="D88">
        <v>7.9872908913822096</v>
      </c>
      <c r="E88">
        <v>0.19</v>
      </c>
      <c r="F88" s="1">
        <v>66.904499999999999</v>
      </c>
      <c r="G88" s="1">
        <v>66.904499999999999</v>
      </c>
      <c r="I88">
        <f t="shared" si="6"/>
        <v>6.9999999999999958E-3</v>
      </c>
      <c r="J88">
        <f t="shared" si="7"/>
        <v>0.35585504129813117</v>
      </c>
      <c r="K88">
        <f t="shared" si="8"/>
        <v>-0.30000000000000071</v>
      </c>
      <c r="L88">
        <f t="shared" si="9"/>
        <v>6.2855041298130465E-2</v>
      </c>
      <c r="N88">
        <f t="shared" si="11"/>
        <v>66.904499999999999</v>
      </c>
    </row>
    <row r="89" spans="1:14" x14ac:dyDescent="0.2">
      <c r="A89" t="s">
        <v>6</v>
      </c>
      <c r="B89" t="s">
        <v>8</v>
      </c>
      <c r="C89">
        <v>19.7</v>
      </c>
      <c r="D89">
        <v>7.9872908913822096</v>
      </c>
      <c r="E89">
        <v>0.19</v>
      </c>
      <c r="F89">
        <v>80.048249999999996</v>
      </c>
      <c r="G89">
        <v>80.048249999999996</v>
      </c>
      <c r="I89">
        <f t="shared" si="6"/>
        <v>6.9999999999999958E-3</v>
      </c>
      <c r="J89">
        <f t="shared" si="7"/>
        <v>0.35585504129813117</v>
      </c>
      <c r="K89">
        <f t="shared" si="8"/>
        <v>-0.30000000000000071</v>
      </c>
      <c r="L89">
        <f t="shared" si="9"/>
        <v>6.2855041298130465E-2</v>
      </c>
      <c r="N89">
        <f t="shared" si="11"/>
        <v>80.048249999999996</v>
      </c>
    </row>
    <row r="90" spans="1:14" x14ac:dyDescent="0.2">
      <c r="A90" t="s">
        <v>6</v>
      </c>
      <c r="B90" t="s">
        <v>8</v>
      </c>
      <c r="C90">
        <v>19.7</v>
      </c>
      <c r="D90">
        <v>7.9872908913822096</v>
      </c>
      <c r="E90">
        <v>0.19</v>
      </c>
      <c r="F90">
        <v>76.823250000000002</v>
      </c>
      <c r="G90">
        <v>76.823250000000002</v>
      </c>
      <c r="I90">
        <f t="shared" si="6"/>
        <v>6.9999999999999958E-3</v>
      </c>
      <c r="J90">
        <f t="shared" si="7"/>
        <v>0.35585504129813117</v>
      </c>
      <c r="K90">
        <f t="shared" si="8"/>
        <v>-0.30000000000000071</v>
      </c>
      <c r="L90">
        <f t="shared" si="9"/>
        <v>6.2855041298130465E-2</v>
      </c>
      <c r="N90">
        <f t="shared" si="11"/>
        <v>76.823250000000002</v>
      </c>
    </row>
    <row r="91" spans="1:14" x14ac:dyDescent="0.2">
      <c r="A91" t="s">
        <v>6</v>
      </c>
      <c r="B91" t="s">
        <v>8</v>
      </c>
      <c r="C91">
        <v>19.7</v>
      </c>
      <c r="D91">
        <v>7.9872908913822096</v>
      </c>
      <c r="E91">
        <v>0.19</v>
      </c>
      <c r="F91">
        <v>64.455500000000001</v>
      </c>
      <c r="G91">
        <v>64.455500000000001</v>
      </c>
      <c r="I91">
        <f t="shared" si="6"/>
        <v>6.9999999999999958E-3</v>
      </c>
      <c r="J91">
        <f t="shared" si="7"/>
        <v>0.35585504129813117</v>
      </c>
      <c r="K91">
        <f t="shared" si="8"/>
        <v>-0.30000000000000071</v>
      </c>
      <c r="L91">
        <f t="shared" si="9"/>
        <v>6.2855041298130465E-2</v>
      </c>
      <c r="N91">
        <f t="shared" si="11"/>
        <v>64.455500000000001</v>
      </c>
    </row>
    <row r="92" spans="1:14" x14ac:dyDescent="0.2">
      <c r="A92" t="s">
        <v>6</v>
      </c>
      <c r="B92" t="s">
        <v>8</v>
      </c>
      <c r="C92">
        <v>19.7</v>
      </c>
      <c r="D92">
        <v>7.9872908913822096</v>
      </c>
      <c r="E92">
        <v>0.19</v>
      </c>
      <c r="F92" s="1">
        <v>68.887249999999995</v>
      </c>
      <c r="G92" s="1">
        <v>68.887249999999995</v>
      </c>
      <c r="I92">
        <f t="shared" si="6"/>
        <v>6.9999999999999958E-3</v>
      </c>
      <c r="J92">
        <f t="shared" si="7"/>
        <v>0.35585504129813117</v>
      </c>
      <c r="K92">
        <f t="shared" si="8"/>
        <v>-0.30000000000000071</v>
      </c>
      <c r="L92">
        <f t="shared" si="9"/>
        <v>6.2855041298130465E-2</v>
      </c>
      <c r="N92">
        <f t="shared" si="11"/>
        <v>68.887249999999995</v>
      </c>
    </row>
    <row r="93" spans="1:14" x14ac:dyDescent="0.2">
      <c r="A93" t="s">
        <v>6</v>
      </c>
      <c r="B93" t="s">
        <v>8</v>
      </c>
      <c r="C93">
        <v>19.7</v>
      </c>
      <c r="D93">
        <v>7.9872908913822096</v>
      </c>
      <c r="E93">
        <v>0.19</v>
      </c>
      <c r="F93" s="1">
        <v>76.979500000000002</v>
      </c>
      <c r="G93" s="1">
        <v>76.979500000000002</v>
      </c>
      <c r="I93">
        <f t="shared" si="6"/>
        <v>6.9999999999999958E-3</v>
      </c>
      <c r="J93">
        <f t="shared" si="7"/>
        <v>0.35585504129813117</v>
      </c>
      <c r="K93">
        <f t="shared" si="8"/>
        <v>-0.30000000000000071</v>
      </c>
      <c r="L93">
        <f t="shared" si="9"/>
        <v>6.2855041298130465E-2</v>
      </c>
      <c r="N93">
        <f t="shared" si="11"/>
        <v>76.979500000000002</v>
      </c>
    </row>
    <row r="94" spans="1:14" x14ac:dyDescent="0.2">
      <c r="A94" t="s">
        <v>6</v>
      </c>
      <c r="B94" t="s">
        <v>8</v>
      </c>
      <c r="C94">
        <v>19.7</v>
      </c>
      <c r="D94">
        <v>7.8924872150869803</v>
      </c>
      <c r="E94">
        <v>0.18</v>
      </c>
      <c r="F94" s="1">
        <v>73.343249999999998</v>
      </c>
      <c r="G94" s="1">
        <v>73.343249999999998</v>
      </c>
      <c r="I94">
        <f t="shared" si="6"/>
        <v>3.4999999999999931E-3</v>
      </c>
      <c r="J94">
        <f t="shared" si="7"/>
        <v>3.0103579775645528</v>
      </c>
      <c r="K94">
        <f t="shared" si="8"/>
        <v>-0.30000000000000071</v>
      </c>
      <c r="L94">
        <f t="shared" si="9"/>
        <v>2.7138579775645519</v>
      </c>
      <c r="N94">
        <f t="shared" si="11"/>
        <v>73.343249999999998</v>
      </c>
    </row>
    <row r="95" spans="1:14" x14ac:dyDescent="0.2">
      <c r="A95" t="s">
        <v>6</v>
      </c>
      <c r="B95" t="s">
        <v>8</v>
      </c>
      <c r="C95">
        <v>19.7</v>
      </c>
      <c r="D95">
        <v>7.8924872150869803</v>
      </c>
      <c r="E95">
        <v>0.18</v>
      </c>
      <c r="F95" s="1">
        <v>75.004499999999993</v>
      </c>
      <c r="G95" s="1">
        <v>75.004499999999993</v>
      </c>
      <c r="I95">
        <f t="shared" si="6"/>
        <v>3.4999999999999931E-3</v>
      </c>
      <c r="J95">
        <f t="shared" si="7"/>
        <v>3.0103579775645528</v>
      </c>
      <c r="K95">
        <f t="shared" si="8"/>
        <v>-0.30000000000000071</v>
      </c>
      <c r="L95">
        <f t="shared" si="9"/>
        <v>2.7138579775645519</v>
      </c>
      <c r="N95">
        <f t="shared" si="11"/>
        <v>75.004499999999993</v>
      </c>
    </row>
    <row r="96" spans="1:14" x14ac:dyDescent="0.2">
      <c r="A96" t="s">
        <v>6</v>
      </c>
      <c r="B96" t="s">
        <v>8</v>
      </c>
      <c r="C96">
        <v>19.7</v>
      </c>
      <c r="D96">
        <v>7.8924872150869803</v>
      </c>
      <c r="E96">
        <v>0.18</v>
      </c>
      <c r="F96" s="1">
        <v>81.140500000000003</v>
      </c>
      <c r="G96" s="1">
        <v>81.140500000000003</v>
      </c>
      <c r="I96">
        <f t="shared" si="6"/>
        <v>3.4999999999999931E-3</v>
      </c>
      <c r="J96">
        <f t="shared" si="7"/>
        <v>3.0103579775645528</v>
      </c>
      <c r="K96">
        <f t="shared" si="8"/>
        <v>-0.30000000000000071</v>
      </c>
      <c r="L96">
        <f t="shared" si="9"/>
        <v>2.7138579775645519</v>
      </c>
      <c r="N96">
        <f t="shared" si="11"/>
        <v>81.140500000000003</v>
      </c>
    </row>
    <row r="97" spans="1:14" x14ac:dyDescent="0.2">
      <c r="A97" t="s">
        <v>6</v>
      </c>
      <c r="B97" t="s">
        <v>8</v>
      </c>
      <c r="C97">
        <v>19.7</v>
      </c>
      <c r="D97">
        <v>7.8924872150869803</v>
      </c>
      <c r="E97">
        <v>0.18</v>
      </c>
      <c r="F97" s="1">
        <v>73.783500000000004</v>
      </c>
      <c r="G97" s="1">
        <v>73.783500000000004</v>
      </c>
      <c r="I97">
        <f t="shared" si="6"/>
        <v>3.4999999999999931E-3</v>
      </c>
      <c r="J97">
        <f t="shared" si="7"/>
        <v>3.0103579775645528</v>
      </c>
      <c r="K97">
        <f t="shared" si="8"/>
        <v>-0.30000000000000071</v>
      </c>
      <c r="L97">
        <f t="shared" si="9"/>
        <v>2.7138579775645519</v>
      </c>
      <c r="N97">
        <f t="shared" si="11"/>
        <v>73.783500000000004</v>
      </c>
    </row>
    <row r="98" spans="1:14" x14ac:dyDescent="0.2">
      <c r="A98" t="s">
        <v>6</v>
      </c>
      <c r="B98" t="s">
        <v>8</v>
      </c>
      <c r="C98">
        <v>19.7</v>
      </c>
      <c r="D98">
        <v>7.8924872150869803</v>
      </c>
      <c r="E98">
        <v>0.18</v>
      </c>
      <c r="F98" s="1">
        <v>70.981499999999997</v>
      </c>
      <c r="G98" s="1">
        <v>70.981499999999997</v>
      </c>
      <c r="I98">
        <f t="shared" si="6"/>
        <v>3.4999999999999931E-3</v>
      </c>
      <c r="J98">
        <f t="shared" si="7"/>
        <v>3.0103579775645528</v>
      </c>
      <c r="K98">
        <f t="shared" si="8"/>
        <v>-0.30000000000000071</v>
      </c>
      <c r="L98">
        <f t="shared" si="9"/>
        <v>2.7138579775645519</v>
      </c>
      <c r="N98">
        <f t="shared" si="11"/>
        <v>70.981499999999997</v>
      </c>
    </row>
    <row r="99" spans="1:14" x14ac:dyDescent="0.2">
      <c r="A99" t="s">
        <v>6</v>
      </c>
      <c r="B99" t="s">
        <v>8</v>
      </c>
      <c r="C99">
        <v>19.7</v>
      </c>
      <c r="D99">
        <v>7.8924872150869803</v>
      </c>
      <c r="E99">
        <v>0.18</v>
      </c>
      <c r="F99" s="1">
        <v>73.477249999999998</v>
      </c>
      <c r="G99" s="1">
        <v>73.477249999999998</v>
      </c>
      <c r="I99">
        <f t="shared" si="6"/>
        <v>3.4999999999999931E-3</v>
      </c>
      <c r="J99">
        <f t="shared" si="7"/>
        <v>3.0103579775645528</v>
      </c>
      <c r="K99">
        <f t="shared" si="8"/>
        <v>-0.30000000000000071</v>
      </c>
      <c r="L99">
        <f t="shared" si="9"/>
        <v>2.7138579775645519</v>
      </c>
      <c r="N99">
        <f t="shared" si="11"/>
        <v>73.477249999999998</v>
      </c>
    </row>
    <row r="100" spans="1:14" x14ac:dyDescent="0.2">
      <c r="A100" t="s">
        <v>6</v>
      </c>
      <c r="B100" t="s">
        <v>8</v>
      </c>
      <c r="C100">
        <v>19.7</v>
      </c>
      <c r="D100">
        <v>7.8924872150869803</v>
      </c>
      <c r="E100">
        <v>0.18</v>
      </c>
      <c r="F100" s="1">
        <v>76.641999999999996</v>
      </c>
      <c r="G100" s="1">
        <v>76.641999999999996</v>
      </c>
      <c r="I100">
        <f t="shared" si="6"/>
        <v>3.4999999999999931E-3</v>
      </c>
      <c r="J100">
        <f t="shared" si="7"/>
        <v>3.0103579775645528</v>
      </c>
      <c r="K100">
        <f t="shared" si="8"/>
        <v>-0.30000000000000071</v>
      </c>
      <c r="L100">
        <f t="shared" si="9"/>
        <v>2.7138579775645519</v>
      </c>
      <c r="N100">
        <f t="shared" si="11"/>
        <v>76.641999999999996</v>
      </c>
    </row>
    <row r="101" spans="1:14" x14ac:dyDescent="0.2">
      <c r="A101" t="s">
        <v>6</v>
      </c>
      <c r="B101" t="s">
        <v>8</v>
      </c>
      <c r="C101">
        <v>19.7</v>
      </c>
      <c r="D101">
        <v>7.8924872150869803</v>
      </c>
      <c r="E101">
        <v>0.18</v>
      </c>
      <c r="F101" s="1">
        <v>71.697000000000003</v>
      </c>
      <c r="G101" s="1">
        <v>71.697000000000003</v>
      </c>
      <c r="I101">
        <f t="shared" si="6"/>
        <v>3.4999999999999931E-3</v>
      </c>
      <c r="J101">
        <f t="shared" si="7"/>
        <v>3.0103579775645528</v>
      </c>
      <c r="K101">
        <f t="shared" si="8"/>
        <v>-0.30000000000000071</v>
      </c>
      <c r="L101">
        <f t="shared" si="9"/>
        <v>2.7138579775645519</v>
      </c>
      <c r="N101">
        <f t="shared" si="11"/>
        <v>71.697000000000003</v>
      </c>
    </row>
    <row r="102" spans="1:14" x14ac:dyDescent="0.2">
      <c r="A102" t="s">
        <v>6</v>
      </c>
      <c r="B102" t="s">
        <v>8</v>
      </c>
      <c r="C102">
        <v>19.7</v>
      </c>
      <c r="D102">
        <v>7.76297965907691</v>
      </c>
      <c r="E102">
        <v>0.18</v>
      </c>
      <c r="F102" s="1">
        <v>75.83175</v>
      </c>
      <c r="G102" s="1">
        <v>75.83175</v>
      </c>
      <c r="I102">
        <f t="shared" si="6"/>
        <v>3.4999999999999931E-3</v>
      </c>
      <c r="J102">
        <f t="shared" si="7"/>
        <v>6.6365695458465197</v>
      </c>
      <c r="K102">
        <f t="shared" si="8"/>
        <v>-0.30000000000000071</v>
      </c>
      <c r="L102">
        <f t="shared" si="9"/>
        <v>6.3400695458465188</v>
      </c>
      <c r="N102">
        <f t="shared" si="11"/>
        <v>75.83175</v>
      </c>
    </row>
    <row r="103" spans="1:14" x14ac:dyDescent="0.2">
      <c r="A103" t="s">
        <v>6</v>
      </c>
      <c r="B103" t="s">
        <v>8</v>
      </c>
      <c r="C103">
        <v>19.7</v>
      </c>
      <c r="D103">
        <v>7.76297965907691</v>
      </c>
      <c r="E103">
        <v>0.18</v>
      </c>
      <c r="F103" s="1">
        <v>77.680750000000003</v>
      </c>
      <c r="G103" s="1">
        <v>77.680750000000003</v>
      </c>
      <c r="I103">
        <f t="shared" si="6"/>
        <v>3.4999999999999931E-3</v>
      </c>
      <c r="J103">
        <f t="shared" si="7"/>
        <v>6.6365695458465197</v>
      </c>
      <c r="K103">
        <f t="shared" si="8"/>
        <v>-0.30000000000000071</v>
      </c>
      <c r="L103">
        <f t="shared" si="9"/>
        <v>6.3400695458465188</v>
      </c>
      <c r="N103">
        <f t="shared" si="11"/>
        <v>77.680750000000003</v>
      </c>
    </row>
    <row r="104" spans="1:14" x14ac:dyDescent="0.2">
      <c r="A104" t="s">
        <v>6</v>
      </c>
      <c r="B104" t="s">
        <v>8</v>
      </c>
      <c r="C104">
        <v>19.7</v>
      </c>
      <c r="D104">
        <v>7.76297965907691</v>
      </c>
      <c r="E104">
        <v>0.18</v>
      </c>
      <c r="F104" s="1">
        <v>72.848249999999993</v>
      </c>
      <c r="G104" s="1">
        <v>72.848249999999993</v>
      </c>
      <c r="I104">
        <f t="shared" si="6"/>
        <v>3.4999999999999931E-3</v>
      </c>
      <c r="J104">
        <f t="shared" si="7"/>
        <v>6.6365695458465197</v>
      </c>
      <c r="K104">
        <f t="shared" si="8"/>
        <v>-0.30000000000000071</v>
      </c>
      <c r="L104">
        <f t="shared" si="9"/>
        <v>6.3400695458465188</v>
      </c>
      <c r="N104">
        <f t="shared" si="11"/>
        <v>72.848249999999993</v>
      </c>
    </row>
    <row r="105" spans="1:14" x14ac:dyDescent="0.2">
      <c r="A105" t="s">
        <v>6</v>
      </c>
      <c r="B105" t="s">
        <v>8</v>
      </c>
      <c r="C105">
        <v>19.7</v>
      </c>
      <c r="D105">
        <v>7.76297965907691</v>
      </c>
      <c r="E105">
        <v>0.18</v>
      </c>
      <c r="F105" s="1">
        <v>76.196749999999994</v>
      </c>
      <c r="G105" s="1">
        <v>76.196749999999994</v>
      </c>
      <c r="I105">
        <f t="shared" si="6"/>
        <v>3.4999999999999931E-3</v>
      </c>
      <c r="J105">
        <f t="shared" si="7"/>
        <v>6.6365695458465197</v>
      </c>
      <c r="K105">
        <f t="shared" si="8"/>
        <v>-0.30000000000000071</v>
      </c>
      <c r="L105">
        <f t="shared" si="9"/>
        <v>6.3400695458465188</v>
      </c>
      <c r="N105">
        <f t="shared" si="11"/>
        <v>76.196749999999994</v>
      </c>
    </row>
    <row r="106" spans="1:14" x14ac:dyDescent="0.2">
      <c r="A106" t="s">
        <v>6</v>
      </c>
      <c r="B106" t="s">
        <v>8</v>
      </c>
      <c r="C106">
        <v>19.7</v>
      </c>
      <c r="D106">
        <v>7.76297965907691</v>
      </c>
      <c r="E106">
        <v>0.18</v>
      </c>
      <c r="F106" s="1">
        <v>72.912000000000006</v>
      </c>
      <c r="G106" s="1">
        <v>72.912000000000006</v>
      </c>
      <c r="I106">
        <f t="shared" si="6"/>
        <v>3.4999999999999931E-3</v>
      </c>
      <c r="J106">
        <f t="shared" si="7"/>
        <v>6.6365695458465197</v>
      </c>
      <c r="K106">
        <f t="shared" si="8"/>
        <v>-0.30000000000000071</v>
      </c>
      <c r="L106">
        <f t="shared" si="9"/>
        <v>6.3400695458465188</v>
      </c>
      <c r="N106">
        <f t="shared" si="11"/>
        <v>72.912000000000006</v>
      </c>
    </row>
    <row r="107" spans="1:14" x14ac:dyDescent="0.2">
      <c r="A107" t="s">
        <v>6</v>
      </c>
      <c r="B107" t="s">
        <v>8</v>
      </c>
      <c r="C107">
        <v>19.7</v>
      </c>
      <c r="D107">
        <v>7.76297965907691</v>
      </c>
      <c r="E107">
        <v>0.18</v>
      </c>
      <c r="F107" s="1">
        <v>74.035250000000005</v>
      </c>
      <c r="G107" s="1">
        <v>74.035250000000005</v>
      </c>
      <c r="I107">
        <f t="shared" si="6"/>
        <v>3.4999999999999931E-3</v>
      </c>
      <c r="J107">
        <f t="shared" si="7"/>
        <v>6.6365695458465197</v>
      </c>
      <c r="K107">
        <f t="shared" si="8"/>
        <v>-0.30000000000000071</v>
      </c>
      <c r="L107">
        <f t="shared" si="9"/>
        <v>6.3400695458465188</v>
      </c>
      <c r="N107">
        <f t="shared" si="11"/>
        <v>74.035250000000005</v>
      </c>
    </row>
    <row r="108" spans="1:14" x14ac:dyDescent="0.2">
      <c r="A108" t="s">
        <v>6</v>
      </c>
      <c r="B108" t="s">
        <v>8</v>
      </c>
      <c r="C108">
        <v>19.7</v>
      </c>
      <c r="D108">
        <v>7.76297965907691</v>
      </c>
      <c r="E108">
        <v>0.18</v>
      </c>
      <c r="F108" s="1">
        <v>78.511250000000004</v>
      </c>
      <c r="G108" s="1">
        <v>78.511250000000004</v>
      </c>
      <c r="I108">
        <f t="shared" si="6"/>
        <v>3.4999999999999931E-3</v>
      </c>
      <c r="J108">
        <f t="shared" si="7"/>
        <v>6.6365695458465197</v>
      </c>
      <c r="K108">
        <f t="shared" si="8"/>
        <v>-0.30000000000000071</v>
      </c>
      <c r="L108">
        <f t="shared" si="9"/>
        <v>6.3400695458465188</v>
      </c>
      <c r="N108">
        <f t="shared" si="11"/>
        <v>78.511250000000004</v>
      </c>
    </row>
    <row r="109" spans="1:14" x14ac:dyDescent="0.2">
      <c r="A109" t="s">
        <v>6</v>
      </c>
      <c r="B109" t="s">
        <v>8</v>
      </c>
      <c r="C109">
        <v>19.7</v>
      </c>
      <c r="D109">
        <v>7.76297965907691</v>
      </c>
      <c r="E109">
        <v>0.18</v>
      </c>
      <c r="F109" s="1">
        <v>78.964500000000001</v>
      </c>
      <c r="G109" s="1">
        <v>78.964500000000001</v>
      </c>
      <c r="I109">
        <f t="shared" si="6"/>
        <v>3.4999999999999931E-3</v>
      </c>
      <c r="J109">
        <f t="shared" si="7"/>
        <v>6.6365695458465197</v>
      </c>
      <c r="K109">
        <f t="shared" si="8"/>
        <v>-0.30000000000000071</v>
      </c>
      <c r="L109">
        <f t="shared" si="9"/>
        <v>6.3400695458465188</v>
      </c>
      <c r="N109">
        <f t="shared" si="11"/>
        <v>78.964500000000001</v>
      </c>
    </row>
    <row r="110" spans="1:14" x14ac:dyDescent="0.2">
      <c r="A110" t="s">
        <v>6</v>
      </c>
      <c r="B110" t="s">
        <v>8</v>
      </c>
      <c r="C110">
        <v>19.7</v>
      </c>
      <c r="D110">
        <v>7.76297965907691</v>
      </c>
      <c r="E110">
        <v>0.18</v>
      </c>
      <c r="F110" s="1">
        <v>75.937250000000006</v>
      </c>
      <c r="G110" s="1">
        <v>75.937250000000006</v>
      </c>
      <c r="I110">
        <f t="shared" si="6"/>
        <v>3.4999999999999931E-3</v>
      </c>
      <c r="J110">
        <f t="shared" si="7"/>
        <v>6.6365695458465197</v>
      </c>
      <c r="K110">
        <f t="shared" si="8"/>
        <v>-0.30000000000000071</v>
      </c>
      <c r="L110">
        <f t="shared" si="9"/>
        <v>6.3400695458465188</v>
      </c>
      <c r="N110">
        <f t="shared" si="11"/>
        <v>75.937250000000006</v>
      </c>
    </row>
    <row r="111" spans="1:14" x14ac:dyDescent="0.2">
      <c r="A111" t="s">
        <v>6</v>
      </c>
      <c r="B111" t="s">
        <v>8</v>
      </c>
      <c r="C111">
        <v>19.7</v>
      </c>
      <c r="D111">
        <v>7.7010747831581998</v>
      </c>
      <c r="E111">
        <v>0.18</v>
      </c>
      <c r="F111" s="1">
        <v>76.170500000000004</v>
      </c>
      <c r="G111" s="1">
        <v>76.170500000000004</v>
      </c>
      <c r="I111">
        <f t="shared" si="6"/>
        <v>3.4999999999999931E-3</v>
      </c>
      <c r="J111">
        <f t="shared" si="7"/>
        <v>8.369906071570405</v>
      </c>
      <c r="K111">
        <f t="shared" si="8"/>
        <v>-0.30000000000000071</v>
      </c>
      <c r="L111">
        <f t="shared" si="9"/>
        <v>8.073406071570405</v>
      </c>
      <c r="N111">
        <f t="shared" si="11"/>
        <v>76.170500000000004</v>
      </c>
    </row>
    <row r="112" spans="1:14" x14ac:dyDescent="0.2">
      <c r="A112" t="s">
        <v>6</v>
      </c>
      <c r="B112" t="s">
        <v>8</v>
      </c>
      <c r="C112">
        <v>19.7</v>
      </c>
      <c r="D112">
        <v>7.7010747831581998</v>
      </c>
      <c r="E112">
        <v>0.18</v>
      </c>
      <c r="F112" s="1">
        <v>68.457250000000002</v>
      </c>
      <c r="G112" s="1">
        <v>68.457250000000002</v>
      </c>
      <c r="I112">
        <f t="shared" si="6"/>
        <v>3.4999999999999931E-3</v>
      </c>
      <c r="J112">
        <f t="shared" si="7"/>
        <v>8.369906071570405</v>
      </c>
      <c r="K112">
        <f t="shared" si="8"/>
        <v>-0.30000000000000071</v>
      </c>
      <c r="L112">
        <f t="shared" si="9"/>
        <v>8.073406071570405</v>
      </c>
      <c r="N112">
        <f t="shared" si="11"/>
        <v>68.457250000000002</v>
      </c>
    </row>
    <row r="113" spans="1:14" x14ac:dyDescent="0.2">
      <c r="A113" t="s">
        <v>6</v>
      </c>
      <c r="B113" t="s">
        <v>8</v>
      </c>
      <c r="C113">
        <v>19.7</v>
      </c>
      <c r="D113">
        <v>7.7010747831581998</v>
      </c>
      <c r="E113">
        <v>0.18</v>
      </c>
      <c r="F113" s="1">
        <v>75.662750000000003</v>
      </c>
      <c r="G113" s="1">
        <v>75.662750000000003</v>
      </c>
      <c r="I113">
        <f t="shared" si="6"/>
        <v>3.4999999999999931E-3</v>
      </c>
      <c r="J113">
        <f t="shared" si="7"/>
        <v>8.369906071570405</v>
      </c>
      <c r="K113">
        <f t="shared" si="8"/>
        <v>-0.30000000000000071</v>
      </c>
      <c r="L113">
        <f t="shared" si="9"/>
        <v>8.073406071570405</v>
      </c>
      <c r="N113">
        <f t="shared" si="11"/>
        <v>75.662750000000003</v>
      </c>
    </row>
    <row r="114" spans="1:14" x14ac:dyDescent="0.2">
      <c r="A114" t="s">
        <v>6</v>
      </c>
      <c r="B114" t="s">
        <v>8</v>
      </c>
      <c r="C114">
        <v>19.7</v>
      </c>
      <c r="D114">
        <v>7.7010747831581998</v>
      </c>
      <c r="E114">
        <v>0.18</v>
      </c>
      <c r="F114" s="1">
        <v>64.781000000000006</v>
      </c>
      <c r="G114" s="1">
        <v>64.781000000000006</v>
      </c>
      <c r="I114">
        <f t="shared" si="6"/>
        <v>3.4999999999999931E-3</v>
      </c>
      <c r="J114">
        <f t="shared" si="7"/>
        <v>8.369906071570405</v>
      </c>
      <c r="K114">
        <f t="shared" si="8"/>
        <v>-0.30000000000000071</v>
      </c>
      <c r="L114">
        <f t="shared" si="9"/>
        <v>8.073406071570405</v>
      </c>
      <c r="N114">
        <f t="shared" si="11"/>
        <v>64.781000000000006</v>
      </c>
    </row>
    <row r="115" spans="1:14" x14ac:dyDescent="0.2">
      <c r="A115" t="s">
        <v>6</v>
      </c>
      <c r="B115" t="s">
        <v>8</v>
      </c>
      <c r="C115">
        <v>19.7</v>
      </c>
      <c r="D115">
        <v>7.7010747831581998</v>
      </c>
      <c r="E115">
        <v>0.18</v>
      </c>
      <c r="F115" s="1">
        <v>59.510249999999999</v>
      </c>
      <c r="G115" s="1">
        <v>59.510249999999999</v>
      </c>
      <c r="I115">
        <f t="shared" si="6"/>
        <v>3.4999999999999931E-3</v>
      </c>
      <c r="J115">
        <f t="shared" si="7"/>
        <v>8.369906071570405</v>
      </c>
      <c r="K115">
        <f t="shared" si="8"/>
        <v>-0.30000000000000071</v>
      </c>
      <c r="L115">
        <f t="shared" si="9"/>
        <v>8.073406071570405</v>
      </c>
      <c r="N115">
        <f t="shared" si="11"/>
        <v>59.510249999999999</v>
      </c>
    </row>
    <row r="116" spans="1:14" x14ac:dyDescent="0.2">
      <c r="A116" t="s">
        <v>6</v>
      </c>
      <c r="B116" t="s">
        <v>8</v>
      </c>
      <c r="C116">
        <v>19.7</v>
      </c>
      <c r="D116">
        <v>7.7010747831581998</v>
      </c>
      <c r="E116">
        <v>0.18</v>
      </c>
      <c r="F116" s="1">
        <v>52.519000000000005</v>
      </c>
      <c r="G116" s="1">
        <v>52.519000000000005</v>
      </c>
      <c r="I116">
        <f t="shared" si="6"/>
        <v>3.4999999999999931E-3</v>
      </c>
      <c r="J116">
        <f t="shared" si="7"/>
        <v>8.369906071570405</v>
      </c>
      <c r="K116">
        <f t="shared" si="8"/>
        <v>-0.30000000000000071</v>
      </c>
      <c r="L116">
        <f t="shared" si="9"/>
        <v>8.073406071570405</v>
      </c>
      <c r="N116">
        <f t="shared" si="11"/>
        <v>52.519000000000005</v>
      </c>
    </row>
    <row r="117" spans="1:14" x14ac:dyDescent="0.2">
      <c r="A117" t="s">
        <v>6</v>
      </c>
      <c r="B117" t="s">
        <v>8</v>
      </c>
      <c r="C117">
        <v>19.7</v>
      </c>
      <c r="D117">
        <v>7.7010747831581998</v>
      </c>
      <c r="E117">
        <v>0.18</v>
      </c>
      <c r="F117" s="1">
        <v>53.478250000000003</v>
      </c>
      <c r="G117" s="1">
        <v>53.478250000000003</v>
      </c>
      <c r="I117">
        <f t="shared" si="6"/>
        <v>3.4999999999999931E-3</v>
      </c>
      <c r="J117">
        <f t="shared" si="7"/>
        <v>8.369906071570405</v>
      </c>
      <c r="K117">
        <f t="shared" si="8"/>
        <v>-0.30000000000000071</v>
      </c>
      <c r="L117">
        <f t="shared" si="9"/>
        <v>8.073406071570405</v>
      </c>
      <c r="N117">
        <f t="shared" si="11"/>
        <v>53.478250000000003</v>
      </c>
    </row>
    <row r="118" spans="1:14" x14ac:dyDescent="0.2">
      <c r="A118" t="s">
        <v>6</v>
      </c>
      <c r="B118" t="s">
        <v>8</v>
      </c>
      <c r="C118">
        <v>19.7</v>
      </c>
      <c r="D118">
        <v>7.7010747831581998</v>
      </c>
      <c r="E118">
        <v>0.18</v>
      </c>
      <c r="F118" s="1">
        <v>57.674750000000003</v>
      </c>
      <c r="G118" s="1">
        <v>57.674750000000003</v>
      </c>
      <c r="I118">
        <f t="shared" si="6"/>
        <v>3.4999999999999931E-3</v>
      </c>
      <c r="J118">
        <f t="shared" si="7"/>
        <v>8.369906071570405</v>
      </c>
      <c r="K118">
        <f t="shared" si="8"/>
        <v>-0.30000000000000071</v>
      </c>
      <c r="L118">
        <f t="shared" si="9"/>
        <v>8.073406071570405</v>
      </c>
      <c r="N118">
        <f t="shared" si="11"/>
        <v>57.674750000000003</v>
      </c>
    </row>
    <row r="119" spans="1:14" x14ac:dyDescent="0.2">
      <c r="A119" t="s">
        <v>6</v>
      </c>
      <c r="B119" t="s">
        <v>8</v>
      </c>
      <c r="C119">
        <v>19.7</v>
      </c>
      <c r="D119">
        <v>7.7010747831581998</v>
      </c>
      <c r="E119">
        <v>0.18</v>
      </c>
      <c r="F119" s="1">
        <v>76.181250000000006</v>
      </c>
      <c r="G119" s="1">
        <v>76.181250000000006</v>
      </c>
      <c r="I119">
        <f t="shared" si="6"/>
        <v>3.4999999999999931E-3</v>
      </c>
      <c r="J119">
        <f t="shared" si="7"/>
        <v>8.369906071570405</v>
      </c>
      <c r="K119">
        <f t="shared" si="8"/>
        <v>-0.30000000000000071</v>
      </c>
      <c r="L119">
        <f t="shared" si="9"/>
        <v>8.073406071570405</v>
      </c>
      <c r="N119">
        <f t="shared" si="11"/>
        <v>76.181250000000006</v>
      </c>
    </row>
    <row r="120" spans="1:14" x14ac:dyDescent="0.2">
      <c r="A120" t="s">
        <v>6</v>
      </c>
      <c r="B120" t="s">
        <v>8</v>
      </c>
      <c r="C120">
        <v>19.7</v>
      </c>
      <c r="D120">
        <v>7.7010747831581998</v>
      </c>
      <c r="E120">
        <v>0.18</v>
      </c>
      <c r="F120" s="1">
        <v>73.251249999999999</v>
      </c>
      <c r="G120" s="1">
        <v>73.251249999999999</v>
      </c>
      <c r="I120">
        <f t="shared" si="6"/>
        <v>3.4999999999999931E-3</v>
      </c>
      <c r="J120">
        <f t="shared" si="7"/>
        <v>8.369906071570405</v>
      </c>
      <c r="K120">
        <f t="shared" si="8"/>
        <v>-0.30000000000000071</v>
      </c>
      <c r="L120">
        <f t="shared" si="9"/>
        <v>8.073406071570405</v>
      </c>
      <c r="N120">
        <f t="shared" si="11"/>
        <v>73.251249999999999</v>
      </c>
    </row>
    <row r="121" spans="1:14" x14ac:dyDescent="0.2">
      <c r="A121" t="s">
        <v>6</v>
      </c>
      <c r="B121" t="s">
        <v>8</v>
      </c>
      <c r="C121">
        <v>19.7</v>
      </c>
      <c r="D121">
        <v>7.6451697401437899</v>
      </c>
      <c r="E121">
        <v>0.17</v>
      </c>
      <c r="F121" s="1">
        <v>66.178749999999994</v>
      </c>
      <c r="G121" s="1">
        <v>66.178749999999994</v>
      </c>
      <c r="I121">
        <f t="shared" si="6"/>
        <v>0</v>
      </c>
      <c r="J121">
        <f t="shared" si="7"/>
        <v>9.9352472759738824</v>
      </c>
      <c r="K121">
        <f t="shared" si="8"/>
        <v>-0.30000000000000071</v>
      </c>
      <c r="L121">
        <f t="shared" si="9"/>
        <v>9.6352472759738816</v>
      </c>
      <c r="N121">
        <f t="shared" si="11"/>
        <v>66.178749999999994</v>
      </c>
    </row>
    <row r="122" spans="1:14" x14ac:dyDescent="0.2">
      <c r="A122" t="s">
        <v>6</v>
      </c>
      <c r="B122" t="s">
        <v>8</v>
      </c>
      <c r="C122">
        <v>19.7</v>
      </c>
      <c r="D122">
        <v>7.6451697401437899</v>
      </c>
      <c r="E122">
        <v>0.17</v>
      </c>
      <c r="F122" s="1">
        <v>68.671999999999997</v>
      </c>
      <c r="G122" s="1">
        <v>68.671999999999997</v>
      </c>
      <c r="I122">
        <f t="shared" si="6"/>
        <v>0</v>
      </c>
      <c r="J122">
        <f t="shared" si="7"/>
        <v>9.9352472759738824</v>
      </c>
      <c r="K122">
        <f t="shared" si="8"/>
        <v>-0.30000000000000071</v>
      </c>
      <c r="L122">
        <f t="shared" si="9"/>
        <v>9.6352472759738816</v>
      </c>
      <c r="N122">
        <f t="shared" si="11"/>
        <v>68.671999999999997</v>
      </c>
    </row>
    <row r="123" spans="1:14" x14ac:dyDescent="0.2">
      <c r="A123" t="s">
        <v>6</v>
      </c>
      <c r="B123" t="s">
        <v>8</v>
      </c>
      <c r="C123">
        <v>19.7</v>
      </c>
      <c r="D123">
        <v>7.6451697401437899</v>
      </c>
      <c r="E123">
        <v>0.17</v>
      </c>
      <c r="F123" s="1">
        <v>63.932249999999996</v>
      </c>
      <c r="G123" s="1">
        <v>63.932249999999996</v>
      </c>
      <c r="I123">
        <f t="shared" si="6"/>
        <v>0</v>
      </c>
      <c r="J123">
        <f t="shared" si="7"/>
        <v>9.9352472759738824</v>
      </c>
      <c r="K123">
        <f t="shared" si="8"/>
        <v>-0.30000000000000071</v>
      </c>
      <c r="L123">
        <f t="shared" si="9"/>
        <v>9.6352472759738816</v>
      </c>
      <c r="N123">
        <f t="shared" si="11"/>
        <v>63.932249999999996</v>
      </c>
    </row>
    <row r="124" spans="1:14" x14ac:dyDescent="0.2">
      <c r="A124" t="s">
        <v>6</v>
      </c>
      <c r="B124" t="s">
        <v>8</v>
      </c>
      <c r="C124">
        <v>19.7</v>
      </c>
      <c r="D124">
        <v>7.6451697401437899</v>
      </c>
      <c r="E124">
        <v>0.17</v>
      </c>
      <c r="F124" s="1">
        <v>67.418499999999995</v>
      </c>
      <c r="G124" s="1">
        <v>67.418499999999995</v>
      </c>
      <c r="I124">
        <f t="shared" si="6"/>
        <v>0</v>
      </c>
      <c r="J124">
        <f t="shared" si="7"/>
        <v>9.9352472759738824</v>
      </c>
      <c r="K124">
        <f t="shared" si="8"/>
        <v>-0.30000000000000071</v>
      </c>
      <c r="L124">
        <f t="shared" si="9"/>
        <v>9.6352472759738816</v>
      </c>
      <c r="N124">
        <f t="shared" si="11"/>
        <v>67.418499999999995</v>
      </c>
    </row>
    <row r="125" spans="1:14" x14ac:dyDescent="0.2">
      <c r="A125" t="s">
        <v>6</v>
      </c>
      <c r="B125" t="s">
        <v>8</v>
      </c>
      <c r="C125">
        <v>19.7</v>
      </c>
      <c r="D125">
        <v>7.6451697401437899</v>
      </c>
      <c r="E125">
        <v>0.17</v>
      </c>
      <c r="F125" s="1">
        <v>60.915499999999994</v>
      </c>
      <c r="G125" s="1">
        <v>60.915499999999994</v>
      </c>
      <c r="I125">
        <f t="shared" si="6"/>
        <v>0</v>
      </c>
      <c r="J125">
        <f t="shared" si="7"/>
        <v>9.9352472759738824</v>
      </c>
      <c r="K125">
        <f t="shared" si="8"/>
        <v>-0.30000000000000071</v>
      </c>
      <c r="L125">
        <f t="shared" si="9"/>
        <v>9.6352472759738816</v>
      </c>
      <c r="N125">
        <f t="shared" si="11"/>
        <v>60.915499999999994</v>
      </c>
    </row>
    <row r="126" spans="1:14" x14ac:dyDescent="0.2">
      <c r="A126" t="s">
        <v>6</v>
      </c>
      <c r="B126" t="s">
        <v>8</v>
      </c>
      <c r="C126">
        <v>19.7</v>
      </c>
      <c r="D126">
        <v>7.6451697401437899</v>
      </c>
      <c r="E126">
        <v>0.17</v>
      </c>
      <c r="F126" s="1">
        <v>71.373249999999999</v>
      </c>
      <c r="G126" s="1">
        <v>71.373249999999999</v>
      </c>
      <c r="I126">
        <f t="shared" si="6"/>
        <v>0</v>
      </c>
      <c r="J126">
        <f t="shared" si="7"/>
        <v>9.9352472759738824</v>
      </c>
      <c r="K126">
        <f t="shared" si="8"/>
        <v>-0.30000000000000071</v>
      </c>
      <c r="L126">
        <f t="shared" si="9"/>
        <v>9.6352472759738816</v>
      </c>
      <c r="N126">
        <f t="shared" si="11"/>
        <v>71.373249999999999</v>
      </c>
    </row>
    <row r="127" spans="1:14" x14ac:dyDescent="0.2">
      <c r="A127" t="s">
        <v>6</v>
      </c>
      <c r="B127" t="s">
        <v>8</v>
      </c>
      <c r="C127">
        <v>19.7</v>
      </c>
      <c r="D127">
        <v>7.6451697401437899</v>
      </c>
      <c r="E127">
        <v>0.17</v>
      </c>
      <c r="F127" s="1">
        <v>60.248000000000005</v>
      </c>
      <c r="G127" s="1">
        <v>60.248000000000005</v>
      </c>
      <c r="I127">
        <f t="shared" si="6"/>
        <v>0</v>
      </c>
      <c r="J127">
        <f t="shared" si="7"/>
        <v>9.9352472759738824</v>
      </c>
      <c r="K127">
        <f t="shared" si="8"/>
        <v>-0.30000000000000071</v>
      </c>
      <c r="L127">
        <f t="shared" si="9"/>
        <v>9.6352472759738816</v>
      </c>
      <c r="N127">
        <f t="shared" si="11"/>
        <v>60.248000000000005</v>
      </c>
    </row>
    <row r="128" spans="1:14" x14ac:dyDescent="0.2">
      <c r="A128" t="s">
        <v>6</v>
      </c>
      <c r="B128" t="s">
        <v>8</v>
      </c>
      <c r="C128">
        <v>19.7</v>
      </c>
      <c r="D128">
        <v>7.6451697401437899</v>
      </c>
      <c r="E128">
        <v>0.17</v>
      </c>
      <c r="F128" s="1">
        <v>64.083749999999995</v>
      </c>
      <c r="G128" s="1">
        <v>64.083749999999995</v>
      </c>
      <c r="I128">
        <f t="shared" si="6"/>
        <v>0</v>
      </c>
      <c r="J128">
        <f t="shared" si="7"/>
        <v>9.9352472759738824</v>
      </c>
      <c r="K128">
        <f t="shared" si="8"/>
        <v>-0.30000000000000071</v>
      </c>
      <c r="L128">
        <f t="shared" si="9"/>
        <v>9.6352472759738816</v>
      </c>
      <c r="N128">
        <f t="shared" si="11"/>
        <v>64.083749999999995</v>
      </c>
    </row>
    <row r="129" spans="1:14" x14ac:dyDescent="0.2">
      <c r="A129" t="s">
        <v>6</v>
      </c>
      <c r="B129" t="s">
        <v>8</v>
      </c>
      <c r="C129">
        <v>19.7</v>
      </c>
      <c r="D129">
        <v>7.6451697401437899</v>
      </c>
      <c r="E129">
        <v>0.17</v>
      </c>
      <c r="F129" s="1">
        <v>65.379000000000005</v>
      </c>
      <c r="G129" s="1">
        <v>65.379000000000005</v>
      </c>
      <c r="I129">
        <f t="shared" si="6"/>
        <v>0</v>
      </c>
      <c r="J129">
        <f t="shared" si="7"/>
        <v>9.9352472759738824</v>
      </c>
      <c r="K129">
        <f t="shared" si="8"/>
        <v>-0.30000000000000071</v>
      </c>
      <c r="L129">
        <f t="shared" si="9"/>
        <v>9.6352472759738816</v>
      </c>
      <c r="N129">
        <f t="shared" si="11"/>
        <v>65.379000000000005</v>
      </c>
    </row>
    <row r="130" spans="1:14" x14ac:dyDescent="0.2">
      <c r="A130" t="s">
        <v>6</v>
      </c>
      <c r="B130" t="s">
        <v>8</v>
      </c>
      <c r="C130">
        <v>19.7</v>
      </c>
      <c r="D130">
        <v>7.6451697401437899</v>
      </c>
      <c r="E130">
        <v>0.17</v>
      </c>
      <c r="F130" s="1">
        <v>63.595749999999995</v>
      </c>
      <c r="G130" s="1">
        <v>63.595749999999995</v>
      </c>
      <c r="I130">
        <f t="shared" ref="I130:I193" si="12">(E130-0.17)*$S$2</f>
        <v>0</v>
      </c>
      <c r="J130">
        <f t="shared" ref="J130:J193" si="13">(8-D130)*$S$4</f>
        <v>9.9352472759738824</v>
      </c>
      <c r="K130">
        <f t="shared" ref="K130:K193" si="14">(C130-20)*$S$3</f>
        <v>-0.30000000000000071</v>
      </c>
      <c r="L130">
        <f t="shared" ref="L130:L193" si="15">SUM(I130:K130)+($V$2*(J130*K130))</f>
        <v>9.6352472759738816</v>
      </c>
      <c r="N130">
        <f t="shared" si="11"/>
        <v>63.595749999999995</v>
      </c>
    </row>
    <row r="131" spans="1:14" x14ac:dyDescent="0.2">
      <c r="A131" t="s">
        <v>6</v>
      </c>
      <c r="B131" t="s">
        <v>8</v>
      </c>
      <c r="C131">
        <v>19.7</v>
      </c>
      <c r="D131">
        <v>7.6451697401437899</v>
      </c>
      <c r="E131">
        <v>0.17</v>
      </c>
      <c r="F131" s="1">
        <v>62.522000000000006</v>
      </c>
      <c r="G131" s="1">
        <v>62.522000000000006</v>
      </c>
      <c r="I131">
        <f t="shared" si="12"/>
        <v>0</v>
      </c>
      <c r="J131">
        <f t="shared" si="13"/>
        <v>9.9352472759738824</v>
      </c>
      <c r="K131">
        <f t="shared" si="14"/>
        <v>-0.30000000000000071</v>
      </c>
      <c r="L131">
        <f t="shared" si="15"/>
        <v>9.6352472759738816</v>
      </c>
      <c r="N131">
        <f t="shared" si="11"/>
        <v>62.522000000000006</v>
      </c>
    </row>
    <row r="132" spans="1:14" x14ac:dyDescent="0.2">
      <c r="A132" t="s">
        <v>6</v>
      </c>
      <c r="B132" t="s">
        <v>8</v>
      </c>
      <c r="C132">
        <v>19.7</v>
      </c>
      <c r="D132">
        <v>7.6451697401437899</v>
      </c>
      <c r="E132">
        <v>0.17</v>
      </c>
      <c r="F132" s="1">
        <v>67.867750000000001</v>
      </c>
      <c r="G132" s="1">
        <v>67.867750000000001</v>
      </c>
      <c r="I132">
        <f t="shared" si="12"/>
        <v>0</v>
      </c>
      <c r="J132">
        <f t="shared" si="13"/>
        <v>9.9352472759738824</v>
      </c>
      <c r="K132">
        <f t="shared" si="14"/>
        <v>-0.30000000000000071</v>
      </c>
      <c r="L132">
        <f t="shared" si="15"/>
        <v>9.6352472759738816</v>
      </c>
      <c r="N132">
        <f t="shared" si="11"/>
        <v>67.867750000000001</v>
      </c>
    </row>
    <row r="133" spans="1:14" x14ac:dyDescent="0.2">
      <c r="A133" t="s">
        <v>6</v>
      </c>
      <c r="B133" t="s">
        <v>8</v>
      </c>
      <c r="C133">
        <v>19.7</v>
      </c>
      <c r="D133">
        <v>7.6451697401437899</v>
      </c>
      <c r="E133">
        <v>0.17</v>
      </c>
      <c r="F133" s="1">
        <v>59.270499999999998</v>
      </c>
      <c r="G133" s="1">
        <v>59.270499999999998</v>
      </c>
      <c r="I133">
        <f t="shared" si="12"/>
        <v>0</v>
      </c>
      <c r="J133">
        <f t="shared" si="13"/>
        <v>9.9352472759738824</v>
      </c>
      <c r="K133">
        <f t="shared" si="14"/>
        <v>-0.30000000000000071</v>
      </c>
      <c r="L133">
        <f t="shared" si="15"/>
        <v>9.6352472759738816</v>
      </c>
      <c r="N133">
        <f t="shared" si="11"/>
        <v>59.270499999999998</v>
      </c>
    </row>
    <row r="134" spans="1:14" x14ac:dyDescent="0.2">
      <c r="A134" t="s">
        <v>6</v>
      </c>
      <c r="B134" t="s">
        <v>8</v>
      </c>
      <c r="C134">
        <v>19.7</v>
      </c>
      <c r="D134">
        <v>7.6451697401437899</v>
      </c>
      <c r="E134">
        <v>0.17</v>
      </c>
      <c r="F134" s="1">
        <v>62.392499999999998</v>
      </c>
      <c r="G134" s="1">
        <v>62.392499999999998</v>
      </c>
      <c r="I134">
        <f t="shared" si="12"/>
        <v>0</v>
      </c>
      <c r="J134">
        <f t="shared" si="13"/>
        <v>9.9352472759738824</v>
      </c>
      <c r="K134">
        <f t="shared" si="14"/>
        <v>-0.30000000000000071</v>
      </c>
      <c r="L134">
        <f t="shared" si="15"/>
        <v>9.6352472759738816</v>
      </c>
      <c r="N134">
        <f>G134</f>
        <v>62.392499999999998</v>
      </c>
    </row>
    <row r="135" spans="1:14" x14ac:dyDescent="0.2">
      <c r="A135" t="s">
        <v>6</v>
      </c>
      <c r="B135" t="s">
        <v>9</v>
      </c>
      <c r="C135">
        <v>12.3</v>
      </c>
      <c r="D135">
        <v>8.0261933256098601</v>
      </c>
      <c r="E135">
        <v>0.18</v>
      </c>
      <c r="F135" s="1">
        <v>42.751000000000005</v>
      </c>
      <c r="G135" s="1">
        <v>42.751000000000005</v>
      </c>
      <c r="I135">
        <f t="shared" si="12"/>
        <v>3.4999999999999931E-3</v>
      </c>
      <c r="J135">
        <f t="shared" si="13"/>
        <v>-0.7334131170760827</v>
      </c>
      <c r="K135">
        <f t="shared" si="14"/>
        <v>-7.6999999999999993</v>
      </c>
      <c r="L135">
        <f t="shared" si="15"/>
        <v>-8.4299131170760813</v>
      </c>
      <c r="N135">
        <f>G135</f>
        <v>42.751000000000005</v>
      </c>
    </row>
    <row r="136" spans="1:14" x14ac:dyDescent="0.2">
      <c r="A136" t="s">
        <v>6</v>
      </c>
      <c r="B136" t="s">
        <v>9</v>
      </c>
      <c r="C136">
        <v>12.3</v>
      </c>
      <c r="D136">
        <v>8.0261933256098601</v>
      </c>
      <c r="E136">
        <v>0.18</v>
      </c>
      <c r="F136" s="1">
        <v>47.630250000000004</v>
      </c>
      <c r="G136" s="1">
        <v>47.630250000000004</v>
      </c>
      <c r="I136">
        <f t="shared" si="12"/>
        <v>3.4999999999999931E-3</v>
      </c>
      <c r="J136">
        <f t="shared" si="13"/>
        <v>-0.7334131170760827</v>
      </c>
      <c r="K136">
        <f t="shared" si="14"/>
        <v>-7.6999999999999993</v>
      </c>
      <c r="L136">
        <f t="shared" si="15"/>
        <v>-8.4299131170760813</v>
      </c>
      <c r="N136">
        <f t="shared" ref="N136:N191" si="16">G136</f>
        <v>47.630250000000004</v>
      </c>
    </row>
    <row r="137" spans="1:14" x14ac:dyDescent="0.2">
      <c r="A137" t="s">
        <v>6</v>
      </c>
      <c r="B137" t="s">
        <v>9</v>
      </c>
      <c r="C137">
        <v>12.3</v>
      </c>
      <c r="D137">
        <v>8.0261933256098601</v>
      </c>
      <c r="E137">
        <v>0.18</v>
      </c>
      <c r="F137" s="1">
        <v>45.341750000000005</v>
      </c>
      <c r="G137" s="1">
        <v>45.341750000000005</v>
      </c>
      <c r="I137">
        <f t="shared" si="12"/>
        <v>3.4999999999999931E-3</v>
      </c>
      <c r="J137">
        <f t="shared" si="13"/>
        <v>-0.7334131170760827</v>
      </c>
      <c r="K137">
        <f t="shared" si="14"/>
        <v>-7.6999999999999993</v>
      </c>
      <c r="L137">
        <f t="shared" si="15"/>
        <v>-8.4299131170760813</v>
      </c>
      <c r="N137">
        <f t="shared" si="16"/>
        <v>45.341750000000005</v>
      </c>
    </row>
    <row r="138" spans="1:14" x14ac:dyDescent="0.2">
      <c r="A138" t="s">
        <v>6</v>
      </c>
      <c r="B138" t="s">
        <v>9</v>
      </c>
      <c r="C138">
        <v>12.3</v>
      </c>
      <c r="D138">
        <v>8.0261933256098601</v>
      </c>
      <c r="E138">
        <v>0.18</v>
      </c>
      <c r="F138" s="1">
        <v>48.91225</v>
      </c>
      <c r="G138" s="1">
        <v>48.91225</v>
      </c>
      <c r="I138">
        <f t="shared" si="12"/>
        <v>3.4999999999999931E-3</v>
      </c>
      <c r="J138">
        <f t="shared" si="13"/>
        <v>-0.7334131170760827</v>
      </c>
      <c r="K138">
        <f t="shared" si="14"/>
        <v>-7.6999999999999993</v>
      </c>
      <c r="L138">
        <f t="shared" si="15"/>
        <v>-8.4299131170760813</v>
      </c>
      <c r="N138">
        <f t="shared" si="16"/>
        <v>48.91225</v>
      </c>
    </row>
    <row r="139" spans="1:14" ht="16" x14ac:dyDescent="0.2">
      <c r="A139" t="s">
        <v>6</v>
      </c>
      <c r="B139" t="s">
        <v>9</v>
      </c>
      <c r="C139">
        <v>12.3</v>
      </c>
      <c r="D139">
        <v>8.0261933256098601</v>
      </c>
      <c r="E139">
        <v>0.18</v>
      </c>
      <c r="F139" s="2">
        <v>47.5655</v>
      </c>
      <c r="G139" s="2">
        <v>47.5655</v>
      </c>
      <c r="I139">
        <f t="shared" si="12"/>
        <v>3.4999999999999931E-3</v>
      </c>
      <c r="J139">
        <f t="shared" si="13"/>
        <v>-0.7334131170760827</v>
      </c>
      <c r="K139">
        <f t="shared" si="14"/>
        <v>-7.6999999999999993</v>
      </c>
      <c r="L139">
        <f t="shared" si="15"/>
        <v>-8.4299131170760813</v>
      </c>
      <c r="N139">
        <f t="shared" si="16"/>
        <v>47.5655</v>
      </c>
    </row>
    <row r="140" spans="1:14" ht="16" x14ac:dyDescent="0.2">
      <c r="A140" t="s">
        <v>6</v>
      </c>
      <c r="B140" t="s">
        <v>9</v>
      </c>
      <c r="C140">
        <v>12.3</v>
      </c>
      <c r="D140">
        <v>8.0261933256098601</v>
      </c>
      <c r="E140">
        <v>0.18</v>
      </c>
      <c r="F140" s="2">
        <v>44.858000000000004</v>
      </c>
      <c r="G140" s="2">
        <v>44.858000000000004</v>
      </c>
      <c r="I140">
        <f t="shared" si="12"/>
        <v>3.4999999999999931E-3</v>
      </c>
      <c r="J140">
        <f t="shared" si="13"/>
        <v>-0.7334131170760827</v>
      </c>
      <c r="K140">
        <f t="shared" si="14"/>
        <v>-7.6999999999999993</v>
      </c>
      <c r="L140">
        <f t="shared" si="15"/>
        <v>-8.4299131170760813</v>
      </c>
      <c r="N140">
        <f t="shared" si="16"/>
        <v>44.858000000000004</v>
      </c>
    </row>
    <row r="141" spans="1:14" ht="16" x14ac:dyDescent="0.2">
      <c r="A141" t="s">
        <v>6</v>
      </c>
      <c r="B141" t="s">
        <v>9</v>
      </c>
      <c r="C141">
        <v>12.3</v>
      </c>
      <c r="D141">
        <v>8.0261933256098601</v>
      </c>
      <c r="E141">
        <v>0.18</v>
      </c>
      <c r="F141" s="2">
        <v>49.738500000000002</v>
      </c>
      <c r="G141" s="2">
        <v>49.738500000000002</v>
      </c>
      <c r="I141">
        <f t="shared" si="12"/>
        <v>3.4999999999999931E-3</v>
      </c>
      <c r="J141">
        <f t="shared" si="13"/>
        <v>-0.7334131170760827</v>
      </c>
      <c r="K141">
        <f t="shared" si="14"/>
        <v>-7.6999999999999993</v>
      </c>
      <c r="L141">
        <f t="shared" si="15"/>
        <v>-8.4299131170760813</v>
      </c>
      <c r="N141">
        <f t="shared" si="16"/>
        <v>49.738500000000002</v>
      </c>
    </row>
    <row r="142" spans="1:14" ht="16" x14ac:dyDescent="0.2">
      <c r="A142" t="s">
        <v>6</v>
      </c>
      <c r="B142" t="s">
        <v>9</v>
      </c>
      <c r="C142">
        <v>12.3</v>
      </c>
      <c r="D142">
        <v>8.0261933256098601</v>
      </c>
      <c r="E142">
        <v>0.18</v>
      </c>
      <c r="F142" s="2">
        <v>49.403750000000002</v>
      </c>
      <c r="G142" s="2">
        <v>49.403750000000002</v>
      </c>
      <c r="I142">
        <f t="shared" si="12"/>
        <v>3.4999999999999931E-3</v>
      </c>
      <c r="J142">
        <f t="shared" si="13"/>
        <v>-0.7334131170760827</v>
      </c>
      <c r="K142">
        <f t="shared" si="14"/>
        <v>-7.6999999999999993</v>
      </c>
      <c r="L142">
        <f t="shared" si="15"/>
        <v>-8.4299131170760813</v>
      </c>
      <c r="N142">
        <f t="shared" si="16"/>
        <v>49.403750000000002</v>
      </c>
    </row>
    <row r="143" spans="1:14" ht="16" x14ac:dyDescent="0.2">
      <c r="A143" t="s">
        <v>6</v>
      </c>
      <c r="B143" t="s">
        <v>9</v>
      </c>
      <c r="C143">
        <v>12.3</v>
      </c>
      <c r="D143">
        <v>8.0261933256098601</v>
      </c>
      <c r="E143">
        <v>0.18</v>
      </c>
      <c r="F143" s="2">
        <v>46.037000000000006</v>
      </c>
      <c r="G143" s="2">
        <v>46.037000000000006</v>
      </c>
      <c r="I143">
        <f t="shared" si="12"/>
        <v>3.4999999999999931E-3</v>
      </c>
      <c r="J143">
        <f t="shared" si="13"/>
        <v>-0.7334131170760827</v>
      </c>
      <c r="K143">
        <f t="shared" si="14"/>
        <v>-7.6999999999999993</v>
      </c>
      <c r="L143">
        <f t="shared" si="15"/>
        <v>-8.4299131170760813</v>
      </c>
      <c r="N143">
        <f t="shared" si="16"/>
        <v>46.037000000000006</v>
      </c>
    </row>
    <row r="144" spans="1:14" ht="16" x14ac:dyDescent="0.2">
      <c r="A144" t="s">
        <v>6</v>
      </c>
      <c r="B144" t="s">
        <v>9</v>
      </c>
      <c r="C144">
        <v>12.3</v>
      </c>
      <c r="D144">
        <v>8.0261933256098601</v>
      </c>
      <c r="E144">
        <v>0.18</v>
      </c>
      <c r="F144" s="2">
        <v>43.385249999999999</v>
      </c>
      <c r="G144" s="2">
        <v>43.385249999999999</v>
      </c>
      <c r="I144">
        <f t="shared" si="12"/>
        <v>3.4999999999999931E-3</v>
      </c>
      <c r="J144">
        <f t="shared" si="13"/>
        <v>-0.7334131170760827</v>
      </c>
      <c r="K144">
        <f t="shared" si="14"/>
        <v>-7.6999999999999993</v>
      </c>
      <c r="L144">
        <f t="shared" si="15"/>
        <v>-8.4299131170760813</v>
      </c>
      <c r="N144">
        <f t="shared" si="16"/>
        <v>43.385249999999999</v>
      </c>
    </row>
    <row r="145" spans="1:14" ht="16" x14ac:dyDescent="0.2">
      <c r="A145" t="s">
        <v>6</v>
      </c>
      <c r="B145" t="s">
        <v>9</v>
      </c>
      <c r="C145">
        <v>12.3</v>
      </c>
      <c r="D145">
        <v>8.0261933256098601</v>
      </c>
      <c r="E145">
        <v>0.18</v>
      </c>
      <c r="F145" s="2">
        <v>45.3</v>
      </c>
      <c r="G145" s="2">
        <v>45.3</v>
      </c>
      <c r="I145">
        <f t="shared" si="12"/>
        <v>3.4999999999999931E-3</v>
      </c>
      <c r="J145">
        <f t="shared" si="13"/>
        <v>-0.7334131170760827</v>
      </c>
      <c r="K145">
        <f t="shared" si="14"/>
        <v>-7.6999999999999993</v>
      </c>
      <c r="L145">
        <f t="shared" si="15"/>
        <v>-8.4299131170760813</v>
      </c>
      <c r="N145">
        <f t="shared" si="16"/>
        <v>45.3</v>
      </c>
    </row>
    <row r="146" spans="1:14" ht="16" x14ac:dyDescent="0.2">
      <c r="A146" t="s">
        <v>6</v>
      </c>
      <c r="B146" t="s">
        <v>9</v>
      </c>
      <c r="C146">
        <v>12.3</v>
      </c>
      <c r="D146">
        <v>8.0261933256098601</v>
      </c>
      <c r="E146">
        <v>0.18</v>
      </c>
      <c r="F146" s="2">
        <v>45.084000000000003</v>
      </c>
      <c r="G146" s="2">
        <v>45.084000000000003</v>
      </c>
      <c r="I146">
        <f t="shared" si="12"/>
        <v>3.4999999999999931E-3</v>
      </c>
      <c r="J146">
        <f t="shared" si="13"/>
        <v>-0.7334131170760827</v>
      </c>
      <c r="K146">
        <f t="shared" si="14"/>
        <v>-7.6999999999999993</v>
      </c>
      <c r="L146">
        <f t="shared" si="15"/>
        <v>-8.4299131170760813</v>
      </c>
      <c r="N146">
        <f t="shared" si="16"/>
        <v>45.084000000000003</v>
      </c>
    </row>
    <row r="147" spans="1:14" ht="16" x14ac:dyDescent="0.2">
      <c r="A147" t="s">
        <v>6</v>
      </c>
      <c r="B147" t="s">
        <v>9</v>
      </c>
      <c r="C147">
        <v>15.9</v>
      </c>
      <c r="D147">
        <v>8.0055920811269292</v>
      </c>
      <c r="E147">
        <v>0.17</v>
      </c>
      <c r="F147" s="2">
        <v>74.791250000000005</v>
      </c>
      <c r="G147" s="2">
        <v>74.791250000000005</v>
      </c>
      <c r="I147">
        <f t="shared" si="12"/>
        <v>0</v>
      </c>
      <c r="J147">
        <f t="shared" si="13"/>
        <v>-0.15657827155401804</v>
      </c>
      <c r="K147">
        <f t="shared" si="14"/>
        <v>-4.0999999999999996</v>
      </c>
      <c r="L147">
        <f t="shared" si="15"/>
        <v>-4.2565782715540177</v>
      </c>
      <c r="N147">
        <f t="shared" si="16"/>
        <v>74.791250000000005</v>
      </c>
    </row>
    <row r="148" spans="1:14" ht="16" x14ac:dyDescent="0.2">
      <c r="A148" t="s">
        <v>6</v>
      </c>
      <c r="B148" t="s">
        <v>9</v>
      </c>
      <c r="C148">
        <v>15.9</v>
      </c>
      <c r="D148">
        <v>8.0055920811269292</v>
      </c>
      <c r="E148">
        <v>0.17</v>
      </c>
      <c r="F148" s="2">
        <v>78.037499999999994</v>
      </c>
      <c r="G148" s="2">
        <v>78.037499999999994</v>
      </c>
      <c r="I148">
        <f t="shared" si="12"/>
        <v>0</v>
      </c>
      <c r="J148">
        <f t="shared" si="13"/>
        <v>-0.15657827155401804</v>
      </c>
      <c r="K148">
        <f t="shared" si="14"/>
        <v>-4.0999999999999996</v>
      </c>
      <c r="L148">
        <f t="shared" si="15"/>
        <v>-4.2565782715540177</v>
      </c>
      <c r="N148">
        <f t="shared" si="16"/>
        <v>78.037499999999994</v>
      </c>
    </row>
    <row r="149" spans="1:14" ht="16" x14ac:dyDescent="0.2">
      <c r="A149" t="s">
        <v>6</v>
      </c>
      <c r="B149" t="s">
        <v>9</v>
      </c>
      <c r="C149">
        <v>15.9</v>
      </c>
      <c r="D149">
        <v>8.0055920811269292</v>
      </c>
      <c r="E149">
        <v>0.17</v>
      </c>
      <c r="F149" s="2">
        <v>79.782749999999993</v>
      </c>
      <c r="G149" s="2">
        <v>79.782749999999993</v>
      </c>
      <c r="I149">
        <f t="shared" si="12"/>
        <v>0</v>
      </c>
      <c r="J149">
        <f t="shared" si="13"/>
        <v>-0.15657827155401804</v>
      </c>
      <c r="K149">
        <f t="shared" si="14"/>
        <v>-4.0999999999999996</v>
      </c>
      <c r="L149">
        <f t="shared" si="15"/>
        <v>-4.2565782715540177</v>
      </c>
      <c r="N149">
        <f t="shared" si="16"/>
        <v>79.782749999999993</v>
      </c>
    </row>
    <row r="150" spans="1:14" ht="16" x14ac:dyDescent="0.2">
      <c r="A150" t="s">
        <v>6</v>
      </c>
      <c r="B150" t="s">
        <v>9</v>
      </c>
      <c r="C150">
        <v>15.9</v>
      </c>
      <c r="D150">
        <v>8.0055920811269292</v>
      </c>
      <c r="E150">
        <v>0.17</v>
      </c>
      <c r="F150" s="2">
        <v>72.612250000000003</v>
      </c>
      <c r="G150" s="2">
        <v>72.612250000000003</v>
      </c>
      <c r="I150">
        <f t="shared" si="12"/>
        <v>0</v>
      </c>
      <c r="J150">
        <f t="shared" si="13"/>
        <v>-0.15657827155401804</v>
      </c>
      <c r="K150">
        <f t="shared" si="14"/>
        <v>-4.0999999999999996</v>
      </c>
      <c r="L150">
        <f t="shared" si="15"/>
        <v>-4.2565782715540177</v>
      </c>
      <c r="N150">
        <f t="shared" si="16"/>
        <v>72.612250000000003</v>
      </c>
    </row>
    <row r="151" spans="1:14" ht="16" x14ac:dyDescent="0.2">
      <c r="A151" t="s">
        <v>6</v>
      </c>
      <c r="B151" t="s">
        <v>9</v>
      </c>
      <c r="C151">
        <v>15.9</v>
      </c>
      <c r="D151">
        <v>8.0055920811269292</v>
      </c>
      <c r="E151">
        <v>0.17</v>
      </c>
      <c r="F151" s="2">
        <v>75.768000000000001</v>
      </c>
      <c r="G151" s="2">
        <v>75.768000000000001</v>
      </c>
      <c r="I151">
        <f t="shared" si="12"/>
        <v>0</v>
      </c>
      <c r="J151">
        <f t="shared" si="13"/>
        <v>-0.15657827155401804</v>
      </c>
      <c r="K151">
        <f t="shared" si="14"/>
        <v>-4.0999999999999996</v>
      </c>
      <c r="L151">
        <f t="shared" si="15"/>
        <v>-4.2565782715540177</v>
      </c>
      <c r="N151">
        <f t="shared" si="16"/>
        <v>75.768000000000001</v>
      </c>
    </row>
    <row r="152" spans="1:14" ht="16" x14ac:dyDescent="0.2">
      <c r="A152" t="s">
        <v>6</v>
      </c>
      <c r="B152" t="s">
        <v>9</v>
      </c>
      <c r="C152">
        <v>15.9</v>
      </c>
      <c r="D152">
        <v>8.0055920811269292</v>
      </c>
      <c r="E152">
        <v>0.17</v>
      </c>
      <c r="F152" s="2">
        <v>77.521500000000003</v>
      </c>
      <c r="G152" s="2">
        <v>77.521500000000003</v>
      </c>
      <c r="I152">
        <f t="shared" si="12"/>
        <v>0</v>
      </c>
      <c r="J152">
        <f t="shared" si="13"/>
        <v>-0.15657827155401804</v>
      </c>
      <c r="K152">
        <f t="shared" si="14"/>
        <v>-4.0999999999999996</v>
      </c>
      <c r="L152">
        <f t="shared" si="15"/>
        <v>-4.2565782715540177</v>
      </c>
      <c r="N152">
        <f t="shared" si="16"/>
        <v>77.521500000000003</v>
      </c>
    </row>
    <row r="153" spans="1:14" ht="16" x14ac:dyDescent="0.2">
      <c r="A153" t="s">
        <v>6</v>
      </c>
      <c r="B153" t="s">
        <v>9</v>
      </c>
      <c r="C153">
        <v>15.9</v>
      </c>
      <c r="D153">
        <v>8.0055920811269292</v>
      </c>
      <c r="E153">
        <v>0.17</v>
      </c>
      <c r="F153" s="2">
        <v>80.322249999999997</v>
      </c>
      <c r="G153" s="2">
        <v>80.322249999999997</v>
      </c>
      <c r="I153">
        <f t="shared" si="12"/>
        <v>0</v>
      </c>
      <c r="J153">
        <f t="shared" si="13"/>
        <v>-0.15657827155401804</v>
      </c>
      <c r="K153">
        <f t="shared" si="14"/>
        <v>-4.0999999999999996</v>
      </c>
      <c r="L153">
        <f t="shared" si="15"/>
        <v>-4.2565782715540177</v>
      </c>
      <c r="N153">
        <f t="shared" si="16"/>
        <v>80.322249999999997</v>
      </c>
    </row>
    <row r="154" spans="1:14" ht="16" x14ac:dyDescent="0.2">
      <c r="A154" t="s">
        <v>6</v>
      </c>
      <c r="B154" t="s">
        <v>9</v>
      </c>
      <c r="C154">
        <v>15.9</v>
      </c>
      <c r="D154">
        <v>8.0055920811269292</v>
      </c>
      <c r="E154">
        <v>0.17</v>
      </c>
      <c r="F154" s="2">
        <v>67.971000000000004</v>
      </c>
      <c r="G154" s="2">
        <v>67.971000000000004</v>
      </c>
      <c r="I154">
        <f t="shared" si="12"/>
        <v>0</v>
      </c>
      <c r="J154">
        <f t="shared" si="13"/>
        <v>-0.15657827155401804</v>
      </c>
      <c r="K154">
        <f t="shared" si="14"/>
        <v>-4.0999999999999996</v>
      </c>
      <c r="L154">
        <f t="shared" si="15"/>
        <v>-4.2565782715540177</v>
      </c>
      <c r="N154">
        <f t="shared" si="16"/>
        <v>67.971000000000004</v>
      </c>
    </row>
    <row r="155" spans="1:14" ht="16" x14ac:dyDescent="0.2">
      <c r="A155" t="s">
        <v>6</v>
      </c>
      <c r="B155" t="s">
        <v>9</v>
      </c>
      <c r="C155">
        <v>15.9</v>
      </c>
      <c r="D155">
        <v>8.0055920811269292</v>
      </c>
      <c r="E155">
        <v>0.17</v>
      </c>
      <c r="F155" s="2">
        <v>80.494749999999996</v>
      </c>
      <c r="G155" s="2">
        <v>80.494749999999996</v>
      </c>
      <c r="I155">
        <f t="shared" si="12"/>
        <v>0</v>
      </c>
      <c r="J155">
        <f t="shared" si="13"/>
        <v>-0.15657827155401804</v>
      </c>
      <c r="K155">
        <f t="shared" si="14"/>
        <v>-4.0999999999999996</v>
      </c>
      <c r="L155">
        <f t="shared" si="15"/>
        <v>-4.2565782715540177</v>
      </c>
      <c r="N155">
        <f t="shared" si="16"/>
        <v>80.494749999999996</v>
      </c>
    </row>
    <row r="156" spans="1:14" ht="16" x14ac:dyDescent="0.2">
      <c r="A156" t="s">
        <v>6</v>
      </c>
      <c r="B156" t="s">
        <v>9</v>
      </c>
      <c r="C156">
        <v>15.9</v>
      </c>
      <c r="D156">
        <v>8.0055920811269292</v>
      </c>
      <c r="E156">
        <v>0.17</v>
      </c>
      <c r="F156" s="2">
        <v>74.242000000000004</v>
      </c>
      <c r="G156" s="2">
        <v>74.242000000000004</v>
      </c>
      <c r="I156">
        <f t="shared" si="12"/>
        <v>0</v>
      </c>
      <c r="J156">
        <f t="shared" si="13"/>
        <v>-0.15657827155401804</v>
      </c>
      <c r="K156">
        <f t="shared" si="14"/>
        <v>-4.0999999999999996</v>
      </c>
      <c r="L156">
        <f t="shared" si="15"/>
        <v>-4.2565782715540177</v>
      </c>
      <c r="N156">
        <f t="shared" si="16"/>
        <v>74.242000000000004</v>
      </c>
    </row>
    <row r="157" spans="1:14" ht="16" x14ac:dyDescent="0.2">
      <c r="A157" t="s">
        <v>6</v>
      </c>
      <c r="B157" t="s">
        <v>9</v>
      </c>
      <c r="C157">
        <v>15.9</v>
      </c>
      <c r="D157">
        <v>8.0055920811269292</v>
      </c>
      <c r="E157">
        <v>0.17</v>
      </c>
      <c r="F157" s="2">
        <v>73.169499999999999</v>
      </c>
      <c r="G157" s="2">
        <v>73.169499999999999</v>
      </c>
      <c r="I157">
        <f t="shared" si="12"/>
        <v>0</v>
      </c>
      <c r="J157">
        <f t="shared" si="13"/>
        <v>-0.15657827155401804</v>
      </c>
      <c r="K157">
        <f t="shared" si="14"/>
        <v>-4.0999999999999996</v>
      </c>
      <c r="L157">
        <f t="shared" si="15"/>
        <v>-4.2565782715540177</v>
      </c>
      <c r="N157">
        <f t="shared" si="16"/>
        <v>73.169499999999999</v>
      </c>
    </row>
    <row r="158" spans="1:14" ht="16" x14ac:dyDescent="0.2">
      <c r="A158" t="s">
        <v>6</v>
      </c>
      <c r="B158" t="s">
        <v>9</v>
      </c>
      <c r="C158">
        <v>15.9</v>
      </c>
      <c r="D158">
        <v>8.0055920811269292</v>
      </c>
      <c r="E158">
        <v>0.17</v>
      </c>
      <c r="F158" s="2">
        <v>75.358999999999995</v>
      </c>
      <c r="G158" s="2">
        <v>75.358999999999995</v>
      </c>
      <c r="I158">
        <f t="shared" si="12"/>
        <v>0</v>
      </c>
      <c r="J158">
        <f t="shared" si="13"/>
        <v>-0.15657827155401804</v>
      </c>
      <c r="K158">
        <f t="shared" si="14"/>
        <v>-4.0999999999999996</v>
      </c>
      <c r="L158">
        <f t="shared" si="15"/>
        <v>-4.2565782715540177</v>
      </c>
      <c r="N158">
        <f t="shared" si="16"/>
        <v>75.358999999999995</v>
      </c>
    </row>
    <row r="159" spans="1:14" ht="16" x14ac:dyDescent="0.2">
      <c r="A159" t="s">
        <v>6</v>
      </c>
      <c r="B159" t="s">
        <v>9</v>
      </c>
      <c r="C159">
        <v>19.7</v>
      </c>
      <c r="D159">
        <v>8.0130919045532991</v>
      </c>
      <c r="E159">
        <v>0.2</v>
      </c>
      <c r="F159" s="2">
        <v>69.527500000000003</v>
      </c>
      <c r="G159" s="2">
        <v>69.527500000000003</v>
      </c>
      <c r="I159">
        <f t="shared" si="12"/>
        <v>1.0499999999999999E-2</v>
      </c>
      <c r="J159">
        <f t="shared" si="13"/>
        <v>-0.36657332749237526</v>
      </c>
      <c r="K159">
        <f t="shared" si="14"/>
        <v>-0.30000000000000071</v>
      </c>
      <c r="L159">
        <f t="shared" si="15"/>
        <v>-0.65607332749237601</v>
      </c>
      <c r="N159">
        <f t="shared" si="16"/>
        <v>69.527500000000003</v>
      </c>
    </row>
    <row r="160" spans="1:14" ht="16" x14ac:dyDescent="0.2">
      <c r="A160" t="s">
        <v>6</v>
      </c>
      <c r="B160" t="s">
        <v>9</v>
      </c>
      <c r="C160">
        <v>19.7</v>
      </c>
      <c r="D160">
        <v>8.0130919045532991</v>
      </c>
      <c r="E160">
        <v>0.2</v>
      </c>
      <c r="F160" s="2">
        <v>74.111500000000007</v>
      </c>
      <c r="G160" s="2">
        <v>74.111500000000007</v>
      </c>
      <c r="I160">
        <f t="shared" si="12"/>
        <v>1.0499999999999999E-2</v>
      </c>
      <c r="J160">
        <f t="shared" si="13"/>
        <v>-0.36657332749237526</v>
      </c>
      <c r="K160">
        <f t="shared" si="14"/>
        <v>-0.30000000000000071</v>
      </c>
      <c r="L160">
        <f t="shared" si="15"/>
        <v>-0.65607332749237601</v>
      </c>
      <c r="N160">
        <f t="shared" si="16"/>
        <v>74.111500000000007</v>
      </c>
    </row>
    <row r="161" spans="1:14" ht="16" x14ac:dyDescent="0.2">
      <c r="A161" t="s">
        <v>6</v>
      </c>
      <c r="B161" t="s">
        <v>9</v>
      </c>
      <c r="C161">
        <v>19.7</v>
      </c>
      <c r="D161">
        <v>8.0130919045532991</v>
      </c>
      <c r="E161">
        <v>0.2</v>
      </c>
      <c r="F161" s="2">
        <v>76.056250000000006</v>
      </c>
      <c r="G161" s="2">
        <v>76.056250000000006</v>
      </c>
      <c r="I161">
        <f t="shared" si="12"/>
        <v>1.0499999999999999E-2</v>
      </c>
      <c r="J161">
        <f t="shared" si="13"/>
        <v>-0.36657332749237526</v>
      </c>
      <c r="K161">
        <f t="shared" si="14"/>
        <v>-0.30000000000000071</v>
      </c>
      <c r="L161">
        <f t="shared" si="15"/>
        <v>-0.65607332749237601</v>
      </c>
      <c r="N161">
        <f t="shared" si="16"/>
        <v>76.056250000000006</v>
      </c>
    </row>
    <row r="162" spans="1:14" ht="16" x14ac:dyDescent="0.2">
      <c r="A162" t="s">
        <v>6</v>
      </c>
      <c r="B162" t="s">
        <v>9</v>
      </c>
      <c r="C162">
        <v>19.7</v>
      </c>
      <c r="D162">
        <v>8.0130919045532991</v>
      </c>
      <c r="E162">
        <v>0.2</v>
      </c>
      <c r="F162" s="2">
        <v>71.962999999999994</v>
      </c>
      <c r="G162" s="2">
        <v>71.962999999999994</v>
      </c>
      <c r="I162">
        <f t="shared" si="12"/>
        <v>1.0499999999999999E-2</v>
      </c>
      <c r="J162">
        <f t="shared" si="13"/>
        <v>-0.36657332749237526</v>
      </c>
      <c r="K162">
        <f t="shared" si="14"/>
        <v>-0.30000000000000071</v>
      </c>
      <c r="L162">
        <f t="shared" si="15"/>
        <v>-0.65607332749237601</v>
      </c>
      <c r="N162">
        <f t="shared" si="16"/>
        <v>71.962999999999994</v>
      </c>
    </row>
    <row r="163" spans="1:14" ht="16" x14ac:dyDescent="0.2">
      <c r="A163" t="s">
        <v>6</v>
      </c>
      <c r="B163" t="s">
        <v>9</v>
      </c>
      <c r="C163">
        <v>19.7</v>
      </c>
      <c r="D163">
        <v>8.0130919045532991</v>
      </c>
      <c r="E163">
        <v>0.2</v>
      </c>
      <c r="F163" s="2">
        <v>80.514750000000006</v>
      </c>
      <c r="G163" s="2">
        <v>80.514750000000006</v>
      </c>
      <c r="I163">
        <f t="shared" si="12"/>
        <v>1.0499999999999999E-2</v>
      </c>
      <c r="J163">
        <f t="shared" si="13"/>
        <v>-0.36657332749237526</v>
      </c>
      <c r="K163">
        <f t="shared" si="14"/>
        <v>-0.30000000000000071</v>
      </c>
      <c r="L163">
        <f t="shared" si="15"/>
        <v>-0.65607332749237601</v>
      </c>
      <c r="N163">
        <f t="shared" si="16"/>
        <v>80.514750000000006</v>
      </c>
    </row>
    <row r="164" spans="1:14" ht="16" x14ac:dyDescent="0.2">
      <c r="A164" t="s">
        <v>6</v>
      </c>
      <c r="B164" t="s">
        <v>9</v>
      </c>
      <c r="C164">
        <v>19.7</v>
      </c>
      <c r="D164">
        <v>8.0130919045532991</v>
      </c>
      <c r="E164">
        <v>0.2</v>
      </c>
      <c r="F164" s="2">
        <v>71.192999999999998</v>
      </c>
      <c r="G164" s="2">
        <v>71.192999999999998</v>
      </c>
      <c r="I164">
        <f t="shared" si="12"/>
        <v>1.0499999999999999E-2</v>
      </c>
      <c r="J164">
        <f t="shared" si="13"/>
        <v>-0.36657332749237526</v>
      </c>
      <c r="K164">
        <f t="shared" si="14"/>
        <v>-0.30000000000000071</v>
      </c>
      <c r="L164">
        <f t="shared" si="15"/>
        <v>-0.65607332749237601</v>
      </c>
      <c r="N164">
        <f t="shared" si="16"/>
        <v>71.192999999999998</v>
      </c>
    </row>
    <row r="165" spans="1:14" ht="16" x14ac:dyDescent="0.2">
      <c r="A165" t="s">
        <v>6</v>
      </c>
      <c r="B165" t="s">
        <v>9</v>
      </c>
      <c r="C165">
        <v>19.7</v>
      </c>
      <c r="D165">
        <v>8.0130919045532991</v>
      </c>
      <c r="E165">
        <v>0.2</v>
      </c>
      <c r="F165" s="2">
        <v>75.853250000000003</v>
      </c>
      <c r="G165" s="2">
        <v>75.853250000000003</v>
      </c>
      <c r="I165">
        <f t="shared" si="12"/>
        <v>1.0499999999999999E-2</v>
      </c>
      <c r="J165">
        <f t="shared" si="13"/>
        <v>-0.36657332749237526</v>
      </c>
      <c r="K165">
        <f t="shared" si="14"/>
        <v>-0.30000000000000071</v>
      </c>
      <c r="L165">
        <f t="shared" si="15"/>
        <v>-0.65607332749237601</v>
      </c>
      <c r="N165">
        <f t="shared" si="16"/>
        <v>75.853250000000003</v>
      </c>
    </row>
    <row r="166" spans="1:14" ht="16" x14ac:dyDescent="0.2">
      <c r="A166" t="s">
        <v>6</v>
      </c>
      <c r="B166" t="s">
        <v>9</v>
      </c>
      <c r="C166">
        <v>19.7</v>
      </c>
      <c r="D166">
        <v>8.0130919045532991</v>
      </c>
      <c r="E166">
        <v>0.2</v>
      </c>
      <c r="F166" s="2">
        <v>72.339749999999995</v>
      </c>
      <c r="G166" s="2">
        <v>72.339749999999995</v>
      </c>
      <c r="I166">
        <f t="shared" si="12"/>
        <v>1.0499999999999999E-2</v>
      </c>
      <c r="J166">
        <f t="shared" si="13"/>
        <v>-0.36657332749237526</v>
      </c>
      <c r="K166">
        <f t="shared" si="14"/>
        <v>-0.30000000000000071</v>
      </c>
      <c r="L166">
        <f t="shared" si="15"/>
        <v>-0.65607332749237601</v>
      </c>
      <c r="N166">
        <f t="shared" si="16"/>
        <v>72.339749999999995</v>
      </c>
    </row>
    <row r="167" spans="1:14" ht="16" x14ac:dyDescent="0.2">
      <c r="A167" t="s">
        <v>6</v>
      </c>
      <c r="B167" t="s">
        <v>9</v>
      </c>
      <c r="C167">
        <v>19.7</v>
      </c>
      <c r="D167">
        <v>8.0130919045532991</v>
      </c>
      <c r="E167">
        <v>0.2</v>
      </c>
      <c r="F167" s="2">
        <v>73.5715</v>
      </c>
      <c r="G167" s="2">
        <v>73.5715</v>
      </c>
      <c r="I167">
        <f t="shared" si="12"/>
        <v>1.0499999999999999E-2</v>
      </c>
      <c r="J167">
        <f t="shared" si="13"/>
        <v>-0.36657332749237526</v>
      </c>
      <c r="K167">
        <f t="shared" si="14"/>
        <v>-0.30000000000000071</v>
      </c>
      <c r="L167">
        <f t="shared" si="15"/>
        <v>-0.65607332749237601</v>
      </c>
      <c r="N167">
        <f t="shared" si="16"/>
        <v>73.5715</v>
      </c>
    </row>
    <row r="168" spans="1:14" ht="16" x14ac:dyDescent="0.2">
      <c r="A168" t="s">
        <v>6</v>
      </c>
      <c r="B168" t="s">
        <v>9</v>
      </c>
      <c r="C168">
        <v>19.7</v>
      </c>
      <c r="D168">
        <v>8.0130919045532991</v>
      </c>
      <c r="E168">
        <v>0.2</v>
      </c>
      <c r="F168" s="2">
        <v>75.248500000000007</v>
      </c>
      <c r="G168" s="2">
        <v>75.248500000000007</v>
      </c>
      <c r="I168">
        <f t="shared" si="12"/>
        <v>1.0499999999999999E-2</v>
      </c>
      <c r="J168">
        <f t="shared" si="13"/>
        <v>-0.36657332749237526</v>
      </c>
      <c r="K168">
        <f t="shared" si="14"/>
        <v>-0.30000000000000071</v>
      </c>
      <c r="L168">
        <f t="shared" si="15"/>
        <v>-0.65607332749237601</v>
      </c>
      <c r="N168">
        <f t="shared" si="16"/>
        <v>75.248500000000007</v>
      </c>
    </row>
    <row r="169" spans="1:14" ht="16" x14ac:dyDescent="0.2">
      <c r="A169" t="s">
        <v>6</v>
      </c>
      <c r="B169" t="s">
        <v>9</v>
      </c>
      <c r="C169">
        <v>19.7</v>
      </c>
      <c r="D169">
        <v>8.0130919045532991</v>
      </c>
      <c r="E169">
        <v>0.2</v>
      </c>
      <c r="F169" s="2">
        <v>73.808999999999997</v>
      </c>
      <c r="G169" s="2">
        <v>73.808999999999997</v>
      </c>
      <c r="I169">
        <f t="shared" si="12"/>
        <v>1.0499999999999999E-2</v>
      </c>
      <c r="J169">
        <f t="shared" si="13"/>
        <v>-0.36657332749237526</v>
      </c>
      <c r="K169">
        <f t="shared" si="14"/>
        <v>-0.30000000000000071</v>
      </c>
      <c r="L169">
        <f t="shared" si="15"/>
        <v>-0.65607332749237601</v>
      </c>
      <c r="N169">
        <f t="shared" si="16"/>
        <v>73.808999999999997</v>
      </c>
    </row>
    <row r="170" spans="1:14" ht="16" x14ac:dyDescent="0.2">
      <c r="A170" t="s">
        <v>6</v>
      </c>
      <c r="B170" t="s">
        <v>9</v>
      </c>
      <c r="C170">
        <v>19.7</v>
      </c>
      <c r="D170">
        <v>8.0130919045532991</v>
      </c>
      <c r="E170">
        <v>0.2</v>
      </c>
      <c r="F170" s="2">
        <v>73.996250000000003</v>
      </c>
      <c r="G170" s="2">
        <v>73.996250000000003</v>
      </c>
      <c r="I170">
        <f t="shared" si="12"/>
        <v>1.0499999999999999E-2</v>
      </c>
      <c r="J170">
        <f t="shared" si="13"/>
        <v>-0.36657332749237526</v>
      </c>
      <c r="K170">
        <f t="shared" si="14"/>
        <v>-0.30000000000000071</v>
      </c>
      <c r="L170">
        <f t="shared" si="15"/>
        <v>-0.65607332749237601</v>
      </c>
      <c r="N170">
        <f t="shared" si="16"/>
        <v>73.996250000000003</v>
      </c>
    </row>
    <row r="171" spans="1:14" ht="16" x14ac:dyDescent="0.2">
      <c r="A171" t="s">
        <v>6</v>
      </c>
      <c r="B171" t="s">
        <v>9</v>
      </c>
      <c r="C171">
        <v>19.7</v>
      </c>
      <c r="D171">
        <v>8.0130919045532991</v>
      </c>
      <c r="E171">
        <v>0.2</v>
      </c>
      <c r="F171" s="2">
        <v>72.671499999999995</v>
      </c>
      <c r="G171" s="2">
        <v>72.671499999999995</v>
      </c>
      <c r="I171">
        <f t="shared" si="12"/>
        <v>1.0499999999999999E-2</v>
      </c>
      <c r="J171">
        <f t="shared" si="13"/>
        <v>-0.36657332749237526</v>
      </c>
      <c r="K171">
        <f t="shared" si="14"/>
        <v>-0.30000000000000071</v>
      </c>
      <c r="L171">
        <f t="shared" si="15"/>
        <v>-0.65607332749237601</v>
      </c>
      <c r="N171">
        <f t="shared" si="16"/>
        <v>72.671499999999995</v>
      </c>
    </row>
    <row r="172" spans="1:14" ht="16" x14ac:dyDescent="0.2">
      <c r="A172" t="s">
        <v>6</v>
      </c>
      <c r="B172" t="s">
        <v>9</v>
      </c>
      <c r="C172">
        <v>19.7</v>
      </c>
      <c r="D172">
        <v>8.0130919045532991</v>
      </c>
      <c r="E172">
        <v>0.2</v>
      </c>
      <c r="F172" s="2">
        <v>80.028750000000002</v>
      </c>
      <c r="G172" s="2">
        <v>80.028750000000002</v>
      </c>
      <c r="I172">
        <f t="shared" si="12"/>
        <v>1.0499999999999999E-2</v>
      </c>
      <c r="J172">
        <f t="shared" si="13"/>
        <v>-0.36657332749237526</v>
      </c>
      <c r="K172">
        <f t="shared" si="14"/>
        <v>-0.30000000000000071</v>
      </c>
      <c r="L172">
        <f t="shared" si="15"/>
        <v>-0.65607332749237601</v>
      </c>
      <c r="N172">
        <f t="shared" si="16"/>
        <v>80.028750000000002</v>
      </c>
    </row>
    <row r="173" spans="1:14" ht="16" x14ac:dyDescent="0.2">
      <c r="A173" t="s">
        <v>6</v>
      </c>
      <c r="B173" t="s">
        <v>9</v>
      </c>
      <c r="C173">
        <v>19.7</v>
      </c>
      <c r="D173">
        <v>8.0130919045532991</v>
      </c>
      <c r="E173">
        <v>0.2</v>
      </c>
      <c r="F173" s="2">
        <v>75.295249999999996</v>
      </c>
      <c r="G173" s="2">
        <v>75.295249999999996</v>
      </c>
      <c r="I173">
        <f t="shared" si="12"/>
        <v>1.0499999999999999E-2</v>
      </c>
      <c r="J173">
        <f t="shared" si="13"/>
        <v>-0.36657332749237526</v>
      </c>
      <c r="K173">
        <f t="shared" si="14"/>
        <v>-0.30000000000000071</v>
      </c>
      <c r="L173">
        <f t="shared" si="15"/>
        <v>-0.65607332749237601</v>
      </c>
      <c r="N173">
        <f t="shared" si="16"/>
        <v>75.295249999999996</v>
      </c>
    </row>
    <row r="174" spans="1:14" ht="16" x14ac:dyDescent="0.2">
      <c r="A174" t="s">
        <v>6</v>
      </c>
      <c r="B174" t="s">
        <v>9</v>
      </c>
      <c r="C174">
        <v>19.7</v>
      </c>
      <c r="D174">
        <v>8.0130919045532991</v>
      </c>
      <c r="E174">
        <v>0.2</v>
      </c>
      <c r="F174" s="2">
        <v>76.283749999999998</v>
      </c>
      <c r="G174" s="2">
        <v>76.283749999999998</v>
      </c>
      <c r="I174">
        <f t="shared" si="12"/>
        <v>1.0499999999999999E-2</v>
      </c>
      <c r="J174">
        <f t="shared" si="13"/>
        <v>-0.36657332749237526</v>
      </c>
      <c r="K174">
        <f t="shared" si="14"/>
        <v>-0.30000000000000071</v>
      </c>
      <c r="L174">
        <f t="shared" si="15"/>
        <v>-0.65607332749237601</v>
      </c>
      <c r="N174">
        <f t="shared" si="16"/>
        <v>76.283749999999998</v>
      </c>
    </row>
    <row r="175" spans="1:14" ht="16" x14ac:dyDescent="0.2">
      <c r="A175" t="s">
        <v>6</v>
      </c>
      <c r="B175" t="s">
        <v>9</v>
      </c>
      <c r="C175">
        <v>25.1</v>
      </c>
      <c r="D175">
        <v>8.00409066367585</v>
      </c>
      <c r="E175">
        <v>0.19</v>
      </c>
      <c r="F175" s="2">
        <v>63.750500000000002</v>
      </c>
      <c r="G175" s="2">
        <v>63.750500000000002</v>
      </c>
      <c r="I175">
        <f t="shared" si="12"/>
        <v>6.9999999999999958E-3</v>
      </c>
      <c r="J175">
        <f t="shared" si="13"/>
        <v>-0.11453858292379948</v>
      </c>
      <c r="K175">
        <f t="shared" si="14"/>
        <v>5.1000000000000014</v>
      </c>
      <c r="L175">
        <f t="shared" si="15"/>
        <v>4.9924614170762016</v>
      </c>
      <c r="N175">
        <f t="shared" si="16"/>
        <v>63.750500000000002</v>
      </c>
    </row>
    <row r="176" spans="1:14" ht="16" x14ac:dyDescent="0.2">
      <c r="A176" t="s">
        <v>6</v>
      </c>
      <c r="B176" t="s">
        <v>9</v>
      </c>
      <c r="C176">
        <v>25.1</v>
      </c>
      <c r="D176">
        <v>8.00409066367585</v>
      </c>
      <c r="E176">
        <v>0.19</v>
      </c>
      <c r="F176" s="2">
        <v>74.728499999999997</v>
      </c>
      <c r="G176" s="2">
        <v>74.728499999999997</v>
      </c>
      <c r="I176">
        <f t="shared" si="12"/>
        <v>6.9999999999999958E-3</v>
      </c>
      <c r="J176">
        <f t="shared" si="13"/>
        <v>-0.11453858292379948</v>
      </c>
      <c r="K176">
        <f t="shared" si="14"/>
        <v>5.1000000000000014</v>
      </c>
      <c r="L176">
        <f t="shared" si="15"/>
        <v>4.9924614170762016</v>
      </c>
      <c r="N176">
        <f t="shared" si="16"/>
        <v>74.728499999999997</v>
      </c>
    </row>
    <row r="177" spans="1:15" ht="16" x14ac:dyDescent="0.2">
      <c r="A177" t="s">
        <v>6</v>
      </c>
      <c r="B177" t="s">
        <v>9</v>
      </c>
      <c r="C177">
        <v>25.1</v>
      </c>
      <c r="D177">
        <v>8.00409066367585</v>
      </c>
      <c r="E177">
        <v>0.19</v>
      </c>
      <c r="F177" s="2">
        <v>65.597499999999997</v>
      </c>
      <c r="G177" s="2">
        <v>65.597499999999997</v>
      </c>
      <c r="I177">
        <f t="shared" si="12"/>
        <v>6.9999999999999958E-3</v>
      </c>
      <c r="J177">
        <f t="shared" si="13"/>
        <v>-0.11453858292379948</v>
      </c>
      <c r="K177">
        <f t="shared" si="14"/>
        <v>5.1000000000000014</v>
      </c>
      <c r="L177">
        <f t="shared" si="15"/>
        <v>4.9924614170762016</v>
      </c>
      <c r="N177">
        <f t="shared" si="16"/>
        <v>65.597499999999997</v>
      </c>
    </row>
    <row r="178" spans="1:15" ht="16" x14ac:dyDescent="0.2">
      <c r="A178" t="s">
        <v>6</v>
      </c>
      <c r="B178" t="s">
        <v>9</v>
      </c>
      <c r="C178">
        <v>25.1</v>
      </c>
      <c r="D178">
        <v>8.00409066367585</v>
      </c>
      <c r="E178">
        <v>0.19</v>
      </c>
      <c r="F178" s="2">
        <v>73.080749999999995</v>
      </c>
      <c r="G178" s="2">
        <v>73.080749999999995</v>
      </c>
      <c r="I178">
        <f t="shared" si="12"/>
        <v>6.9999999999999958E-3</v>
      </c>
      <c r="J178">
        <f t="shared" si="13"/>
        <v>-0.11453858292379948</v>
      </c>
      <c r="K178">
        <f t="shared" si="14"/>
        <v>5.1000000000000014</v>
      </c>
      <c r="L178">
        <f t="shared" si="15"/>
        <v>4.9924614170762016</v>
      </c>
      <c r="N178">
        <f t="shared" si="16"/>
        <v>73.080749999999995</v>
      </c>
    </row>
    <row r="179" spans="1:15" ht="16" x14ac:dyDescent="0.2">
      <c r="A179" t="s">
        <v>6</v>
      </c>
      <c r="B179" t="s">
        <v>9</v>
      </c>
      <c r="C179">
        <v>25.1</v>
      </c>
      <c r="D179">
        <v>8.00409066367585</v>
      </c>
      <c r="E179">
        <v>0.19</v>
      </c>
      <c r="F179" s="2">
        <v>69.008499999999998</v>
      </c>
      <c r="G179" s="2">
        <v>69.008499999999998</v>
      </c>
      <c r="I179">
        <f t="shared" si="12"/>
        <v>6.9999999999999958E-3</v>
      </c>
      <c r="J179">
        <f t="shared" si="13"/>
        <v>-0.11453858292379948</v>
      </c>
      <c r="K179">
        <f t="shared" si="14"/>
        <v>5.1000000000000014</v>
      </c>
      <c r="L179">
        <f t="shared" si="15"/>
        <v>4.9924614170762016</v>
      </c>
      <c r="N179">
        <f t="shared" si="16"/>
        <v>69.008499999999998</v>
      </c>
    </row>
    <row r="180" spans="1:15" ht="16" x14ac:dyDescent="0.2">
      <c r="A180" t="s">
        <v>6</v>
      </c>
      <c r="B180" t="s">
        <v>9</v>
      </c>
      <c r="C180">
        <v>25.1</v>
      </c>
      <c r="D180">
        <v>8.00409066367585</v>
      </c>
      <c r="E180">
        <v>0.19</v>
      </c>
      <c r="F180" s="2">
        <v>70.129750000000001</v>
      </c>
      <c r="G180" s="2">
        <v>70.129750000000001</v>
      </c>
      <c r="I180">
        <f t="shared" si="12"/>
        <v>6.9999999999999958E-3</v>
      </c>
      <c r="J180">
        <f t="shared" si="13"/>
        <v>-0.11453858292379948</v>
      </c>
      <c r="K180">
        <f t="shared" si="14"/>
        <v>5.1000000000000014</v>
      </c>
      <c r="L180">
        <f t="shared" si="15"/>
        <v>4.9924614170762016</v>
      </c>
      <c r="N180">
        <f t="shared" si="16"/>
        <v>70.129750000000001</v>
      </c>
    </row>
    <row r="181" spans="1:15" ht="16" x14ac:dyDescent="0.2">
      <c r="A181" t="s">
        <v>6</v>
      </c>
      <c r="B181" t="s">
        <v>9</v>
      </c>
      <c r="C181">
        <v>25.1</v>
      </c>
      <c r="D181">
        <v>8.00409066367585</v>
      </c>
      <c r="E181">
        <v>0.19</v>
      </c>
      <c r="F181" s="2">
        <v>76.807749999999999</v>
      </c>
      <c r="G181" s="2">
        <v>76.807749999999999</v>
      </c>
      <c r="I181">
        <f t="shared" si="12"/>
        <v>6.9999999999999958E-3</v>
      </c>
      <c r="J181">
        <f t="shared" si="13"/>
        <v>-0.11453858292379948</v>
      </c>
      <c r="K181">
        <f t="shared" si="14"/>
        <v>5.1000000000000014</v>
      </c>
      <c r="L181">
        <f t="shared" si="15"/>
        <v>4.9924614170762016</v>
      </c>
      <c r="N181">
        <f t="shared" si="16"/>
        <v>76.807749999999999</v>
      </c>
    </row>
    <row r="182" spans="1:15" ht="16" x14ac:dyDescent="0.2">
      <c r="A182" t="s">
        <v>6</v>
      </c>
      <c r="B182" t="s">
        <v>9</v>
      </c>
      <c r="C182">
        <v>25.1</v>
      </c>
      <c r="D182">
        <v>8.00409066367585</v>
      </c>
      <c r="E182">
        <v>0.19</v>
      </c>
      <c r="F182" s="2">
        <v>74.134249999999994</v>
      </c>
      <c r="G182" s="2">
        <v>74.134249999999994</v>
      </c>
      <c r="I182">
        <f t="shared" si="12"/>
        <v>6.9999999999999958E-3</v>
      </c>
      <c r="J182">
        <f t="shared" si="13"/>
        <v>-0.11453858292379948</v>
      </c>
      <c r="K182">
        <f t="shared" si="14"/>
        <v>5.1000000000000014</v>
      </c>
      <c r="L182">
        <f t="shared" si="15"/>
        <v>4.9924614170762016</v>
      </c>
      <c r="N182">
        <f t="shared" si="16"/>
        <v>74.134249999999994</v>
      </c>
    </row>
    <row r="183" spans="1:15" ht="16" x14ac:dyDescent="0.2">
      <c r="A183" t="s">
        <v>6</v>
      </c>
      <c r="B183" t="s">
        <v>9</v>
      </c>
      <c r="C183">
        <v>25.1</v>
      </c>
      <c r="D183">
        <v>8.00409066367585</v>
      </c>
      <c r="E183">
        <v>0.19</v>
      </c>
      <c r="F183" s="2">
        <v>75.284000000000006</v>
      </c>
      <c r="G183" s="2">
        <v>75.284000000000006</v>
      </c>
      <c r="I183">
        <f t="shared" si="12"/>
        <v>6.9999999999999958E-3</v>
      </c>
      <c r="J183">
        <f t="shared" si="13"/>
        <v>-0.11453858292379948</v>
      </c>
      <c r="K183">
        <f t="shared" si="14"/>
        <v>5.1000000000000014</v>
      </c>
      <c r="L183">
        <f t="shared" si="15"/>
        <v>4.9924614170762016</v>
      </c>
      <c r="N183">
        <f t="shared" si="16"/>
        <v>75.284000000000006</v>
      </c>
    </row>
    <row r="184" spans="1:15" ht="16" x14ac:dyDescent="0.2">
      <c r="A184" t="s">
        <v>6</v>
      </c>
      <c r="B184" t="s">
        <v>9</v>
      </c>
      <c r="C184">
        <v>25.1</v>
      </c>
      <c r="D184">
        <v>8.00409066367585</v>
      </c>
      <c r="E184">
        <v>0.19</v>
      </c>
      <c r="F184" s="2">
        <v>68.863749999999996</v>
      </c>
      <c r="G184" s="2">
        <v>68.863749999999996</v>
      </c>
      <c r="I184">
        <f t="shared" si="12"/>
        <v>6.9999999999999958E-3</v>
      </c>
      <c r="J184">
        <f t="shared" si="13"/>
        <v>-0.11453858292379948</v>
      </c>
      <c r="K184">
        <f t="shared" si="14"/>
        <v>5.1000000000000014</v>
      </c>
      <c r="L184">
        <f t="shared" si="15"/>
        <v>4.9924614170762016</v>
      </c>
      <c r="N184">
        <f t="shared" si="16"/>
        <v>68.863749999999996</v>
      </c>
    </row>
    <row r="185" spans="1:15" ht="16" x14ac:dyDescent="0.2">
      <c r="A185" t="s">
        <v>6</v>
      </c>
      <c r="B185" t="s">
        <v>9</v>
      </c>
      <c r="C185">
        <v>30.2</v>
      </c>
      <c r="D185">
        <v>8.0434916001244492</v>
      </c>
      <c r="E185">
        <v>0.19</v>
      </c>
      <c r="F185" s="2">
        <v>55.849999999999994</v>
      </c>
      <c r="G185" s="2">
        <v>55.849999999999994</v>
      </c>
      <c r="I185">
        <f t="shared" si="12"/>
        <v>6.9999999999999958E-3</v>
      </c>
      <c r="J185">
        <f t="shared" si="13"/>
        <v>-1.2177648034845774</v>
      </c>
      <c r="K185">
        <f t="shared" si="14"/>
        <v>10.199999999999999</v>
      </c>
      <c r="L185">
        <f t="shared" si="15"/>
        <v>8.9892351965154216</v>
      </c>
      <c r="N185">
        <f t="shared" si="16"/>
        <v>55.849999999999994</v>
      </c>
    </row>
    <row r="186" spans="1:15" ht="16" x14ac:dyDescent="0.2">
      <c r="A186" t="s">
        <v>6</v>
      </c>
      <c r="B186" t="s">
        <v>9</v>
      </c>
      <c r="C186">
        <v>30.2</v>
      </c>
      <c r="D186">
        <v>8.0434916001244492</v>
      </c>
      <c r="E186">
        <v>0.19</v>
      </c>
      <c r="F186" s="2">
        <v>56.75</v>
      </c>
      <c r="G186" s="2">
        <v>56.75</v>
      </c>
      <c r="I186">
        <f t="shared" si="12"/>
        <v>6.9999999999999958E-3</v>
      </c>
      <c r="J186">
        <f t="shared" si="13"/>
        <v>-1.2177648034845774</v>
      </c>
      <c r="K186">
        <f t="shared" si="14"/>
        <v>10.199999999999999</v>
      </c>
      <c r="L186">
        <f t="shared" si="15"/>
        <v>8.9892351965154216</v>
      </c>
      <c r="N186">
        <f t="shared" si="16"/>
        <v>56.75</v>
      </c>
    </row>
    <row r="187" spans="1:15" ht="16" x14ac:dyDescent="0.2">
      <c r="A187" t="s">
        <v>6</v>
      </c>
      <c r="B187" t="s">
        <v>9</v>
      </c>
      <c r="C187">
        <v>30.2</v>
      </c>
      <c r="D187">
        <v>8.0434916001244492</v>
      </c>
      <c r="E187">
        <v>0.19</v>
      </c>
      <c r="F187" s="2">
        <v>55.974999999999994</v>
      </c>
      <c r="G187" s="2">
        <v>55.974999999999994</v>
      </c>
      <c r="I187">
        <f t="shared" si="12"/>
        <v>6.9999999999999958E-3</v>
      </c>
      <c r="J187">
        <f t="shared" si="13"/>
        <v>-1.2177648034845774</v>
      </c>
      <c r="K187">
        <f t="shared" si="14"/>
        <v>10.199999999999999</v>
      </c>
      <c r="L187">
        <f t="shared" si="15"/>
        <v>8.9892351965154216</v>
      </c>
      <c r="N187">
        <f t="shared" si="16"/>
        <v>55.974999999999994</v>
      </c>
    </row>
    <row r="188" spans="1:15" ht="16" x14ac:dyDescent="0.2">
      <c r="A188" t="s">
        <v>6</v>
      </c>
      <c r="B188" t="s">
        <v>9</v>
      </c>
      <c r="C188">
        <v>30.2</v>
      </c>
      <c r="D188">
        <v>8.0434916001244492</v>
      </c>
      <c r="E188">
        <v>0.19</v>
      </c>
      <c r="F188" s="2">
        <v>65.349999999999994</v>
      </c>
      <c r="G188" s="2">
        <v>65.349999999999994</v>
      </c>
      <c r="I188">
        <f t="shared" si="12"/>
        <v>6.9999999999999958E-3</v>
      </c>
      <c r="J188">
        <f t="shared" si="13"/>
        <v>-1.2177648034845774</v>
      </c>
      <c r="K188">
        <f t="shared" si="14"/>
        <v>10.199999999999999</v>
      </c>
      <c r="L188">
        <f t="shared" si="15"/>
        <v>8.9892351965154216</v>
      </c>
      <c r="N188">
        <f t="shared" si="16"/>
        <v>65.349999999999994</v>
      </c>
    </row>
    <row r="189" spans="1:15" ht="16" x14ac:dyDescent="0.2">
      <c r="A189" t="s">
        <v>6</v>
      </c>
      <c r="B189" t="s">
        <v>9</v>
      </c>
      <c r="C189">
        <v>30.2</v>
      </c>
      <c r="D189">
        <v>8.0434916001244492</v>
      </c>
      <c r="E189">
        <v>0.19</v>
      </c>
      <c r="F189" s="2">
        <v>72.95</v>
      </c>
      <c r="G189" s="2">
        <v>72.95</v>
      </c>
      <c r="I189">
        <f t="shared" si="12"/>
        <v>6.9999999999999958E-3</v>
      </c>
      <c r="J189">
        <f t="shared" si="13"/>
        <v>-1.2177648034845774</v>
      </c>
      <c r="K189">
        <f t="shared" si="14"/>
        <v>10.199999999999999</v>
      </c>
      <c r="L189">
        <f t="shared" si="15"/>
        <v>8.9892351965154216</v>
      </c>
      <c r="N189">
        <f t="shared" si="16"/>
        <v>72.95</v>
      </c>
    </row>
    <row r="190" spans="1:15" ht="16" x14ac:dyDescent="0.2">
      <c r="A190" t="s">
        <v>6</v>
      </c>
      <c r="B190" t="s">
        <v>9</v>
      </c>
      <c r="C190">
        <v>30.2</v>
      </c>
      <c r="D190">
        <v>8.0434916001244492</v>
      </c>
      <c r="E190">
        <v>0.19</v>
      </c>
      <c r="F190" s="2">
        <v>58.924999999999997</v>
      </c>
      <c r="G190" s="2">
        <v>58.924999999999997</v>
      </c>
      <c r="I190">
        <f t="shared" si="12"/>
        <v>6.9999999999999958E-3</v>
      </c>
      <c r="J190">
        <f t="shared" si="13"/>
        <v>-1.2177648034845774</v>
      </c>
      <c r="K190">
        <f t="shared" si="14"/>
        <v>10.199999999999999</v>
      </c>
      <c r="L190">
        <f t="shared" si="15"/>
        <v>8.9892351965154216</v>
      </c>
      <c r="N190">
        <f t="shared" si="16"/>
        <v>58.924999999999997</v>
      </c>
    </row>
    <row r="191" spans="1:15" ht="16" x14ac:dyDescent="0.2">
      <c r="A191" t="s">
        <v>6</v>
      </c>
      <c r="B191" t="s">
        <v>9</v>
      </c>
      <c r="C191">
        <v>30.2</v>
      </c>
      <c r="D191">
        <v>8.0434916001244492</v>
      </c>
      <c r="E191">
        <v>0.19</v>
      </c>
      <c r="F191" s="2">
        <v>73.375</v>
      </c>
      <c r="G191" s="2">
        <v>73.375</v>
      </c>
      <c r="I191">
        <f t="shared" si="12"/>
        <v>6.9999999999999958E-3</v>
      </c>
      <c r="J191">
        <f t="shared" si="13"/>
        <v>-1.2177648034845774</v>
      </c>
      <c r="K191">
        <f t="shared" si="14"/>
        <v>10.199999999999999</v>
      </c>
      <c r="L191">
        <f t="shared" si="15"/>
        <v>8.9892351965154216</v>
      </c>
      <c r="N191">
        <f t="shared" si="16"/>
        <v>73.375</v>
      </c>
    </row>
    <row r="192" spans="1:15" ht="16" x14ac:dyDescent="0.2">
      <c r="A192" t="s">
        <v>10</v>
      </c>
      <c r="B192" t="s">
        <v>11</v>
      </c>
      <c r="C192" s="3">
        <v>20.5</v>
      </c>
      <c r="D192">
        <v>7.6763148259999996</v>
      </c>
      <c r="E192" s="4">
        <v>0.19</v>
      </c>
      <c r="F192" s="2">
        <v>61.801749999999998</v>
      </c>
      <c r="G192" s="2">
        <v>61.801749999999998</v>
      </c>
      <c r="I192">
        <f t="shared" si="12"/>
        <v>6.9999999999999958E-3</v>
      </c>
      <c r="J192">
        <f t="shared" si="13"/>
        <v>9.0631848720000114</v>
      </c>
      <c r="K192">
        <f t="shared" si="14"/>
        <v>0.5</v>
      </c>
      <c r="L192">
        <f t="shared" si="15"/>
        <v>9.5701848720000111</v>
      </c>
      <c r="O192">
        <f t="shared" ref="O192:O223" si="17">G192</f>
        <v>61.801749999999998</v>
      </c>
    </row>
    <row r="193" spans="1:15" ht="16" x14ac:dyDescent="0.2">
      <c r="A193" t="s">
        <v>10</v>
      </c>
      <c r="B193" t="s">
        <v>11</v>
      </c>
      <c r="C193" s="3">
        <v>20.5</v>
      </c>
      <c r="D193">
        <v>7.6763148259999996</v>
      </c>
      <c r="E193" s="4">
        <v>0.19</v>
      </c>
      <c r="F193" s="2">
        <v>53.124499999999998</v>
      </c>
      <c r="G193" s="2">
        <v>53.124499999999998</v>
      </c>
      <c r="I193">
        <f t="shared" si="12"/>
        <v>6.9999999999999958E-3</v>
      </c>
      <c r="J193">
        <f t="shared" si="13"/>
        <v>9.0631848720000114</v>
      </c>
      <c r="K193">
        <f t="shared" si="14"/>
        <v>0.5</v>
      </c>
      <c r="L193">
        <f t="shared" si="15"/>
        <v>9.5701848720000111</v>
      </c>
      <c r="O193">
        <f t="shared" si="17"/>
        <v>53.124499999999998</v>
      </c>
    </row>
    <row r="194" spans="1:15" ht="16" x14ac:dyDescent="0.2">
      <c r="A194" t="s">
        <v>10</v>
      </c>
      <c r="B194" t="s">
        <v>11</v>
      </c>
      <c r="C194" s="3">
        <v>20.5</v>
      </c>
      <c r="D194">
        <v>7.6763148259999996</v>
      </c>
      <c r="E194" s="4">
        <v>0.19</v>
      </c>
      <c r="F194" s="2">
        <v>64.987750000000005</v>
      </c>
      <c r="G194" s="2">
        <v>64.987750000000005</v>
      </c>
      <c r="I194">
        <f t="shared" ref="I194:I257" si="18">(E194-0.17)*$S$2</f>
        <v>6.9999999999999958E-3</v>
      </c>
      <c r="J194">
        <f t="shared" ref="J194:J257" si="19">(8-D194)*$S$4</f>
        <v>9.0631848720000114</v>
      </c>
      <c r="K194">
        <f t="shared" ref="K194:K257" si="20">(C194-20)*$S$3</f>
        <v>0.5</v>
      </c>
      <c r="L194">
        <f t="shared" ref="L194:L257" si="21">SUM(I194:K194)+($V$2*(J194*K194))</f>
        <v>9.5701848720000111</v>
      </c>
      <c r="O194">
        <f t="shared" si="17"/>
        <v>64.987750000000005</v>
      </c>
    </row>
    <row r="195" spans="1:15" ht="16" x14ac:dyDescent="0.2">
      <c r="A195" t="s">
        <v>10</v>
      </c>
      <c r="B195" t="s">
        <v>11</v>
      </c>
      <c r="C195" s="3">
        <v>20.5</v>
      </c>
      <c r="D195">
        <v>7.6763148259999996</v>
      </c>
      <c r="E195" s="4">
        <v>0.19</v>
      </c>
      <c r="F195" s="2">
        <v>72.350499999999997</v>
      </c>
      <c r="G195" s="2">
        <v>72.350499999999997</v>
      </c>
      <c r="I195">
        <f t="shared" si="18"/>
        <v>6.9999999999999958E-3</v>
      </c>
      <c r="J195">
        <f t="shared" si="19"/>
        <v>9.0631848720000114</v>
      </c>
      <c r="K195">
        <f t="shared" si="20"/>
        <v>0.5</v>
      </c>
      <c r="L195">
        <f t="shared" si="21"/>
        <v>9.5701848720000111</v>
      </c>
      <c r="O195">
        <f t="shared" si="17"/>
        <v>72.350499999999997</v>
      </c>
    </row>
    <row r="196" spans="1:15" ht="16" x14ac:dyDescent="0.2">
      <c r="A196" t="s">
        <v>10</v>
      </c>
      <c r="B196" t="s">
        <v>11</v>
      </c>
      <c r="C196" s="3">
        <v>20.5</v>
      </c>
      <c r="D196">
        <v>7.6763148259999996</v>
      </c>
      <c r="E196" s="4">
        <v>0.19</v>
      </c>
      <c r="F196" s="2">
        <v>69.716250000000002</v>
      </c>
      <c r="G196" s="2">
        <v>69.716250000000002</v>
      </c>
      <c r="I196">
        <f t="shared" si="18"/>
        <v>6.9999999999999958E-3</v>
      </c>
      <c r="J196">
        <f t="shared" si="19"/>
        <v>9.0631848720000114</v>
      </c>
      <c r="K196">
        <f t="shared" si="20"/>
        <v>0.5</v>
      </c>
      <c r="L196">
        <f t="shared" si="21"/>
        <v>9.5701848720000111</v>
      </c>
      <c r="O196">
        <f t="shared" si="17"/>
        <v>69.716250000000002</v>
      </c>
    </row>
    <row r="197" spans="1:15" ht="16" x14ac:dyDescent="0.2">
      <c r="A197" t="s">
        <v>10</v>
      </c>
      <c r="B197" t="s">
        <v>11</v>
      </c>
      <c r="C197" s="3">
        <v>20.5</v>
      </c>
      <c r="D197">
        <v>7.6763148259999996</v>
      </c>
      <c r="E197" s="4">
        <v>0.19</v>
      </c>
      <c r="F197" s="2">
        <v>74.718500000000006</v>
      </c>
      <c r="G197" s="2">
        <v>74.718500000000006</v>
      </c>
      <c r="I197">
        <f t="shared" si="18"/>
        <v>6.9999999999999958E-3</v>
      </c>
      <c r="J197">
        <f t="shared" si="19"/>
        <v>9.0631848720000114</v>
      </c>
      <c r="K197">
        <f t="shared" si="20"/>
        <v>0.5</v>
      </c>
      <c r="L197">
        <f t="shared" si="21"/>
        <v>9.5701848720000111</v>
      </c>
      <c r="O197">
        <f t="shared" si="17"/>
        <v>74.718500000000006</v>
      </c>
    </row>
    <row r="198" spans="1:15" ht="16" x14ac:dyDescent="0.2">
      <c r="A198" t="s">
        <v>10</v>
      </c>
      <c r="B198" t="s">
        <v>11</v>
      </c>
      <c r="C198" s="3">
        <v>20.5</v>
      </c>
      <c r="D198">
        <v>7.6763148259999996</v>
      </c>
      <c r="E198" s="4">
        <v>0.19</v>
      </c>
      <c r="F198" s="2">
        <v>64.784750000000003</v>
      </c>
      <c r="G198" s="2">
        <v>64.784750000000003</v>
      </c>
      <c r="I198">
        <f t="shared" si="18"/>
        <v>6.9999999999999958E-3</v>
      </c>
      <c r="J198">
        <f t="shared" si="19"/>
        <v>9.0631848720000114</v>
      </c>
      <c r="K198">
        <f t="shared" si="20"/>
        <v>0.5</v>
      </c>
      <c r="L198">
        <f t="shared" si="21"/>
        <v>9.5701848720000111</v>
      </c>
      <c r="O198">
        <f t="shared" si="17"/>
        <v>64.784750000000003</v>
      </c>
    </row>
    <row r="199" spans="1:15" ht="16" x14ac:dyDescent="0.2">
      <c r="A199" t="s">
        <v>10</v>
      </c>
      <c r="B199" t="s">
        <v>11</v>
      </c>
      <c r="C199" s="3">
        <v>20.5</v>
      </c>
      <c r="D199">
        <v>7.6763148259999996</v>
      </c>
      <c r="E199" s="4">
        <v>0.19</v>
      </c>
      <c r="F199" s="2">
        <v>56.6845</v>
      </c>
      <c r="G199" s="2">
        <v>56.6845</v>
      </c>
      <c r="I199">
        <f t="shared" si="18"/>
        <v>6.9999999999999958E-3</v>
      </c>
      <c r="J199">
        <f t="shared" si="19"/>
        <v>9.0631848720000114</v>
      </c>
      <c r="K199">
        <f t="shared" si="20"/>
        <v>0.5</v>
      </c>
      <c r="L199">
        <f t="shared" si="21"/>
        <v>9.5701848720000111</v>
      </c>
      <c r="O199">
        <f t="shared" si="17"/>
        <v>56.6845</v>
      </c>
    </row>
    <row r="200" spans="1:15" ht="16" x14ac:dyDescent="0.2">
      <c r="A200" t="s">
        <v>10</v>
      </c>
      <c r="B200" t="s">
        <v>11</v>
      </c>
      <c r="C200" s="3">
        <v>20.5</v>
      </c>
      <c r="D200">
        <v>7.6763148259999996</v>
      </c>
      <c r="E200" s="4">
        <v>0.19</v>
      </c>
      <c r="F200" s="2">
        <v>65.855249999999998</v>
      </c>
      <c r="G200" s="2">
        <v>65.855249999999998</v>
      </c>
      <c r="I200">
        <f t="shared" si="18"/>
        <v>6.9999999999999958E-3</v>
      </c>
      <c r="J200">
        <f t="shared" si="19"/>
        <v>9.0631848720000114</v>
      </c>
      <c r="K200">
        <f t="shared" si="20"/>
        <v>0.5</v>
      </c>
      <c r="L200">
        <f t="shared" si="21"/>
        <v>9.5701848720000111</v>
      </c>
      <c r="O200">
        <f t="shared" si="17"/>
        <v>65.855249999999998</v>
      </c>
    </row>
    <row r="201" spans="1:15" ht="16" x14ac:dyDescent="0.2">
      <c r="A201" t="s">
        <v>10</v>
      </c>
      <c r="B201" t="s">
        <v>11</v>
      </c>
      <c r="C201" s="3">
        <v>20.5</v>
      </c>
      <c r="D201">
        <v>7.6763148259999996</v>
      </c>
      <c r="E201" s="4">
        <v>0.19</v>
      </c>
      <c r="F201" s="2">
        <v>57.735249999999994</v>
      </c>
      <c r="G201" s="2">
        <v>57.735249999999994</v>
      </c>
      <c r="I201">
        <f t="shared" si="18"/>
        <v>6.9999999999999958E-3</v>
      </c>
      <c r="J201">
        <f t="shared" si="19"/>
        <v>9.0631848720000114</v>
      </c>
      <c r="K201">
        <f t="shared" si="20"/>
        <v>0.5</v>
      </c>
      <c r="L201">
        <f t="shared" si="21"/>
        <v>9.5701848720000111</v>
      </c>
      <c r="O201">
        <f t="shared" si="17"/>
        <v>57.735249999999994</v>
      </c>
    </row>
    <row r="202" spans="1:15" ht="16" x14ac:dyDescent="0.2">
      <c r="A202" t="s">
        <v>10</v>
      </c>
      <c r="B202" t="s">
        <v>11</v>
      </c>
      <c r="C202" s="3">
        <v>20.5</v>
      </c>
      <c r="D202">
        <v>7.6763148259999996</v>
      </c>
      <c r="E202" s="4">
        <v>0.19</v>
      </c>
      <c r="F202" s="2">
        <v>60.078999999999994</v>
      </c>
      <c r="G202" s="2">
        <v>60.078999999999994</v>
      </c>
      <c r="I202">
        <f t="shared" si="18"/>
        <v>6.9999999999999958E-3</v>
      </c>
      <c r="J202">
        <f t="shared" si="19"/>
        <v>9.0631848720000114</v>
      </c>
      <c r="K202">
        <f t="shared" si="20"/>
        <v>0.5</v>
      </c>
      <c r="L202">
        <f t="shared" si="21"/>
        <v>9.5701848720000111</v>
      </c>
      <c r="O202">
        <f t="shared" si="17"/>
        <v>60.078999999999994</v>
      </c>
    </row>
    <row r="203" spans="1:15" ht="16" x14ac:dyDescent="0.2">
      <c r="A203" t="s">
        <v>10</v>
      </c>
      <c r="B203" t="s">
        <v>11</v>
      </c>
      <c r="C203" s="3">
        <v>20.7</v>
      </c>
      <c r="D203">
        <v>7.6763148259999996</v>
      </c>
      <c r="E203" s="4">
        <v>0.18</v>
      </c>
      <c r="F203" s="2">
        <v>57.751999999999995</v>
      </c>
      <c r="G203" s="2">
        <v>57.751999999999995</v>
      </c>
      <c r="I203">
        <f t="shared" si="18"/>
        <v>3.4999999999999931E-3</v>
      </c>
      <c r="J203">
        <f t="shared" si="19"/>
        <v>9.0631848720000114</v>
      </c>
      <c r="K203">
        <f t="shared" si="20"/>
        <v>0.69999999999999929</v>
      </c>
      <c r="L203">
        <f t="shared" si="21"/>
        <v>9.7666848720000115</v>
      </c>
      <c r="O203">
        <f t="shared" si="17"/>
        <v>57.751999999999995</v>
      </c>
    </row>
    <row r="204" spans="1:15" ht="16" x14ac:dyDescent="0.2">
      <c r="A204" t="s">
        <v>10</v>
      </c>
      <c r="B204" t="s">
        <v>11</v>
      </c>
      <c r="C204" s="3">
        <v>20.7</v>
      </c>
      <c r="D204">
        <v>7.6763148259999996</v>
      </c>
      <c r="E204" s="4">
        <v>0.18</v>
      </c>
      <c r="F204" s="2">
        <v>72.12</v>
      </c>
      <c r="G204" s="2">
        <v>72.12</v>
      </c>
      <c r="I204">
        <f t="shared" si="18"/>
        <v>3.4999999999999931E-3</v>
      </c>
      <c r="J204">
        <f t="shared" si="19"/>
        <v>9.0631848720000114</v>
      </c>
      <c r="K204">
        <f t="shared" si="20"/>
        <v>0.69999999999999929</v>
      </c>
      <c r="L204">
        <f t="shared" si="21"/>
        <v>9.7666848720000115</v>
      </c>
      <c r="O204">
        <f t="shared" si="17"/>
        <v>72.12</v>
      </c>
    </row>
    <row r="205" spans="1:15" ht="16" x14ac:dyDescent="0.2">
      <c r="A205" t="s">
        <v>10</v>
      </c>
      <c r="B205" t="s">
        <v>11</v>
      </c>
      <c r="C205" s="3">
        <v>20.7</v>
      </c>
      <c r="D205">
        <v>7.6763148259999996</v>
      </c>
      <c r="E205" s="4">
        <v>0.18</v>
      </c>
      <c r="F205" s="2">
        <v>77.09075</v>
      </c>
      <c r="G205" s="2">
        <v>77.09075</v>
      </c>
      <c r="I205">
        <f t="shared" si="18"/>
        <v>3.4999999999999931E-3</v>
      </c>
      <c r="J205">
        <f t="shared" si="19"/>
        <v>9.0631848720000114</v>
      </c>
      <c r="K205">
        <f t="shared" si="20"/>
        <v>0.69999999999999929</v>
      </c>
      <c r="L205">
        <f t="shared" si="21"/>
        <v>9.7666848720000115</v>
      </c>
      <c r="O205">
        <f t="shared" si="17"/>
        <v>77.09075</v>
      </c>
    </row>
    <row r="206" spans="1:15" ht="16" x14ac:dyDescent="0.2">
      <c r="A206" t="s">
        <v>10</v>
      </c>
      <c r="B206" t="s">
        <v>11</v>
      </c>
      <c r="C206" s="3">
        <v>20.7</v>
      </c>
      <c r="D206">
        <v>7.6763148259999996</v>
      </c>
      <c r="E206" s="4">
        <v>0.18</v>
      </c>
      <c r="F206" s="2">
        <v>69.174250000000001</v>
      </c>
      <c r="G206" s="2">
        <v>69.174250000000001</v>
      </c>
      <c r="I206">
        <f t="shared" si="18"/>
        <v>3.4999999999999931E-3</v>
      </c>
      <c r="J206">
        <f t="shared" si="19"/>
        <v>9.0631848720000114</v>
      </c>
      <c r="K206">
        <f t="shared" si="20"/>
        <v>0.69999999999999929</v>
      </c>
      <c r="L206">
        <f t="shared" si="21"/>
        <v>9.7666848720000115</v>
      </c>
      <c r="O206">
        <f t="shared" si="17"/>
        <v>69.174250000000001</v>
      </c>
    </row>
    <row r="207" spans="1:15" ht="16" x14ac:dyDescent="0.2">
      <c r="A207" t="s">
        <v>10</v>
      </c>
      <c r="B207" t="s">
        <v>11</v>
      </c>
      <c r="C207" s="3">
        <v>20.6</v>
      </c>
      <c r="D207">
        <v>7.9685088090000002</v>
      </c>
      <c r="E207" s="4">
        <v>7</v>
      </c>
      <c r="F207" s="2">
        <v>61.452250000000006</v>
      </c>
      <c r="G207" s="2">
        <v>61.452250000000006</v>
      </c>
      <c r="I207">
        <f t="shared" si="18"/>
        <v>2.3904999999999998</v>
      </c>
      <c r="J207">
        <f t="shared" si="19"/>
        <v>0.88175334799999305</v>
      </c>
      <c r="K207">
        <f t="shared" si="20"/>
        <v>0.60000000000000142</v>
      </c>
      <c r="L207">
        <f t="shared" si="21"/>
        <v>3.8722533479999943</v>
      </c>
      <c r="O207">
        <f t="shared" si="17"/>
        <v>61.452250000000006</v>
      </c>
    </row>
    <row r="208" spans="1:15" ht="16" x14ac:dyDescent="0.2">
      <c r="A208" t="s">
        <v>10</v>
      </c>
      <c r="B208" t="s">
        <v>11</v>
      </c>
      <c r="C208" s="3">
        <v>20.6</v>
      </c>
      <c r="D208">
        <v>7.9685088090000002</v>
      </c>
      <c r="E208" s="4">
        <v>7</v>
      </c>
      <c r="F208" s="2">
        <v>68.610249999999994</v>
      </c>
      <c r="G208" s="2">
        <v>68.610249999999994</v>
      </c>
      <c r="I208">
        <f t="shared" si="18"/>
        <v>2.3904999999999998</v>
      </c>
      <c r="J208">
        <f t="shared" si="19"/>
        <v>0.88175334799999305</v>
      </c>
      <c r="K208">
        <f t="shared" si="20"/>
        <v>0.60000000000000142</v>
      </c>
      <c r="L208">
        <f t="shared" si="21"/>
        <v>3.8722533479999943</v>
      </c>
      <c r="O208">
        <f t="shared" si="17"/>
        <v>68.610249999999994</v>
      </c>
    </row>
    <row r="209" spans="1:15" ht="16" x14ac:dyDescent="0.2">
      <c r="A209" t="s">
        <v>10</v>
      </c>
      <c r="B209" t="s">
        <v>11</v>
      </c>
      <c r="C209" s="3">
        <v>20.6</v>
      </c>
      <c r="D209">
        <v>7.9685088090000002</v>
      </c>
      <c r="E209" s="4">
        <v>7</v>
      </c>
      <c r="F209" s="2">
        <v>55.808250000000001</v>
      </c>
      <c r="G209" s="2">
        <v>55.808250000000001</v>
      </c>
      <c r="I209">
        <f t="shared" si="18"/>
        <v>2.3904999999999998</v>
      </c>
      <c r="J209">
        <f t="shared" si="19"/>
        <v>0.88175334799999305</v>
      </c>
      <c r="K209">
        <f t="shared" si="20"/>
        <v>0.60000000000000142</v>
      </c>
      <c r="L209">
        <f t="shared" si="21"/>
        <v>3.8722533479999943</v>
      </c>
      <c r="O209">
        <f t="shared" si="17"/>
        <v>55.808250000000001</v>
      </c>
    </row>
    <row r="210" spans="1:15" ht="16" x14ac:dyDescent="0.2">
      <c r="A210" t="s">
        <v>10</v>
      </c>
      <c r="B210" t="s">
        <v>11</v>
      </c>
      <c r="C210" s="3">
        <v>20.6</v>
      </c>
      <c r="D210">
        <v>7.9685088090000002</v>
      </c>
      <c r="E210" s="4">
        <v>7</v>
      </c>
      <c r="F210" s="2">
        <v>72.615499999999997</v>
      </c>
      <c r="G210" s="2">
        <v>72.615499999999997</v>
      </c>
      <c r="I210">
        <f t="shared" si="18"/>
        <v>2.3904999999999998</v>
      </c>
      <c r="J210">
        <f t="shared" si="19"/>
        <v>0.88175334799999305</v>
      </c>
      <c r="K210">
        <f t="shared" si="20"/>
        <v>0.60000000000000142</v>
      </c>
      <c r="L210">
        <f t="shared" si="21"/>
        <v>3.8722533479999943</v>
      </c>
      <c r="O210">
        <f t="shared" si="17"/>
        <v>72.615499999999997</v>
      </c>
    </row>
    <row r="211" spans="1:15" ht="16" x14ac:dyDescent="0.2">
      <c r="A211" t="s">
        <v>10</v>
      </c>
      <c r="B211" t="s">
        <v>11</v>
      </c>
      <c r="C211" s="3">
        <v>20.6</v>
      </c>
      <c r="D211">
        <v>7.9685088090000002</v>
      </c>
      <c r="E211" s="4">
        <v>7</v>
      </c>
      <c r="F211" s="2">
        <v>73.906499999999994</v>
      </c>
      <c r="G211" s="2">
        <v>73.906499999999994</v>
      </c>
      <c r="I211">
        <f t="shared" si="18"/>
        <v>2.3904999999999998</v>
      </c>
      <c r="J211">
        <f t="shared" si="19"/>
        <v>0.88175334799999305</v>
      </c>
      <c r="K211">
        <f t="shared" si="20"/>
        <v>0.60000000000000142</v>
      </c>
      <c r="L211">
        <f t="shared" si="21"/>
        <v>3.8722533479999943</v>
      </c>
      <c r="O211">
        <f t="shared" si="17"/>
        <v>73.906499999999994</v>
      </c>
    </row>
    <row r="212" spans="1:15" ht="16" x14ac:dyDescent="0.2">
      <c r="A212" t="s">
        <v>10</v>
      </c>
      <c r="B212" t="s">
        <v>11</v>
      </c>
      <c r="C212" s="3">
        <v>20.6</v>
      </c>
      <c r="D212">
        <v>7.9685088090000002</v>
      </c>
      <c r="E212" s="4">
        <v>7</v>
      </c>
      <c r="F212" s="2">
        <v>74.3245</v>
      </c>
      <c r="G212" s="2">
        <v>74.3245</v>
      </c>
      <c r="I212">
        <f t="shared" si="18"/>
        <v>2.3904999999999998</v>
      </c>
      <c r="J212">
        <f t="shared" si="19"/>
        <v>0.88175334799999305</v>
      </c>
      <c r="K212">
        <f t="shared" si="20"/>
        <v>0.60000000000000142</v>
      </c>
      <c r="L212">
        <f t="shared" si="21"/>
        <v>3.8722533479999943</v>
      </c>
      <c r="O212">
        <f t="shared" si="17"/>
        <v>74.3245</v>
      </c>
    </row>
    <row r="213" spans="1:15" ht="16" x14ac:dyDescent="0.2">
      <c r="A213" t="s">
        <v>10</v>
      </c>
      <c r="B213" t="s">
        <v>11</v>
      </c>
      <c r="C213" s="3">
        <v>20.6</v>
      </c>
      <c r="D213">
        <v>7.9685088090000002</v>
      </c>
      <c r="E213" s="4">
        <v>7</v>
      </c>
      <c r="F213" s="2">
        <v>68.482249999999993</v>
      </c>
      <c r="G213" s="2">
        <v>68.482249999999993</v>
      </c>
      <c r="I213">
        <f t="shared" si="18"/>
        <v>2.3904999999999998</v>
      </c>
      <c r="J213">
        <f t="shared" si="19"/>
        <v>0.88175334799999305</v>
      </c>
      <c r="K213">
        <f t="shared" si="20"/>
        <v>0.60000000000000142</v>
      </c>
      <c r="L213">
        <f t="shared" si="21"/>
        <v>3.8722533479999943</v>
      </c>
      <c r="O213">
        <f t="shared" si="17"/>
        <v>68.482249999999993</v>
      </c>
    </row>
    <row r="214" spans="1:15" ht="16" x14ac:dyDescent="0.2">
      <c r="A214" t="s">
        <v>10</v>
      </c>
      <c r="B214" t="s">
        <v>11</v>
      </c>
      <c r="C214" s="3">
        <v>20.6</v>
      </c>
      <c r="D214">
        <v>7.9685088090000002</v>
      </c>
      <c r="E214" s="4">
        <v>7</v>
      </c>
      <c r="F214" s="2">
        <v>63.798749999999998</v>
      </c>
      <c r="G214" s="2">
        <v>63.798749999999998</v>
      </c>
      <c r="I214">
        <f t="shared" si="18"/>
        <v>2.3904999999999998</v>
      </c>
      <c r="J214">
        <f t="shared" si="19"/>
        <v>0.88175334799999305</v>
      </c>
      <c r="K214">
        <f t="shared" si="20"/>
        <v>0.60000000000000142</v>
      </c>
      <c r="L214">
        <f t="shared" si="21"/>
        <v>3.8722533479999943</v>
      </c>
      <c r="O214">
        <f t="shared" si="17"/>
        <v>63.798749999999998</v>
      </c>
    </row>
    <row r="215" spans="1:15" ht="16" x14ac:dyDescent="0.2">
      <c r="A215" t="s">
        <v>10</v>
      </c>
      <c r="B215" t="s">
        <v>11</v>
      </c>
      <c r="C215" s="3">
        <v>20.6</v>
      </c>
      <c r="D215">
        <v>7.9685088090000002</v>
      </c>
      <c r="E215" s="4">
        <v>7</v>
      </c>
      <c r="F215" s="2">
        <v>64.712249999999997</v>
      </c>
      <c r="G215" s="2">
        <v>64.712249999999997</v>
      </c>
      <c r="I215">
        <f t="shared" si="18"/>
        <v>2.3904999999999998</v>
      </c>
      <c r="J215">
        <f t="shared" si="19"/>
        <v>0.88175334799999305</v>
      </c>
      <c r="K215">
        <f t="shared" si="20"/>
        <v>0.60000000000000142</v>
      </c>
      <c r="L215">
        <f t="shared" si="21"/>
        <v>3.8722533479999943</v>
      </c>
      <c r="O215">
        <f t="shared" si="17"/>
        <v>64.712249999999997</v>
      </c>
    </row>
    <row r="216" spans="1:15" ht="16" x14ac:dyDescent="0.2">
      <c r="A216" t="s">
        <v>10</v>
      </c>
      <c r="B216" t="s">
        <v>11</v>
      </c>
      <c r="C216" s="3">
        <v>20.6</v>
      </c>
      <c r="D216">
        <v>7.9685088090000002</v>
      </c>
      <c r="E216" s="4">
        <v>7</v>
      </c>
      <c r="F216" s="2">
        <v>56.342749999999995</v>
      </c>
      <c r="G216" s="2">
        <v>56.342749999999995</v>
      </c>
      <c r="I216">
        <f t="shared" si="18"/>
        <v>2.3904999999999998</v>
      </c>
      <c r="J216">
        <f t="shared" si="19"/>
        <v>0.88175334799999305</v>
      </c>
      <c r="K216">
        <f t="shared" si="20"/>
        <v>0.60000000000000142</v>
      </c>
      <c r="L216">
        <f t="shared" si="21"/>
        <v>3.8722533479999943</v>
      </c>
      <c r="O216">
        <f t="shared" si="17"/>
        <v>56.342749999999995</v>
      </c>
    </row>
    <row r="217" spans="1:15" ht="16" x14ac:dyDescent="0.2">
      <c r="A217" t="s">
        <v>10</v>
      </c>
      <c r="B217" t="s">
        <v>11</v>
      </c>
      <c r="C217" s="3">
        <v>20.5</v>
      </c>
      <c r="D217">
        <v>7.9685088090000002</v>
      </c>
      <c r="E217" s="4">
        <v>8</v>
      </c>
      <c r="F217" s="2">
        <v>71.579750000000004</v>
      </c>
      <c r="G217" s="2">
        <v>71.579750000000004</v>
      </c>
      <c r="I217">
        <f t="shared" si="18"/>
        <v>2.7404999999999999</v>
      </c>
      <c r="J217">
        <f t="shared" si="19"/>
        <v>0.88175334799999305</v>
      </c>
      <c r="K217">
        <f t="shared" si="20"/>
        <v>0.5</v>
      </c>
      <c r="L217">
        <f t="shared" si="21"/>
        <v>4.122253347999993</v>
      </c>
      <c r="O217">
        <f t="shared" si="17"/>
        <v>71.579750000000004</v>
      </c>
    </row>
    <row r="218" spans="1:15" ht="16" x14ac:dyDescent="0.2">
      <c r="A218" t="s">
        <v>10</v>
      </c>
      <c r="B218" t="s">
        <v>11</v>
      </c>
      <c r="C218" s="3">
        <v>20.5</v>
      </c>
      <c r="D218">
        <v>7.9685088090000002</v>
      </c>
      <c r="E218" s="4">
        <v>8</v>
      </c>
      <c r="F218" s="2">
        <v>73.746499999999997</v>
      </c>
      <c r="G218" s="2">
        <v>73.746499999999997</v>
      </c>
      <c r="I218">
        <f t="shared" si="18"/>
        <v>2.7404999999999999</v>
      </c>
      <c r="J218">
        <f t="shared" si="19"/>
        <v>0.88175334799999305</v>
      </c>
      <c r="K218">
        <f t="shared" si="20"/>
        <v>0.5</v>
      </c>
      <c r="L218">
        <f t="shared" si="21"/>
        <v>4.122253347999993</v>
      </c>
      <c r="O218">
        <f t="shared" si="17"/>
        <v>73.746499999999997</v>
      </c>
    </row>
    <row r="219" spans="1:15" ht="16" x14ac:dyDescent="0.2">
      <c r="A219" t="s">
        <v>10</v>
      </c>
      <c r="B219" t="s">
        <v>11</v>
      </c>
      <c r="C219" s="3">
        <v>20.5</v>
      </c>
      <c r="D219">
        <v>7.9685088090000002</v>
      </c>
      <c r="E219" s="4">
        <v>8</v>
      </c>
      <c r="F219" s="2">
        <v>66.460499999999996</v>
      </c>
      <c r="G219" s="2">
        <v>66.460499999999996</v>
      </c>
      <c r="I219">
        <f t="shared" si="18"/>
        <v>2.7404999999999999</v>
      </c>
      <c r="J219">
        <f t="shared" si="19"/>
        <v>0.88175334799999305</v>
      </c>
      <c r="K219">
        <f t="shared" si="20"/>
        <v>0.5</v>
      </c>
      <c r="L219">
        <f t="shared" si="21"/>
        <v>4.122253347999993</v>
      </c>
      <c r="O219">
        <f t="shared" si="17"/>
        <v>66.460499999999996</v>
      </c>
    </row>
    <row r="220" spans="1:15" ht="16" x14ac:dyDescent="0.2">
      <c r="A220" t="s">
        <v>10</v>
      </c>
      <c r="B220" t="s">
        <v>11</v>
      </c>
      <c r="C220" s="3">
        <v>20.5</v>
      </c>
      <c r="D220">
        <v>7.9685088090000002</v>
      </c>
      <c r="E220" s="4">
        <v>8</v>
      </c>
      <c r="F220" s="2">
        <v>67.751750000000001</v>
      </c>
      <c r="G220" s="2">
        <v>67.751750000000001</v>
      </c>
      <c r="I220">
        <f t="shared" si="18"/>
        <v>2.7404999999999999</v>
      </c>
      <c r="J220">
        <f t="shared" si="19"/>
        <v>0.88175334799999305</v>
      </c>
      <c r="K220">
        <f t="shared" si="20"/>
        <v>0.5</v>
      </c>
      <c r="L220">
        <f t="shared" si="21"/>
        <v>4.122253347999993</v>
      </c>
      <c r="O220">
        <f t="shared" si="17"/>
        <v>67.751750000000001</v>
      </c>
    </row>
    <row r="221" spans="1:15" ht="16" x14ac:dyDescent="0.2">
      <c r="A221" t="s">
        <v>10</v>
      </c>
      <c r="B221" t="s">
        <v>11</v>
      </c>
      <c r="C221" s="3">
        <v>20.5</v>
      </c>
      <c r="D221">
        <v>7.9685088090000002</v>
      </c>
      <c r="E221" s="4">
        <v>8</v>
      </c>
      <c r="F221" s="2">
        <v>71.864000000000004</v>
      </c>
      <c r="G221" s="2">
        <v>71.864000000000004</v>
      </c>
      <c r="I221">
        <f t="shared" si="18"/>
        <v>2.7404999999999999</v>
      </c>
      <c r="J221">
        <f t="shared" si="19"/>
        <v>0.88175334799999305</v>
      </c>
      <c r="K221">
        <f t="shared" si="20"/>
        <v>0.5</v>
      </c>
      <c r="L221">
        <f t="shared" si="21"/>
        <v>4.122253347999993</v>
      </c>
      <c r="O221">
        <f t="shared" si="17"/>
        <v>71.864000000000004</v>
      </c>
    </row>
    <row r="222" spans="1:15" ht="16" x14ac:dyDescent="0.2">
      <c r="A222" t="s">
        <v>10</v>
      </c>
      <c r="B222" t="s">
        <v>11</v>
      </c>
      <c r="C222" s="3">
        <v>20.5</v>
      </c>
      <c r="D222">
        <v>7.9685088090000002</v>
      </c>
      <c r="E222" s="4">
        <v>8</v>
      </c>
      <c r="F222" s="2">
        <v>77.188500000000005</v>
      </c>
      <c r="G222" s="2">
        <v>77.188500000000005</v>
      </c>
      <c r="I222">
        <f t="shared" si="18"/>
        <v>2.7404999999999999</v>
      </c>
      <c r="J222">
        <f t="shared" si="19"/>
        <v>0.88175334799999305</v>
      </c>
      <c r="K222">
        <f t="shared" si="20"/>
        <v>0.5</v>
      </c>
      <c r="L222">
        <f t="shared" si="21"/>
        <v>4.122253347999993</v>
      </c>
      <c r="O222">
        <f t="shared" si="17"/>
        <v>77.188500000000005</v>
      </c>
    </row>
    <row r="223" spans="1:15" ht="16" x14ac:dyDescent="0.2">
      <c r="A223" t="s">
        <v>10</v>
      </c>
      <c r="B223" t="s">
        <v>11</v>
      </c>
      <c r="C223" s="3">
        <v>20.5</v>
      </c>
      <c r="D223">
        <v>7.9685088090000002</v>
      </c>
      <c r="E223" s="4">
        <v>8</v>
      </c>
      <c r="F223" s="2">
        <v>80.233000000000004</v>
      </c>
      <c r="G223" s="2">
        <v>80.233000000000004</v>
      </c>
      <c r="I223">
        <f t="shared" si="18"/>
        <v>2.7404999999999999</v>
      </c>
      <c r="J223">
        <f t="shared" si="19"/>
        <v>0.88175334799999305</v>
      </c>
      <c r="K223">
        <f t="shared" si="20"/>
        <v>0.5</v>
      </c>
      <c r="L223">
        <f t="shared" si="21"/>
        <v>4.122253347999993</v>
      </c>
      <c r="O223">
        <f t="shared" si="17"/>
        <v>80.233000000000004</v>
      </c>
    </row>
    <row r="224" spans="1:15" ht="16" x14ac:dyDescent="0.2">
      <c r="A224" t="s">
        <v>10</v>
      </c>
      <c r="B224" t="s">
        <v>11</v>
      </c>
      <c r="C224" s="3">
        <v>20.5</v>
      </c>
      <c r="D224">
        <v>7.9685088090000002</v>
      </c>
      <c r="E224" s="4">
        <v>8</v>
      </c>
      <c r="F224" s="2">
        <v>66.320750000000004</v>
      </c>
      <c r="G224" s="2">
        <v>66.320750000000004</v>
      </c>
      <c r="I224">
        <f t="shared" si="18"/>
        <v>2.7404999999999999</v>
      </c>
      <c r="J224">
        <f t="shared" si="19"/>
        <v>0.88175334799999305</v>
      </c>
      <c r="K224">
        <f t="shared" si="20"/>
        <v>0.5</v>
      </c>
      <c r="L224">
        <f t="shared" si="21"/>
        <v>4.122253347999993</v>
      </c>
      <c r="O224">
        <f t="shared" ref="O224:O255" si="22">G224</f>
        <v>66.320750000000004</v>
      </c>
    </row>
    <row r="225" spans="1:15" ht="16" x14ac:dyDescent="0.2">
      <c r="A225" t="s">
        <v>10</v>
      </c>
      <c r="B225" t="s">
        <v>11</v>
      </c>
      <c r="C225" s="3">
        <v>25.5</v>
      </c>
      <c r="D225">
        <v>7.7524938649999999</v>
      </c>
      <c r="E225" s="4">
        <v>0.17</v>
      </c>
      <c r="F225" s="2">
        <v>66.893500000000003</v>
      </c>
      <c r="G225" s="2">
        <v>66.893500000000003</v>
      </c>
      <c r="I225">
        <f t="shared" si="18"/>
        <v>0</v>
      </c>
      <c r="J225">
        <f t="shared" si="19"/>
        <v>6.930171780000002</v>
      </c>
      <c r="K225">
        <f t="shared" si="20"/>
        <v>5.5</v>
      </c>
      <c r="L225">
        <f t="shared" si="21"/>
        <v>12.430171780000002</v>
      </c>
      <c r="O225">
        <f t="shared" si="22"/>
        <v>66.893500000000003</v>
      </c>
    </row>
    <row r="226" spans="1:15" ht="16" x14ac:dyDescent="0.2">
      <c r="A226" t="s">
        <v>10</v>
      </c>
      <c r="B226" t="s">
        <v>11</v>
      </c>
      <c r="C226" s="3">
        <v>25.5</v>
      </c>
      <c r="D226">
        <v>7.7524938649999999</v>
      </c>
      <c r="E226" s="4">
        <v>0.17</v>
      </c>
      <c r="F226" s="2">
        <v>81.660499999999999</v>
      </c>
      <c r="G226" s="2">
        <v>81.660499999999999</v>
      </c>
      <c r="I226">
        <f t="shared" si="18"/>
        <v>0</v>
      </c>
      <c r="J226">
        <f t="shared" si="19"/>
        <v>6.930171780000002</v>
      </c>
      <c r="K226">
        <f t="shared" si="20"/>
        <v>5.5</v>
      </c>
      <c r="L226">
        <f t="shared" si="21"/>
        <v>12.430171780000002</v>
      </c>
      <c r="O226">
        <f t="shared" si="22"/>
        <v>81.660499999999999</v>
      </c>
    </row>
    <row r="227" spans="1:15" ht="16" x14ac:dyDescent="0.2">
      <c r="A227" t="s">
        <v>10</v>
      </c>
      <c r="B227" t="s">
        <v>11</v>
      </c>
      <c r="C227" s="3">
        <v>25.5</v>
      </c>
      <c r="D227">
        <v>7.7524938649999999</v>
      </c>
      <c r="E227" s="4">
        <v>0.17</v>
      </c>
      <c r="F227" s="2">
        <v>72.416499999999999</v>
      </c>
      <c r="G227" s="2">
        <v>72.416499999999999</v>
      </c>
      <c r="I227">
        <f t="shared" si="18"/>
        <v>0</v>
      </c>
      <c r="J227">
        <f t="shared" si="19"/>
        <v>6.930171780000002</v>
      </c>
      <c r="K227">
        <f t="shared" si="20"/>
        <v>5.5</v>
      </c>
      <c r="L227">
        <f t="shared" si="21"/>
        <v>12.430171780000002</v>
      </c>
      <c r="O227">
        <f t="shared" si="22"/>
        <v>72.416499999999999</v>
      </c>
    </row>
    <row r="228" spans="1:15" ht="16" x14ac:dyDescent="0.2">
      <c r="A228" t="s">
        <v>10</v>
      </c>
      <c r="B228" t="s">
        <v>11</v>
      </c>
      <c r="C228" s="3">
        <v>25.5</v>
      </c>
      <c r="D228">
        <v>7.7524938649999999</v>
      </c>
      <c r="E228" s="4">
        <v>0.17</v>
      </c>
      <c r="F228" s="2">
        <v>65.866249999999994</v>
      </c>
      <c r="G228" s="2">
        <v>65.866249999999994</v>
      </c>
      <c r="I228">
        <f t="shared" si="18"/>
        <v>0</v>
      </c>
      <c r="J228">
        <f t="shared" si="19"/>
        <v>6.930171780000002</v>
      </c>
      <c r="K228">
        <f t="shared" si="20"/>
        <v>5.5</v>
      </c>
      <c r="L228">
        <f t="shared" si="21"/>
        <v>12.430171780000002</v>
      </c>
      <c r="O228">
        <f t="shared" si="22"/>
        <v>65.866249999999994</v>
      </c>
    </row>
    <row r="229" spans="1:15" ht="16" x14ac:dyDescent="0.2">
      <c r="A229" t="s">
        <v>10</v>
      </c>
      <c r="B229" t="s">
        <v>11</v>
      </c>
      <c r="C229" s="3">
        <v>25.5</v>
      </c>
      <c r="D229">
        <v>7.7524938649999999</v>
      </c>
      <c r="E229" s="4">
        <v>0.17</v>
      </c>
      <c r="F229" s="2">
        <v>75.326750000000004</v>
      </c>
      <c r="G229" s="2">
        <v>75.326750000000004</v>
      </c>
      <c r="I229">
        <f t="shared" si="18"/>
        <v>0</v>
      </c>
      <c r="J229">
        <f t="shared" si="19"/>
        <v>6.930171780000002</v>
      </c>
      <c r="K229">
        <f t="shared" si="20"/>
        <v>5.5</v>
      </c>
      <c r="L229">
        <f t="shared" si="21"/>
        <v>12.430171780000002</v>
      </c>
      <c r="O229">
        <f t="shared" si="22"/>
        <v>75.326750000000004</v>
      </c>
    </row>
    <row r="230" spans="1:15" ht="16" x14ac:dyDescent="0.2">
      <c r="A230" t="s">
        <v>10</v>
      </c>
      <c r="B230" t="s">
        <v>11</v>
      </c>
      <c r="C230" s="3">
        <v>25.5</v>
      </c>
      <c r="D230">
        <v>7.7524938649999999</v>
      </c>
      <c r="E230" s="4">
        <v>0.17</v>
      </c>
      <c r="F230" s="2">
        <v>71.574749999999995</v>
      </c>
      <c r="G230" s="2">
        <v>71.574749999999995</v>
      </c>
      <c r="I230">
        <f t="shared" si="18"/>
        <v>0</v>
      </c>
      <c r="J230">
        <f t="shared" si="19"/>
        <v>6.930171780000002</v>
      </c>
      <c r="K230">
        <f t="shared" si="20"/>
        <v>5.5</v>
      </c>
      <c r="L230">
        <f t="shared" si="21"/>
        <v>12.430171780000002</v>
      </c>
      <c r="O230">
        <f t="shared" si="22"/>
        <v>71.574749999999995</v>
      </c>
    </row>
    <row r="231" spans="1:15" ht="16" x14ac:dyDescent="0.2">
      <c r="A231" t="s">
        <v>10</v>
      </c>
      <c r="B231" t="s">
        <v>11</v>
      </c>
      <c r="C231" s="3">
        <v>25.5</v>
      </c>
      <c r="D231">
        <v>7.7524938649999999</v>
      </c>
      <c r="E231" s="4">
        <v>0.17</v>
      </c>
      <c r="F231" s="2">
        <v>82.138000000000005</v>
      </c>
      <c r="G231" s="2">
        <v>82.138000000000005</v>
      </c>
      <c r="I231">
        <f t="shared" si="18"/>
        <v>0</v>
      </c>
      <c r="J231">
        <f t="shared" si="19"/>
        <v>6.930171780000002</v>
      </c>
      <c r="K231">
        <f t="shared" si="20"/>
        <v>5.5</v>
      </c>
      <c r="L231">
        <f t="shared" si="21"/>
        <v>12.430171780000002</v>
      </c>
      <c r="O231">
        <f t="shared" si="22"/>
        <v>82.138000000000005</v>
      </c>
    </row>
    <row r="232" spans="1:15" ht="16" x14ac:dyDescent="0.2">
      <c r="A232" t="s">
        <v>10</v>
      </c>
      <c r="B232" t="s">
        <v>11</v>
      </c>
      <c r="C232" s="3">
        <v>25.5</v>
      </c>
      <c r="D232">
        <v>7.7524938649999999</v>
      </c>
      <c r="E232" s="4">
        <v>0.17</v>
      </c>
      <c r="F232" s="2">
        <v>72.459999999999994</v>
      </c>
      <c r="G232" s="2">
        <v>72.459999999999994</v>
      </c>
      <c r="I232">
        <f t="shared" si="18"/>
        <v>0</v>
      </c>
      <c r="J232">
        <f t="shared" si="19"/>
        <v>6.930171780000002</v>
      </c>
      <c r="K232">
        <f t="shared" si="20"/>
        <v>5.5</v>
      </c>
      <c r="L232">
        <f t="shared" si="21"/>
        <v>12.430171780000002</v>
      </c>
      <c r="O232">
        <f t="shared" si="22"/>
        <v>72.459999999999994</v>
      </c>
    </row>
    <row r="233" spans="1:15" ht="16" x14ac:dyDescent="0.2">
      <c r="A233" t="s">
        <v>10</v>
      </c>
      <c r="B233" t="s">
        <v>11</v>
      </c>
      <c r="C233" s="3">
        <v>25.5</v>
      </c>
      <c r="D233">
        <v>7.7524938649999999</v>
      </c>
      <c r="E233" s="4">
        <v>0.17</v>
      </c>
      <c r="F233" s="2">
        <v>78.288749999999993</v>
      </c>
      <c r="G233" s="2">
        <v>78.288749999999993</v>
      </c>
      <c r="I233">
        <f t="shared" si="18"/>
        <v>0</v>
      </c>
      <c r="J233">
        <f t="shared" si="19"/>
        <v>6.930171780000002</v>
      </c>
      <c r="K233">
        <f t="shared" si="20"/>
        <v>5.5</v>
      </c>
      <c r="L233">
        <f t="shared" si="21"/>
        <v>12.430171780000002</v>
      </c>
      <c r="O233">
        <f t="shared" si="22"/>
        <v>78.288749999999993</v>
      </c>
    </row>
    <row r="234" spans="1:15" ht="16" x14ac:dyDescent="0.2">
      <c r="A234" t="s">
        <v>10</v>
      </c>
      <c r="B234" t="s">
        <v>11</v>
      </c>
      <c r="C234" s="3">
        <v>25.5</v>
      </c>
      <c r="D234">
        <v>7.7524938649999999</v>
      </c>
      <c r="E234" s="4">
        <v>0.17</v>
      </c>
      <c r="F234" s="2">
        <v>79.266000000000005</v>
      </c>
      <c r="G234" s="2">
        <v>79.266000000000005</v>
      </c>
      <c r="I234">
        <f t="shared" si="18"/>
        <v>0</v>
      </c>
      <c r="J234">
        <f t="shared" si="19"/>
        <v>6.930171780000002</v>
      </c>
      <c r="K234">
        <f t="shared" si="20"/>
        <v>5.5</v>
      </c>
      <c r="L234">
        <f t="shared" si="21"/>
        <v>12.430171780000002</v>
      </c>
      <c r="O234">
        <f t="shared" si="22"/>
        <v>79.266000000000005</v>
      </c>
    </row>
    <row r="235" spans="1:15" ht="16" x14ac:dyDescent="0.2">
      <c r="A235" t="s">
        <v>10</v>
      </c>
      <c r="B235" t="s">
        <v>11</v>
      </c>
      <c r="C235" s="3">
        <v>25.5</v>
      </c>
      <c r="D235">
        <v>7.7524938649999999</v>
      </c>
      <c r="E235" s="4">
        <v>0.17</v>
      </c>
      <c r="F235" s="2">
        <v>74.896000000000001</v>
      </c>
      <c r="G235" s="2">
        <v>74.896000000000001</v>
      </c>
      <c r="I235">
        <f t="shared" si="18"/>
        <v>0</v>
      </c>
      <c r="J235">
        <f t="shared" si="19"/>
        <v>6.930171780000002</v>
      </c>
      <c r="K235">
        <f t="shared" si="20"/>
        <v>5.5</v>
      </c>
      <c r="L235">
        <f t="shared" si="21"/>
        <v>12.430171780000002</v>
      </c>
      <c r="O235">
        <f t="shared" si="22"/>
        <v>74.896000000000001</v>
      </c>
    </row>
    <row r="236" spans="1:15" ht="16" x14ac:dyDescent="0.2">
      <c r="A236" t="s">
        <v>10</v>
      </c>
      <c r="B236" t="s">
        <v>11</v>
      </c>
      <c r="C236" s="3">
        <v>25.5</v>
      </c>
      <c r="D236">
        <v>7.7524938649999999</v>
      </c>
      <c r="E236" s="4">
        <v>0.17</v>
      </c>
      <c r="F236" s="2">
        <v>74.737250000000003</v>
      </c>
      <c r="G236" s="2">
        <v>74.737250000000003</v>
      </c>
      <c r="I236">
        <f t="shared" si="18"/>
        <v>0</v>
      </c>
      <c r="J236">
        <f t="shared" si="19"/>
        <v>6.930171780000002</v>
      </c>
      <c r="K236">
        <f t="shared" si="20"/>
        <v>5.5</v>
      </c>
      <c r="L236">
        <f t="shared" si="21"/>
        <v>12.430171780000002</v>
      </c>
      <c r="O236">
        <f t="shared" si="22"/>
        <v>74.737250000000003</v>
      </c>
    </row>
    <row r="237" spans="1:15" ht="16" x14ac:dyDescent="0.2">
      <c r="A237" t="s">
        <v>10</v>
      </c>
      <c r="B237" t="s">
        <v>11</v>
      </c>
      <c r="C237" s="3">
        <v>25.4</v>
      </c>
      <c r="D237">
        <v>7.7591624389999998</v>
      </c>
      <c r="E237" s="4">
        <v>0.18</v>
      </c>
      <c r="F237" s="2">
        <v>69.0565</v>
      </c>
      <c r="G237" s="2">
        <v>69.0565</v>
      </c>
      <c r="I237">
        <f t="shared" si="18"/>
        <v>3.4999999999999931E-3</v>
      </c>
      <c r="J237">
        <f t="shared" si="19"/>
        <v>6.7434517080000056</v>
      </c>
      <c r="K237">
        <f t="shared" si="20"/>
        <v>5.3999999999999986</v>
      </c>
      <c r="L237">
        <f t="shared" si="21"/>
        <v>12.146951708000003</v>
      </c>
      <c r="O237">
        <f t="shared" si="22"/>
        <v>69.0565</v>
      </c>
    </row>
    <row r="238" spans="1:15" ht="16" x14ac:dyDescent="0.2">
      <c r="A238" t="s">
        <v>10</v>
      </c>
      <c r="B238" t="s">
        <v>11</v>
      </c>
      <c r="C238" s="3">
        <v>25.4</v>
      </c>
      <c r="D238">
        <v>7.7591624389999998</v>
      </c>
      <c r="E238" s="4">
        <v>0.18</v>
      </c>
      <c r="F238" s="2">
        <v>70.078749999999999</v>
      </c>
      <c r="G238" s="2">
        <v>70.078749999999999</v>
      </c>
      <c r="I238">
        <f t="shared" si="18"/>
        <v>3.4999999999999931E-3</v>
      </c>
      <c r="J238">
        <f t="shared" si="19"/>
        <v>6.7434517080000056</v>
      </c>
      <c r="K238">
        <f t="shared" si="20"/>
        <v>5.3999999999999986</v>
      </c>
      <c r="L238">
        <f t="shared" si="21"/>
        <v>12.146951708000003</v>
      </c>
      <c r="O238">
        <f t="shared" si="22"/>
        <v>70.078749999999999</v>
      </c>
    </row>
    <row r="239" spans="1:15" ht="16" x14ac:dyDescent="0.2">
      <c r="A239" t="s">
        <v>10</v>
      </c>
      <c r="B239" t="s">
        <v>11</v>
      </c>
      <c r="C239" s="3">
        <v>25.4</v>
      </c>
      <c r="D239">
        <v>7.7591624389999998</v>
      </c>
      <c r="E239" s="4">
        <v>0.18</v>
      </c>
      <c r="F239" s="2">
        <v>78.636750000000006</v>
      </c>
      <c r="G239" s="2">
        <v>78.636750000000006</v>
      </c>
      <c r="I239">
        <f t="shared" si="18"/>
        <v>3.4999999999999931E-3</v>
      </c>
      <c r="J239">
        <f t="shared" si="19"/>
        <v>6.7434517080000056</v>
      </c>
      <c r="K239">
        <f t="shared" si="20"/>
        <v>5.3999999999999986</v>
      </c>
      <c r="L239">
        <f t="shared" si="21"/>
        <v>12.146951708000003</v>
      </c>
      <c r="O239">
        <f t="shared" si="22"/>
        <v>78.636750000000006</v>
      </c>
    </row>
    <row r="240" spans="1:15" ht="16" x14ac:dyDescent="0.2">
      <c r="A240" t="s">
        <v>10</v>
      </c>
      <c r="B240" t="s">
        <v>11</v>
      </c>
      <c r="C240" s="3">
        <v>25.4</v>
      </c>
      <c r="D240">
        <v>7.7591624389999998</v>
      </c>
      <c r="E240" s="4">
        <v>0.18</v>
      </c>
      <c r="F240" s="2">
        <v>66.914000000000001</v>
      </c>
      <c r="G240" s="2">
        <v>66.914000000000001</v>
      </c>
      <c r="I240">
        <f t="shared" si="18"/>
        <v>3.4999999999999931E-3</v>
      </c>
      <c r="J240">
        <f t="shared" si="19"/>
        <v>6.7434517080000056</v>
      </c>
      <c r="K240">
        <f t="shared" si="20"/>
        <v>5.3999999999999986</v>
      </c>
      <c r="L240">
        <f t="shared" si="21"/>
        <v>12.146951708000003</v>
      </c>
      <c r="O240">
        <f t="shared" si="22"/>
        <v>66.914000000000001</v>
      </c>
    </row>
    <row r="241" spans="1:15" ht="16" x14ac:dyDescent="0.2">
      <c r="A241" t="s">
        <v>10</v>
      </c>
      <c r="B241" t="s">
        <v>11</v>
      </c>
      <c r="C241" s="3">
        <v>25.4</v>
      </c>
      <c r="D241">
        <v>7.7591624389999998</v>
      </c>
      <c r="E241" s="4">
        <v>0.18</v>
      </c>
      <c r="F241" s="2">
        <v>70.268749999999997</v>
      </c>
      <c r="G241" s="2">
        <v>70.268749999999997</v>
      </c>
      <c r="I241">
        <f t="shared" si="18"/>
        <v>3.4999999999999931E-3</v>
      </c>
      <c r="J241">
        <f t="shared" si="19"/>
        <v>6.7434517080000056</v>
      </c>
      <c r="K241">
        <f t="shared" si="20"/>
        <v>5.3999999999999986</v>
      </c>
      <c r="L241">
        <f t="shared" si="21"/>
        <v>12.146951708000003</v>
      </c>
      <c r="O241">
        <f t="shared" si="22"/>
        <v>70.268749999999997</v>
      </c>
    </row>
    <row r="242" spans="1:15" ht="16" x14ac:dyDescent="0.2">
      <c r="A242" t="s">
        <v>10</v>
      </c>
      <c r="B242" t="s">
        <v>11</v>
      </c>
      <c r="C242" s="3">
        <v>25.4</v>
      </c>
      <c r="D242">
        <v>7.7591624389999998</v>
      </c>
      <c r="E242" s="4">
        <v>0.18</v>
      </c>
      <c r="F242" s="2">
        <v>73.590249999999997</v>
      </c>
      <c r="G242" s="2">
        <v>73.590249999999997</v>
      </c>
      <c r="I242">
        <f t="shared" si="18"/>
        <v>3.4999999999999931E-3</v>
      </c>
      <c r="J242">
        <f t="shared" si="19"/>
        <v>6.7434517080000056</v>
      </c>
      <c r="K242">
        <f t="shared" si="20"/>
        <v>5.3999999999999986</v>
      </c>
      <c r="L242">
        <f t="shared" si="21"/>
        <v>12.146951708000003</v>
      </c>
      <c r="O242">
        <f t="shared" si="22"/>
        <v>73.590249999999997</v>
      </c>
    </row>
    <row r="243" spans="1:15" ht="16" x14ac:dyDescent="0.2">
      <c r="A243" t="s">
        <v>10</v>
      </c>
      <c r="B243" t="s">
        <v>11</v>
      </c>
      <c r="C243" s="3">
        <v>25.4</v>
      </c>
      <c r="D243">
        <v>7.7591624389999998</v>
      </c>
      <c r="E243" s="4">
        <v>0.18</v>
      </c>
      <c r="F243" s="2">
        <v>71.209000000000003</v>
      </c>
      <c r="G243" s="2">
        <v>71.209000000000003</v>
      </c>
      <c r="I243">
        <f t="shared" si="18"/>
        <v>3.4999999999999931E-3</v>
      </c>
      <c r="J243">
        <f t="shared" si="19"/>
        <v>6.7434517080000056</v>
      </c>
      <c r="K243">
        <f t="shared" si="20"/>
        <v>5.3999999999999986</v>
      </c>
      <c r="L243">
        <f t="shared" si="21"/>
        <v>12.146951708000003</v>
      </c>
      <c r="O243">
        <f t="shared" si="22"/>
        <v>71.209000000000003</v>
      </c>
    </row>
    <row r="244" spans="1:15" ht="16" x14ac:dyDescent="0.2">
      <c r="A244" t="s">
        <v>10</v>
      </c>
      <c r="B244" t="s">
        <v>11</v>
      </c>
      <c r="C244" s="3">
        <v>25.4</v>
      </c>
      <c r="D244">
        <v>7.7591624389999998</v>
      </c>
      <c r="E244" s="4">
        <v>0.18</v>
      </c>
      <c r="F244" s="2">
        <v>69.923249999999996</v>
      </c>
      <c r="G244" s="2">
        <v>69.923249999999996</v>
      </c>
      <c r="I244">
        <f t="shared" si="18"/>
        <v>3.4999999999999931E-3</v>
      </c>
      <c r="J244">
        <f t="shared" si="19"/>
        <v>6.7434517080000056</v>
      </c>
      <c r="K244">
        <f t="shared" si="20"/>
        <v>5.3999999999999986</v>
      </c>
      <c r="L244">
        <f t="shared" si="21"/>
        <v>12.146951708000003</v>
      </c>
      <c r="O244">
        <f t="shared" si="22"/>
        <v>69.923249999999996</v>
      </c>
    </row>
    <row r="245" spans="1:15" ht="16" x14ac:dyDescent="0.2">
      <c r="A245" t="s">
        <v>10</v>
      </c>
      <c r="B245" t="s">
        <v>11</v>
      </c>
      <c r="C245" s="3">
        <v>25.4</v>
      </c>
      <c r="D245">
        <v>7.7591624389999998</v>
      </c>
      <c r="E245" s="4">
        <v>0.18</v>
      </c>
      <c r="F245" s="2">
        <v>72.986500000000007</v>
      </c>
      <c r="G245" s="2">
        <v>72.986500000000007</v>
      </c>
      <c r="I245">
        <f t="shared" si="18"/>
        <v>3.4999999999999931E-3</v>
      </c>
      <c r="J245">
        <f t="shared" si="19"/>
        <v>6.7434517080000056</v>
      </c>
      <c r="K245">
        <f t="shared" si="20"/>
        <v>5.3999999999999986</v>
      </c>
      <c r="L245">
        <f t="shared" si="21"/>
        <v>12.146951708000003</v>
      </c>
      <c r="O245">
        <f t="shared" si="22"/>
        <v>72.986500000000007</v>
      </c>
    </row>
    <row r="246" spans="1:15" ht="16" x14ac:dyDescent="0.2">
      <c r="A246" t="s">
        <v>10</v>
      </c>
      <c r="B246" t="s">
        <v>11</v>
      </c>
      <c r="C246" s="3">
        <v>25.4</v>
      </c>
      <c r="D246">
        <v>7.7591624389999998</v>
      </c>
      <c r="E246" s="4">
        <v>0.18</v>
      </c>
      <c r="F246" s="2">
        <v>73.941500000000005</v>
      </c>
      <c r="G246" s="2">
        <v>73.941500000000005</v>
      </c>
      <c r="I246">
        <f t="shared" si="18"/>
        <v>3.4999999999999931E-3</v>
      </c>
      <c r="J246">
        <f t="shared" si="19"/>
        <v>6.7434517080000056</v>
      </c>
      <c r="K246">
        <f t="shared" si="20"/>
        <v>5.3999999999999986</v>
      </c>
      <c r="L246">
        <f t="shared" si="21"/>
        <v>12.146951708000003</v>
      </c>
      <c r="O246">
        <f t="shared" si="22"/>
        <v>73.941500000000005</v>
      </c>
    </row>
    <row r="247" spans="1:15" ht="16" x14ac:dyDescent="0.2">
      <c r="A247" t="s">
        <v>10</v>
      </c>
      <c r="B247" t="s">
        <v>11</v>
      </c>
      <c r="C247" s="3">
        <v>25.4</v>
      </c>
      <c r="D247">
        <v>7.7591624389999998</v>
      </c>
      <c r="E247" s="4">
        <v>0.18</v>
      </c>
      <c r="F247" s="2">
        <v>71.51925</v>
      </c>
      <c r="G247" s="2">
        <v>71.51925</v>
      </c>
      <c r="I247">
        <f t="shared" si="18"/>
        <v>3.4999999999999931E-3</v>
      </c>
      <c r="J247">
        <f t="shared" si="19"/>
        <v>6.7434517080000056</v>
      </c>
      <c r="K247">
        <f t="shared" si="20"/>
        <v>5.3999999999999986</v>
      </c>
      <c r="L247">
        <f t="shared" si="21"/>
        <v>12.146951708000003</v>
      </c>
      <c r="O247">
        <f t="shared" si="22"/>
        <v>71.51925</v>
      </c>
    </row>
    <row r="248" spans="1:15" ht="16" x14ac:dyDescent="0.2">
      <c r="A248" t="s">
        <v>10</v>
      </c>
      <c r="B248" t="s">
        <v>11</v>
      </c>
      <c r="C248" s="3">
        <v>25.4</v>
      </c>
      <c r="D248">
        <v>7.7591624389999998</v>
      </c>
      <c r="E248" s="4">
        <v>0.18</v>
      </c>
      <c r="F248" s="2">
        <v>63.005499999999998</v>
      </c>
      <c r="G248" s="2">
        <v>63.005499999999998</v>
      </c>
      <c r="I248">
        <f t="shared" si="18"/>
        <v>3.4999999999999931E-3</v>
      </c>
      <c r="J248">
        <f t="shared" si="19"/>
        <v>6.7434517080000056</v>
      </c>
      <c r="K248">
        <f t="shared" si="20"/>
        <v>5.3999999999999986</v>
      </c>
      <c r="L248">
        <f t="shared" si="21"/>
        <v>12.146951708000003</v>
      </c>
      <c r="O248">
        <f t="shared" si="22"/>
        <v>63.005499999999998</v>
      </c>
    </row>
    <row r="249" spans="1:15" ht="16" x14ac:dyDescent="0.2">
      <c r="A249" t="s">
        <v>10</v>
      </c>
      <c r="B249" t="s">
        <v>11</v>
      </c>
      <c r="C249" s="3">
        <v>25.4</v>
      </c>
      <c r="D249">
        <v>7.7591624389999998</v>
      </c>
      <c r="E249" s="4">
        <v>0.18</v>
      </c>
      <c r="F249" s="2">
        <v>76.78725</v>
      </c>
      <c r="G249" s="2">
        <v>76.78725</v>
      </c>
      <c r="I249">
        <f t="shared" si="18"/>
        <v>3.4999999999999931E-3</v>
      </c>
      <c r="J249">
        <f t="shared" si="19"/>
        <v>6.7434517080000056</v>
      </c>
      <c r="K249">
        <f t="shared" si="20"/>
        <v>5.3999999999999986</v>
      </c>
      <c r="L249">
        <f t="shared" si="21"/>
        <v>12.146951708000003</v>
      </c>
      <c r="O249">
        <f t="shared" si="22"/>
        <v>76.78725</v>
      </c>
    </row>
    <row r="250" spans="1:15" ht="16" x14ac:dyDescent="0.2">
      <c r="A250" t="s">
        <v>10</v>
      </c>
      <c r="B250" t="s">
        <v>11</v>
      </c>
      <c r="C250" s="3">
        <v>25.4</v>
      </c>
      <c r="D250">
        <v>7.7591624389999998</v>
      </c>
      <c r="E250" s="4">
        <v>0.18</v>
      </c>
      <c r="F250" s="2">
        <v>72.307249999999996</v>
      </c>
      <c r="G250" s="2">
        <v>72.307249999999996</v>
      </c>
      <c r="I250">
        <f t="shared" si="18"/>
        <v>3.4999999999999931E-3</v>
      </c>
      <c r="J250">
        <f t="shared" si="19"/>
        <v>6.7434517080000056</v>
      </c>
      <c r="K250">
        <f t="shared" si="20"/>
        <v>5.3999999999999986</v>
      </c>
      <c r="L250">
        <f t="shared" si="21"/>
        <v>12.146951708000003</v>
      </c>
      <c r="O250">
        <f t="shared" si="22"/>
        <v>72.307249999999996</v>
      </c>
    </row>
    <row r="251" spans="1:15" ht="16" x14ac:dyDescent="0.2">
      <c r="A251" t="s">
        <v>10</v>
      </c>
      <c r="B251" t="s">
        <v>11</v>
      </c>
      <c r="C251" s="3">
        <v>25.4</v>
      </c>
      <c r="D251">
        <v>7.7591624389999998</v>
      </c>
      <c r="E251" s="4">
        <v>0.18</v>
      </c>
      <c r="F251" s="2">
        <v>76.546250000000001</v>
      </c>
      <c r="G251" s="2">
        <v>76.546250000000001</v>
      </c>
      <c r="I251">
        <f t="shared" si="18"/>
        <v>3.4999999999999931E-3</v>
      </c>
      <c r="J251">
        <f t="shared" si="19"/>
        <v>6.7434517080000056</v>
      </c>
      <c r="K251">
        <f t="shared" si="20"/>
        <v>5.3999999999999986</v>
      </c>
      <c r="L251">
        <f t="shared" si="21"/>
        <v>12.146951708000003</v>
      </c>
      <c r="O251">
        <f t="shared" si="22"/>
        <v>76.546250000000001</v>
      </c>
    </row>
    <row r="252" spans="1:15" ht="16" x14ac:dyDescent="0.2">
      <c r="A252" t="s">
        <v>10</v>
      </c>
      <c r="B252" t="s">
        <v>11</v>
      </c>
      <c r="C252" s="5">
        <v>25.4</v>
      </c>
      <c r="D252">
        <v>7.9732279239999997</v>
      </c>
      <c r="E252" s="6">
        <v>7</v>
      </c>
      <c r="F252" s="2">
        <v>67.457999999999998</v>
      </c>
      <c r="G252" s="2">
        <v>67.457999999999998</v>
      </c>
      <c r="I252">
        <f t="shared" si="18"/>
        <v>2.3904999999999998</v>
      </c>
      <c r="J252">
        <f t="shared" si="19"/>
        <v>0.74961812800000871</v>
      </c>
      <c r="K252">
        <f t="shared" si="20"/>
        <v>5.3999999999999986</v>
      </c>
      <c r="L252">
        <f t="shared" si="21"/>
        <v>8.5401181280000067</v>
      </c>
      <c r="O252">
        <f t="shared" si="22"/>
        <v>67.457999999999998</v>
      </c>
    </row>
    <row r="253" spans="1:15" ht="16" x14ac:dyDescent="0.2">
      <c r="A253" t="s">
        <v>10</v>
      </c>
      <c r="B253" t="s">
        <v>11</v>
      </c>
      <c r="C253" s="7">
        <v>25.4</v>
      </c>
      <c r="D253">
        <v>7.9732279239999997</v>
      </c>
      <c r="E253" s="8">
        <v>7</v>
      </c>
      <c r="F253" s="2">
        <v>70.489999999999995</v>
      </c>
      <c r="G253" s="2">
        <v>70.489999999999995</v>
      </c>
      <c r="I253">
        <f t="shared" si="18"/>
        <v>2.3904999999999998</v>
      </c>
      <c r="J253">
        <f t="shared" si="19"/>
        <v>0.74961812800000871</v>
      </c>
      <c r="K253">
        <f t="shared" si="20"/>
        <v>5.3999999999999986</v>
      </c>
      <c r="L253">
        <f t="shared" si="21"/>
        <v>8.5401181280000067</v>
      </c>
      <c r="O253">
        <f t="shared" si="22"/>
        <v>70.489999999999995</v>
      </c>
    </row>
    <row r="254" spans="1:15" ht="16" x14ac:dyDescent="0.2">
      <c r="A254" t="s">
        <v>10</v>
      </c>
      <c r="B254" t="s">
        <v>11</v>
      </c>
      <c r="C254" s="5">
        <v>25.4</v>
      </c>
      <c r="D254">
        <v>7.9732279239999997</v>
      </c>
      <c r="E254" s="6">
        <v>7</v>
      </c>
      <c r="F254" s="2">
        <v>60.255250000000004</v>
      </c>
      <c r="G254" s="2">
        <v>60.255250000000004</v>
      </c>
      <c r="I254">
        <f t="shared" si="18"/>
        <v>2.3904999999999998</v>
      </c>
      <c r="J254">
        <f t="shared" si="19"/>
        <v>0.74961812800000871</v>
      </c>
      <c r="K254">
        <f t="shared" si="20"/>
        <v>5.3999999999999986</v>
      </c>
      <c r="L254">
        <f t="shared" si="21"/>
        <v>8.5401181280000067</v>
      </c>
      <c r="O254">
        <f t="shared" si="22"/>
        <v>60.255250000000004</v>
      </c>
    </row>
    <row r="255" spans="1:15" ht="16" x14ac:dyDescent="0.2">
      <c r="A255" t="s">
        <v>10</v>
      </c>
      <c r="B255" t="s">
        <v>11</v>
      </c>
      <c r="C255" s="7">
        <v>25.4</v>
      </c>
      <c r="D255">
        <v>7.9732279239999997</v>
      </c>
      <c r="E255" s="8">
        <v>7</v>
      </c>
      <c r="F255" s="2">
        <v>71.189499999999995</v>
      </c>
      <c r="G255" s="2">
        <v>71.189499999999995</v>
      </c>
      <c r="I255">
        <f t="shared" si="18"/>
        <v>2.3904999999999998</v>
      </c>
      <c r="J255">
        <f t="shared" si="19"/>
        <v>0.74961812800000871</v>
      </c>
      <c r="K255">
        <f t="shared" si="20"/>
        <v>5.3999999999999986</v>
      </c>
      <c r="L255">
        <f t="shared" si="21"/>
        <v>8.5401181280000067</v>
      </c>
      <c r="O255">
        <f t="shared" si="22"/>
        <v>71.189499999999995</v>
      </c>
    </row>
    <row r="256" spans="1:15" ht="16" x14ac:dyDescent="0.2">
      <c r="A256" t="s">
        <v>10</v>
      </c>
      <c r="B256" t="s">
        <v>11</v>
      </c>
      <c r="C256" s="5">
        <v>25.4</v>
      </c>
      <c r="D256">
        <v>7.9732279239999997</v>
      </c>
      <c r="E256" s="6">
        <v>7</v>
      </c>
      <c r="F256" s="2">
        <v>74.820750000000004</v>
      </c>
      <c r="G256" s="2">
        <v>74.820750000000004</v>
      </c>
      <c r="I256">
        <f t="shared" si="18"/>
        <v>2.3904999999999998</v>
      </c>
      <c r="J256">
        <f t="shared" si="19"/>
        <v>0.74961812800000871</v>
      </c>
      <c r="K256">
        <f t="shared" si="20"/>
        <v>5.3999999999999986</v>
      </c>
      <c r="L256">
        <f t="shared" si="21"/>
        <v>8.5401181280000067</v>
      </c>
      <c r="O256">
        <f t="shared" ref="O256:O287" si="23">G256</f>
        <v>74.820750000000004</v>
      </c>
    </row>
    <row r="257" spans="1:15" ht="16" x14ac:dyDescent="0.2">
      <c r="A257" t="s">
        <v>10</v>
      </c>
      <c r="B257" t="s">
        <v>11</v>
      </c>
      <c r="C257" s="7">
        <v>25.4</v>
      </c>
      <c r="D257">
        <v>7.9732279239999997</v>
      </c>
      <c r="E257" s="8">
        <v>7</v>
      </c>
      <c r="F257" s="2">
        <v>70.762</v>
      </c>
      <c r="G257" s="2">
        <v>70.762</v>
      </c>
      <c r="I257">
        <f t="shared" si="18"/>
        <v>2.3904999999999998</v>
      </c>
      <c r="J257">
        <f t="shared" si="19"/>
        <v>0.74961812800000871</v>
      </c>
      <c r="K257">
        <f t="shared" si="20"/>
        <v>5.3999999999999986</v>
      </c>
      <c r="L257">
        <f t="shared" si="21"/>
        <v>8.5401181280000067</v>
      </c>
      <c r="O257">
        <f t="shared" si="23"/>
        <v>70.762</v>
      </c>
    </row>
    <row r="258" spans="1:15" ht="16" x14ac:dyDescent="0.2">
      <c r="A258" t="s">
        <v>10</v>
      </c>
      <c r="B258" t="s">
        <v>11</v>
      </c>
      <c r="C258" s="5">
        <v>25.4</v>
      </c>
      <c r="D258">
        <v>7.9732279239999997</v>
      </c>
      <c r="E258" s="6">
        <v>7</v>
      </c>
      <c r="F258" s="2">
        <v>73.534999999999997</v>
      </c>
      <c r="G258" s="2">
        <v>73.534999999999997</v>
      </c>
      <c r="I258">
        <f t="shared" ref="I258:I321" si="24">(E258-0.17)*$S$2</f>
        <v>2.3904999999999998</v>
      </c>
      <c r="J258">
        <f t="shared" ref="J258:J321" si="25">(8-D258)*$S$4</f>
        <v>0.74961812800000871</v>
      </c>
      <c r="K258">
        <f t="shared" ref="K258:K321" si="26">(C258-20)*$S$3</f>
        <v>5.3999999999999986</v>
      </c>
      <c r="L258">
        <f t="shared" ref="L258:L321" si="27">SUM(I258:K258)+($V$2*(J258*K258))</f>
        <v>8.5401181280000067</v>
      </c>
      <c r="O258">
        <f t="shared" si="23"/>
        <v>73.534999999999997</v>
      </c>
    </row>
    <row r="259" spans="1:15" ht="16" x14ac:dyDescent="0.2">
      <c r="A259" t="s">
        <v>10</v>
      </c>
      <c r="B259" t="s">
        <v>11</v>
      </c>
      <c r="C259" s="7">
        <v>25.4</v>
      </c>
      <c r="D259">
        <v>7.9732279239999997</v>
      </c>
      <c r="E259" s="8">
        <v>7</v>
      </c>
      <c r="F259" s="2">
        <v>68.245999999999995</v>
      </c>
      <c r="G259" s="2">
        <v>68.245999999999995</v>
      </c>
      <c r="I259">
        <f t="shared" si="24"/>
        <v>2.3904999999999998</v>
      </c>
      <c r="J259">
        <f t="shared" si="25"/>
        <v>0.74961812800000871</v>
      </c>
      <c r="K259">
        <f t="shared" si="26"/>
        <v>5.3999999999999986</v>
      </c>
      <c r="L259">
        <f t="shared" si="27"/>
        <v>8.5401181280000067</v>
      </c>
      <c r="O259">
        <f t="shared" si="23"/>
        <v>68.245999999999995</v>
      </c>
    </row>
    <row r="260" spans="1:15" ht="16" x14ac:dyDescent="0.2">
      <c r="A260" t="s">
        <v>10</v>
      </c>
      <c r="B260" t="s">
        <v>11</v>
      </c>
      <c r="C260" s="5">
        <v>25.4</v>
      </c>
      <c r="D260">
        <v>7.9732279239999997</v>
      </c>
      <c r="E260" s="6">
        <v>7</v>
      </c>
      <c r="F260" s="2">
        <v>77.494749999999996</v>
      </c>
      <c r="G260" s="2">
        <v>77.494749999999996</v>
      </c>
      <c r="I260">
        <f t="shared" si="24"/>
        <v>2.3904999999999998</v>
      </c>
      <c r="J260">
        <f t="shared" si="25"/>
        <v>0.74961812800000871</v>
      </c>
      <c r="K260">
        <f t="shared" si="26"/>
        <v>5.3999999999999986</v>
      </c>
      <c r="L260">
        <f t="shared" si="27"/>
        <v>8.5401181280000067</v>
      </c>
      <c r="O260">
        <f t="shared" si="23"/>
        <v>77.494749999999996</v>
      </c>
    </row>
    <row r="261" spans="1:15" ht="16" x14ac:dyDescent="0.2">
      <c r="A261" t="s">
        <v>10</v>
      </c>
      <c r="B261" t="s">
        <v>11</v>
      </c>
      <c r="C261" s="7">
        <v>25.4</v>
      </c>
      <c r="D261">
        <v>7.9732279239999997</v>
      </c>
      <c r="E261" s="8">
        <v>7</v>
      </c>
      <c r="F261" s="2">
        <v>77.151499999999999</v>
      </c>
      <c r="G261" s="2">
        <v>77.151499999999999</v>
      </c>
      <c r="I261">
        <f t="shared" si="24"/>
        <v>2.3904999999999998</v>
      </c>
      <c r="J261">
        <f t="shared" si="25"/>
        <v>0.74961812800000871</v>
      </c>
      <c r="K261">
        <f t="shared" si="26"/>
        <v>5.3999999999999986</v>
      </c>
      <c r="L261">
        <f t="shared" si="27"/>
        <v>8.5401181280000067</v>
      </c>
      <c r="O261">
        <f t="shared" si="23"/>
        <v>77.151499999999999</v>
      </c>
    </row>
    <row r="262" spans="1:15" ht="16" x14ac:dyDescent="0.2">
      <c r="A262" t="s">
        <v>10</v>
      </c>
      <c r="B262" t="s">
        <v>11</v>
      </c>
      <c r="C262" s="5">
        <v>25.4</v>
      </c>
      <c r="D262">
        <v>7.9732279239999997</v>
      </c>
      <c r="E262" s="6">
        <v>7</v>
      </c>
      <c r="F262" s="2">
        <v>71.0685</v>
      </c>
      <c r="G262" s="2">
        <v>71.0685</v>
      </c>
      <c r="I262">
        <f t="shared" si="24"/>
        <v>2.3904999999999998</v>
      </c>
      <c r="J262">
        <f t="shared" si="25"/>
        <v>0.74961812800000871</v>
      </c>
      <c r="K262">
        <f t="shared" si="26"/>
        <v>5.3999999999999986</v>
      </c>
      <c r="L262">
        <f t="shared" si="27"/>
        <v>8.5401181280000067</v>
      </c>
      <c r="O262">
        <f t="shared" si="23"/>
        <v>71.0685</v>
      </c>
    </row>
    <row r="263" spans="1:15" ht="16" x14ac:dyDescent="0.2">
      <c r="A263" t="s">
        <v>10</v>
      </c>
      <c r="B263" t="s">
        <v>11</v>
      </c>
      <c r="C263" s="7">
        <v>25.3</v>
      </c>
      <c r="D263">
        <v>7.9751655599999998</v>
      </c>
      <c r="E263" s="8">
        <v>7</v>
      </c>
      <c r="F263" s="2">
        <v>77.197500000000005</v>
      </c>
      <c r="G263" s="2">
        <v>77.197500000000005</v>
      </c>
      <c r="I263">
        <f t="shared" si="24"/>
        <v>2.3904999999999998</v>
      </c>
      <c r="J263">
        <f t="shared" si="25"/>
        <v>0.69536432000000659</v>
      </c>
      <c r="K263">
        <f t="shared" si="26"/>
        <v>5.3000000000000007</v>
      </c>
      <c r="L263">
        <f t="shared" si="27"/>
        <v>8.3858643200000067</v>
      </c>
      <c r="O263">
        <f t="shared" si="23"/>
        <v>77.197500000000005</v>
      </c>
    </row>
    <row r="264" spans="1:15" ht="16" x14ac:dyDescent="0.2">
      <c r="A264" t="s">
        <v>10</v>
      </c>
      <c r="B264" t="s">
        <v>11</v>
      </c>
      <c r="C264" s="5">
        <v>25.3</v>
      </c>
      <c r="D264">
        <v>7.9751655599999998</v>
      </c>
      <c r="E264" s="6">
        <v>7</v>
      </c>
      <c r="F264" s="2">
        <v>71.883499999999998</v>
      </c>
      <c r="G264" s="2">
        <v>71.883499999999998</v>
      </c>
      <c r="I264">
        <f t="shared" si="24"/>
        <v>2.3904999999999998</v>
      </c>
      <c r="J264">
        <f t="shared" si="25"/>
        <v>0.69536432000000659</v>
      </c>
      <c r="K264">
        <f t="shared" si="26"/>
        <v>5.3000000000000007</v>
      </c>
      <c r="L264">
        <f t="shared" si="27"/>
        <v>8.3858643200000067</v>
      </c>
      <c r="O264">
        <f t="shared" si="23"/>
        <v>71.883499999999998</v>
      </c>
    </row>
    <row r="265" spans="1:15" ht="16" x14ac:dyDescent="0.2">
      <c r="A265" t="s">
        <v>10</v>
      </c>
      <c r="B265" t="s">
        <v>11</v>
      </c>
      <c r="C265" s="7">
        <v>25.3</v>
      </c>
      <c r="D265">
        <v>7.9751655599999998</v>
      </c>
      <c r="E265" s="8">
        <v>7</v>
      </c>
      <c r="F265" s="2">
        <v>75.876999999999995</v>
      </c>
      <c r="G265" s="2">
        <v>75.876999999999995</v>
      </c>
      <c r="I265">
        <f t="shared" si="24"/>
        <v>2.3904999999999998</v>
      </c>
      <c r="J265">
        <f t="shared" si="25"/>
        <v>0.69536432000000659</v>
      </c>
      <c r="K265">
        <f t="shared" si="26"/>
        <v>5.3000000000000007</v>
      </c>
      <c r="L265">
        <f t="shared" si="27"/>
        <v>8.3858643200000067</v>
      </c>
      <c r="O265">
        <f t="shared" si="23"/>
        <v>75.876999999999995</v>
      </c>
    </row>
    <row r="266" spans="1:15" ht="16" x14ac:dyDescent="0.2">
      <c r="A266" t="s">
        <v>10</v>
      </c>
      <c r="B266" t="s">
        <v>11</v>
      </c>
      <c r="C266" s="5">
        <v>25.3</v>
      </c>
      <c r="D266">
        <v>7.9751655599999998</v>
      </c>
      <c r="E266" s="6">
        <v>7</v>
      </c>
      <c r="F266" s="2">
        <v>73.278000000000006</v>
      </c>
      <c r="G266" s="2">
        <v>73.278000000000006</v>
      </c>
      <c r="I266">
        <f t="shared" si="24"/>
        <v>2.3904999999999998</v>
      </c>
      <c r="J266">
        <f t="shared" si="25"/>
        <v>0.69536432000000659</v>
      </c>
      <c r="K266">
        <f t="shared" si="26"/>
        <v>5.3000000000000007</v>
      </c>
      <c r="L266">
        <f t="shared" si="27"/>
        <v>8.3858643200000067</v>
      </c>
      <c r="O266">
        <f t="shared" si="23"/>
        <v>73.278000000000006</v>
      </c>
    </row>
    <row r="267" spans="1:15" ht="16" x14ac:dyDescent="0.2">
      <c r="A267" t="s">
        <v>10</v>
      </c>
      <c r="B267" t="s">
        <v>11</v>
      </c>
      <c r="C267" s="7">
        <v>25.3</v>
      </c>
      <c r="D267">
        <v>7.9751655599999998</v>
      </c>
      <c r="E267" s="8">
        <v>7</v>
      </c>
      <c r="F267" s="2">
        <v>62.786000000000001</v>
      </c>
      <c r="G267" s="2">
        <v>62.786000000000001</v>
      </c>
      <c r="I267">
        <f t="shared" si="24"/>
        <v>2.3904999999999998</v>
      </c>
      <c r="J267">
        <f t="shared" si="25"/>
        <v>0.69536432000000659</v>
      </c>
      <c r="K267">
        <f t="shared" si="26"/>
        <v>5.3000000000000007</v>
      </c>
      <c r="L267">
        <f t="shared" si="27"/>
        <v>8.3858643200000067</v>
      </c>
      <c r="O267">
        <f t="shared" si="23"/>
        <v>62.786000000000001</v>
      </c>
    </row>
    <row r="268" spans="1:15" ht="16" x14ac:dyDescent="0.2">
      <c r="A268" t="s">
        <v>10</v>
      </c>
      <c r="B268" t="s">
        <v>11</v>
      </c>
      <c r="C268" s="5">
        <v>25.3</v>
      </c>
      <c r="D268">
        <v>7.9751655599999998</v>
      </c>
      <c r="E268" s="6">
        <v>7</v>
      </c>
      <c r="F268" s="2">
        <v>70.564250000000001</v>
      </c>
      <c r="G268" s="2">
        <v>70.564250000000001</v>
      </c>
      <c r="I268">
        <f t="shared" si="24"/>
        <v>2.3904999999999998</v>
      </c>
      <c r="J268">
        <f t="shared" si="25"/>
        <v>0.69536432000000659</v>
      </c>
      <c r="K268">
        <f t="shared" si="26"/>
        <v>5.3000000000000007</v>
      </c>
      <c r="L268">
        <f t="shared" si="27"/>
        <v>8.3858643200000067</v>
      </c>
      <c r="O268">
        <f t="shared" si="23"/>
        <v>70.564250000000001</v>
      </c>
    </row>
    <row r="269" spans="1:15" ht="16" x14ac:dyDescent="0.2">
      <c r="A269" t="s">
        <v>10</v>
      </c>
      <c r="B269" t="s">
        <v>11</v>
      </c>
      <c r="C269" s="7">
        <v>25.3</v>
      </c>
      <c r="D269">
        <v>7.9751655599999998</v>
      </c>
      <c r="E269" s="8">
        <v>7</v>
      </c>
      <c r="F269" s="2">
        <v>60.857500000000002</v>
      </c>
      <c r="G269" s="2">
        <v>60.857500000000002</v>
      </c>
      <c r="I269">
        <f t="shared" si="24"/>
        <v>2.3904999999999998</v>
      </c>
      <c r="J269">
        <f t="shared" si="25"/>
        <v>0.69536432000000659</v>
      </c>
      <c r="K269">
        <f t="shared" si="26"/>
        <v>5.3000000000000007</v>
      </c>
      <c r="L269">
        <f t="shared" si="27"/>
        <v>8.3858643200000067</v>
      </c>
      <c r="O269">
        <f t="shared" si="23"/>
        <v>60.857500000000002</v>
      </c>
    </row>
    <row r="270" spans="1:15" ht="16" x14ac:dyDescent="0.2">
      <c r="A270" t="s">
        <v>10</v>
      </c>
      <c r="B270" t="s">
        <v>11</v>
      </c>
      <c r="C270" s="5">
        <v>25.3</v>
      </c>
      <c r="D270">
        <v>7.9751655599999998</v>
      </c>
      <c r="E270" s="6">
        <v>7</v>
      </c>
      <c r="F270" s="2">
        <v>70.515000000000001</v>
      </c>
      <c r="G270" s="2">
        <v>70.515000000000001</v>
      </c>
      <c r="I270">
        <f t="shared" si="24"/>
        <v>2.3904999999999998</v>
      </c>
      <c r="J270">
        <f t="shared" si="25"/>
        <v>0.69536432000000659</v>
      </c>
      <c r="K270">
        <f t="shared" si="26"/>
        <v>5.3000000000000007</v>
      </c>
      <c r="L270">
        <f t="shared" si="27"/>
        <v>8.3858643200000067</v>
      </c>
      <c r="O270">
        <f t="shared" si="23"/>
        <v>70.515000000000001</v>
      </c>
    </row>
    <row r="271" spans="1:15" ht="16" x14ac:dyDescent="0.2">
      <c r="A271" t="s">
        <v>10</v>
      </c>
      <c r="B271" t="s">
        <v>11</v>
      </c>
      <c r="C271" s="3">
        <v>20.9</v>
      </c>
      <c r="D271">
        <v>7.9628832129999996</v>
      </c>
      <c r="E271" s="4">
        <v>0.18</v>
      </c>
      <c r="F271" s="2">
        <v>62.034499999999994</v>
      </c>
      <c r="G271" s="2">
        <v>62.034499999999994</v>
      </c>
      <c r="I271">
        <f t="shared" si="24"/>
        <v>3.4999999999999931E-3</v>
      </c>
      <c r="J271">
        <f t="shared" si="25"/>
        <v>1.039270036000012</v>
      </c>
      <c r="K271">
        <f t="shared" si="26"/>
        <v>0.89999999999999858</v>
      </c>
      <c r="L271">
        <f t="shared" si="27"/>
        <v>1.9427700360000106</v>
      </c>
      <c r="O271">
        <f t="shared" si="23"/>
        <v>62.034499999999994</v>
      </c>
    </row>
    <row r="272" spans="1:15" ht="16" x14ac:dyDescent="0.2">
      <c r="A272" t="s">
        <v>10</v>
      </c>
      <c r="B272" t="s">
        <v>11</v>
      </c>
      <c r="C272" s="3">
        <v>20.9</v>
      </c>
      <c r="D272">
        <v>7.9628832129999996</v>
      </c>
      <c r="E272" s="4">
        <v>0.18</v>
      </c>
      <c r="F272" s="2">
        <v>64.097999999999999</v>
      </c>
      <c r="G272" s="2">
        <v>64.097999999999999</v>
      </c>
      <c r="I272">
        <f t="shared" si="24"/>
        <v>3.4999999999999931E-3</v>
      </c>
      <c r="J272">
        <f t="shared" si="25"/>
        <v>1.039270036000012</v>
      </c>
      <c r="K272">
        <f t="shared" si="26"/>
        <v>0.89999999999999858</v>
      </c>
      <c r="L272">
        <f t="shared" si="27"/>
        <v>1.9427700360000106</v>
      </c>
      <c r="O272">
        <f t="shared" si="23"/>
        <v>64.097999999999999</v>
      </c>
    </row>
    <row r="273" spans="1:15" ht="16" x14ac:dyDescent="0.2">
      <c r="A273" t="s">
        <v>10</v>
      </c>
      <c r="B273" t="s">
        <v>11</v>
      </c>
      <c r="C273" s="3">
        <v>20.9</v>
      </c>
      <c r="D273">
        <v>7.9628832129999996</v>
      </c>
      <c r="E273" s="4">
        <v>0.18</v>
      </c>
      <c r="F273" s="2">
        <v>66.070499999999996</v>
      </c>
      <c r="G273" s="2">
        <v>66.070499999999996</v>
      </c>
      <c r="I273">
        <f t="shared" si="24"/>
        <v>3.4999999999999931E-3</v>
      </c>
      <c r="J273">
        <f t="shared" si="25"/>
        <v>1.039270036000012</v>
      </c>
      <c r="K273">
        <f t="shared" si="26"/>
        <v>0.89999999999999858</v>
      </c>
      <c r="L273">
        <f t="shared" si="27"/>
        <v>1.9427700360000106</v>
      </c>
      <c r="O273">
        <f t="shared" si="23"/>
        <v>66.070499999999996</v>
      </c>
    </row>
    <row r="274" spans="1:15" ht="16" x14ac:dyDescent="0.2">
      <c r="A274" t="s">
        <v>10</v>
      </c>
      <c r="B274" t="s">
        <v>11</v>
      </c>
      <c r="C274" s="3">
        <v>20.9</v>
      </c>
      <c r="D274">
        <v>7.9628832129999996</v>
      </c>
      <c r="E274" s="4">
        <v>0.18</v>
      </c>
      <c r="F274" s="2">
        <v>64.358999999999995</v>
      </c>
      <c r="G274" s="2">
        <v>64.358999999999995</v>
      </c>
      <c r="I274">
        <f t="shared" si="24"/>
        <v>3.4999999999999931E-3</v>
      </c>
      <c r="J274">
        <f t="shared" si="25"/>
        <v>1.039270036000012</v>
      </c>
      <c r="K274">
        <f t="shared" si="26"/>
        <v>0.89999999999999858</v>
      </c>
      <c r="L274">
        <f t="shared" si="27"/>
        <v>1.9427700360000106</v>
      </c>
      <c r="O274">
        <f t="shared" si="23"/>
        <v>64.358999999999995</v>
      </c>
    </row>
    <row r="275" spans="1:15" ht="16" x14ac:dyDescent="0.2">
      <c r="A275" t="s">
        <v>10</v>
      </c>
      <c r="B275" t="s">
        <v>11</v>
      </c>
      <c r="C275" s="3">
        <v>20.9</v>
      </c>
      <c r="D275">
        <v>7.9628832129999996</v>
      </c>
      <c r="E275" s="4">
        <v>0.18</v>
      </c>
      <c r="F275" s="2">
        <v>64.386750000000006</v>
      </c>
      <c r="G275" s="2">
        <v>64.386750000000006</v>
      </c>
      <c r="I275">
        <f t="shared" si="24"/>
        <v>3.4999999999999931E-3</v>
      </c>
      <c r="J275">
        <f t="shared" si="25"/>
        <v>1.039270036000012</v>
      </c>
      <c r="K275">
        <f t="shared" si="26"/>
        <v>0.89999999999999858</v>
      </c>
      <c r="L275">
        <f t="shared" si="27"/>
        <v>1.9427700360000106</v>
      </c>
      <c r="O275">
        <f t="shared" si="23"/>
        <v>64.386750000000006</v>
      </c>
    </row>
    <row r="276" spans="1:15" ht="16" x14ac:dyDescent="0.2">
      <c r="A276" t="s">
        <v>10</v>
      </c>
      <c r="B276" t="s">
        <v>11</v>
      </c>
      <c r="C276" s="3">
        <v>20.9</v>
      </c>
      <c r="D276">
        <v>7.9628832129999996</v>
      </c>
      <c r="E276" s="4">
        <v>0.18</v>
      </c>
      <c r="F276" s="2">
        <v>64.91825</v>
      </c>
      <c r="G276" s="2">
        <v>64.91825</v>
      </c>
      <c r="I276">
        <f t="shared" si="24"/>
        <v>3.4999999999999931E-3</v>
      </c>
      <c r="J276">
        <f t="shared" si="25"/>
        <v>1.039270036000012</v>
      </c>
      <c r="K276">
        <f t="shared" si="26"/>
        <v>0.89999999999999858</v>
      </c>
      <c r="L276">
        <f t="shared" si="27"/>
        <v>1.9427700360000106</v>
      </c>
      <c r="O276">
        <f t="shared" si="23"/>
        <v>64.91825</v>
      </c>
    </row>
    <row r="277" spans="1:15" ht="16" x14ac:dyDescent="0.2">
      <c r="A277" t="s">
        <v>10</v>
      </c>
      <c r="B277" t="s">
        <v>11</v>
      </c>
      <c r="C277" s="3">
        <v>20.9</v>
      </c>
      <c r="D277">
        <v>7.9628832129999996</v>
      </c>
      <c r="E277" s="4">
        <v>0.18</v>
      </c>
      <c r="F277" s="2">
        <v>63.464749999999995</v>
      </c>
      <c r="G277" s="2">
        <v>63.464749999999995</v>
      </c>
      <c r="I277">
        <f t="shared" si="24"/>
        <v>3.4999999999999931E-3</v>
      </c>
      <c r="J277">
        <f t="shared" si="25"/>
        <v>1.039270036000012</v>
      </c>
      <c r="K277">
        <f t="shared" si="26"/>
        <v>0.89999999999999858</v>
      </c>
      <c r="L277">
        <f t="shared" si="27"/>
        <v>1.9427700360000106</v>
      </c>
      <c r="O277">
        <f t="shared" si="23"/>
        <v>63.464749999999995</v>
      </c>
    </row>
    <row r="278" spans="1:15" ht="16" x14ac:dyDescent="0.2">
      <c r="A278" t="s">
        <v>10</v>
      </c>
      <c r="B278" t="s">
        <v>11</v>
      </c>
      <c r="C278" s="3">
        <v>20.9</v>
      </c>
      <c r="D278">
        <v>7.9628832129999996</v>
      </c>
      <c r="E278" s="4">
        <v>0.18</v>
      </c>
      <c r="F278" s="2">
        <v>64.401499999999999</v>
      </c>
      <c r="G278" s="2">
        <v>64.401499999999999</v>
      </c>
      <c r="I278">
        <f t="shared" si="24"/>
        <v>3.4999999999999931E-3</v>
      </c>
      <c r="J278">
        <f t="shared" si="25"/>
        <v>1.039270036000012</v>
      </c>
      <c r="K278">
        <f t="shared" si="26"/>
        <v>0.89999999999999858</v>
      </c>
      <c r="L278">
        <f t="shared" si="27"/>
        <v>1.9427700360000106</v>
      </c>
      <c r="O278">
        <f t="shared" si="23"/>
        <v>64.401499999999999</v>
      </c>
    </row>
    <row r="279" spans="1:15" ht="16" x14ac:dyDescent="0.2">
      <c r="A279" t="s">
        <v>10</v>
      </c>
      <c r="B279" t="s">
        <v>11</v>
      </c>
      <c r="C279" s="3">
        <v>20.9</v>
      </c>
      <c r="D279">
        <v>7.9628832129999996</v>
      </c>
      <c r="E279" s="4">
        <v>0.18</v>
      </c>
      <c r="F279" s="2">
        <v>60.358500000000006</v>
      </c>
      <c r="G279" s="2">
        <v>60.358500000000006</v>
      </c>
      <c r="I279">
        <f t="shared" si="24"/>
        <v>3.4999999999999931E-3</v>
      </c>
      <c r="J279">
        <f t="shared" si="25"/>
        <v>1.039270036000012</v>
      </c>
      <c r="K279">
        <f t="shared" si="26"/>
        <v>0.89999999999999858</v>
      </c>
      <c r="L279">
        <f t="shared" si="27"/>
        <v>1.9427700360000106</v>
      </c>
      <c r="O279">
        <f t="shared" si="23"/>
        <v>60.358500000000006</v>
      </c>
    </row>
    <row r="280" spans="1:15" ht="16" x14ac:dyDescent="0.2">
      <c r="A280" t="s">
        <v>10</v>
      </c>
      <c r="B280" t="s">
        <v>11</v>
      </c>
      <c r="C280" s="3">
        <v>20.7</v>
      </c>
      <c r="D280">
        <v>7.9715645310000003</v>
      </c>
      <c r="E280" s="4">
        <v>0.18</v>
      </c>
      <c r="F280" s="2">
        <v>73.606250000000003</v>
      </c>
      <c r="G280" s="2">
        <v>73.606250000000003</v>
      </c>
      <c r="I280">
        <f t="shared" si="24"/>
        <v>3.4999999999999931E-3</v>
      </c>
      <c r="J280">
        <f t="shared" si="25"/>
        <v>0.79619313199999198</v>
      </c>
      <c r="K280">
        <f t="shared" si="26"/>
        <v>0.69999999999999929</v>
      </c>
      <c r="L280">
        <f t="shared" si="27"/>
        <v>1.4996931319999911</v>
      </c>
      <c r="O280">
        <f t="shared" si="23"/>
        <v>73.606250000000003</v>
      </c>
    </row>
    <row r="281" spans="1:15" ht="16" x14ac:dyDescent="0.2">
      <c r="A281" t="s">
        <v>10</v>
      </c>
      <c r="B281" t="s">
        <v>11</v>
      </c>
      <c r="C281" s="3">
        <v>20.7</v>
      </c>
      <c r="D281">
        <v>7.9715645310000003</v>
      </c>
      <c r="E281" s="4">
        <v>0.18</v>
      </c>
      <c r="F281" s="2">
        <v>73.959249999999997</v>
      </c>
      <c r="G281" s="2">
        <v>73.959249999999997</v>
      </c>
      <c r="I281">
        <f t="shared" si="24"/>
        <v>3.4999999999999931E-3</v>
      </c>
      <c r="J281">
        <f t="shared" si="25"/>
        <v>0.79619313199999198</v>
      </c>
      <c r="K281">
        <f t="shared" si="26"/>
        <v>0.69999999999999929</v>
      </c>
      <c r="L281">
        <f t="shared" si="27"/>
        <v>1.4996931319999911</v>
      </c>
      <c r="O281">
        <f t="shared" si="23"/>
        <v>73.959249999999997</v>
      </c>
    </row>
    <row r="282" spans="1:15" ht="16" x14ac:dyDescent="0.2">
      <c r="A282" t="s">
        <v>10</v>
      </c>
      <c r="B282" t="s">
        <v>11</v>
      </c>
      <c r="C282" s="3">
        <v>20.7</v>
      </c>
      <c r="D282">
        <v>7.9715645310000003</v>
      </c>
      <c r="E282" s="4">
        <v>0.18</v>
      </c>
      <c r="F282" s="2">
        <v>74.582750000000004</v>
      </c>
      <c r="G282" s="2">
        <v>74.582750000000004</v>
      </c>
      <c r="I282">
        <f t="shared" si="24"/>
        <v>3.4999999999999931E-3</v>
      </c>
      <c r="J282">
        <f t="shared" si="25"/>
        <v>0.79619313199999198</v>
      </c>
      <c r="K282">
        <f t="shared" si="26"/>
        <v>0.69999999999999929</v>
      </c>
      <c r="L282">
        <f t="shared" si="27"/>
        <v>1.4996931319999911</v>
      </c>
      <c r="O282">
        <f t="shared" si="23"/>
        <v>74.582750000000004</v>
      </c>
    </row>
    <row r="283" spans="1:15" ht="16" x14ac:dyDescent="0.2">
      <c r="A283" t="s">
        <v>10</v>
      </c>
      <c r="B283" t="s">
        <v>11</v>
      </c>
      <c r="C283" s="3">
        <v>20.7</v>
      </c>
      <c r="D283">
        <v>7.9715645310000003</v>
      </c>
      <c r="E283" s="4">
        <v>0.18</v>
      </c>
      <c r="F283" s="2">
        <v>77.698750000000004</v>
      </c>
      <c r="G283" s="2">
        <v>77.698750000000004</v>
      </c>
      <c r="I283">
        <f t="shared" si="24"/>
        <v>3.4999999999999931E-3</v>
      </c>
      <c r="J283">
        <f t="shared" si="25"/>
        <v>0.79619313199999198</v>
      </c>
      <c r="K283">
        <f t="shared" si="26"/>
        <v>0.69999999999999929</v>
      </c>
      <c r="L283">
        <f t="shared" si="27"/>
        <v>1.4996931319999911</v>
      </c>
      <c r="O283">
        <f t="shared" si="23"/>
        <v>77.698750000000004</v>
      </c>
    </row>
    <row r="284" spans="1:15" ht="16" x14ac:dyDescent="0.2">
      <c r="A284" t="s">
        <v>10</v>
      </c>
      <c r="B284" t="s">
        <v>11</v>
      </c>
      <c r="C284" s="3">
        <v>20.7</v>
      </c>
      <c r="D284">
        <v>7.9715645310000003</v>
      </c>
      <c r="E284" s="4">
        <v>0.18</v>
      </c>
      <c r="F284" s="2">
        <v>75.792749999999998</v>
      </c>
      <c r="G284" s="2">
        <v>75.792749999999998</v>
      </c>
      <c r="I284">
        <f t="shared" si="24"/>
        <v>3.4999999999999931E-3</v>
      </c>
      <c r="J284">
        <f t="shared" si="25"/>
        <v>0.79619313199999198</v>
      </c>
      <c r="K284">
        <f t="shared" si="26"/>
        <v>0.69999999999999929</v>
      </c>
      <c r="L284">
        <f t="shared" si="27"/>
        <v>1.4996931319999911</v>
      </c>
      <c r="O284">
        <f t="shared" si="23"/>
        <v>75.792749999999998</v>
      </c>
    </row>
    <row r="285" spans="1:15" ht="16" x14ac:dyDescent="0.2">
      <c r="A285" t="s">
        <v>10</v>
      </c>
      <c r="B285" t="s">
        <v>11</v>
      </c>
      <c r="C285" s="3">
        <v>20.7</v>
      </c>
      <c r="D285">
        <v>7.9715645310000003</v>
      </c>
      <c r="E285" s="4">
        <v>0.18</v>
      </c>
      <c r="F285" s="2">
        <v>75.799750000000003</v>
      </c>
      <c r="G285" s="2">
        <v>75.799750000000003</v>
      </c>
      <c r="I285">
        <f t="shared" si="24"/>
        <v>3.4999999999999931E-3</v>
      </c>
      <c r="J285">
        <f t="shared" si="25"/>
        <v>0.79619313199999198</v>
      </c>
      <c r="K285">
        <f t="shared" si="26"/>
        <v>0.69999999999999929</v>
      </c>
      <c r="L285">
        <f t="shared" si="27"/>
        <v>1.4996931319999911</v>
      </c>
      <c r="O285">
        <f t="shared" si="23"/>
        <v>75.799750000000003</v>
      </c>
    </row>
    <row r="286" spans="1:15" ht="16" x14ac:dyDescent="0.2">
      <c r="A286" t="s">
        <v>10</v>
      </c>
      <c r="B286" t="s">
        <v>11</v>
      </c>
      <c r="C286" s="3">
        <v>20.7</v>
      </c>
      <c r="D286">
        <v>7.9715645310000003</v>
      </c>
      <c r="E286" s="4">
        <v>0.18</v>
      </c>
      <c r="F286" s="2">
        <v>71.466250000000002</v>
      </c>
      <c r="G286" s="2">
        <v>71.466250000000002</v>
      </c>
      <c r="I286">
        <f t="shared" si="24"/>
        <v>3.4999999999999931E-3</v>
      </c>
      <c r="J286">
        <f t="shared" si="25"/>
        <v>0.79619313199999198</v>
      </c>
      <c r="K286">
        <f t="shared" si="26"/>
        <v>0.69999999999999929</v>
      </c>
      <c r="L286">
        <f t="shared" si="27"/>
        <v>1.4996931319999911</v>
      </c>
      <c r="O286">
        <f t="shared" si="23"/>
        <v>71.466250000000002</v>
      </c>
    </row>
    <row r="287" spans="1:15" ht="16" x14ac:dyDescent="0.2">
      <c r="A287" t="s">
        <v>10</v>
      </c>
      <c r="B287" t="s">
        <v>11</v>
      </c>
      <c r="C287" s="3">
        <v>20.7</v>
      </c>
      <c r="D287">
        <v>7.9715645310000003</v>
      </c>
      <c r="E287" s="4">
        <v>0.18</v>
      </c>
      <c r="F287" s="2">
        <v>74.690250000000006</v>
      </c>
      <c r="G287" s="2">
        <v>74.690250000000006</v>
      </c>
      <c r="I287">
        <f t="shared" si="24"/>
        <v>3.4999999999999931E-3</v>
      </c>
      <c r="J287">
        <f t="shared" si="25"/>
        <v>0.79619313199999198</v>
      </c>
      <c r="K287">
        <f t="shared" si="26"/>
        <v>0.69999999999999929</v>
      </c>
      <c r="L287">
        <f t="shared" si="27"/>
        <v>1.4996931319999911</v>
      </c>
      <c r="O287">
        <f t="shared" si="23"/>
        <v>74.690250000000006</v>
      </c>
    </row>
    <row r="288" spans="1:15" ht="16" x14ac:dyDescent="0.2">
      <c r="A288" t="s">
        <v>10</v>
      </c>
      <c r="B288" t="s">
        <v>11</v>
      </c>
      <c r="C288" s="3">
        <v>20.7</v>
      </c>
      <c r="D288">
        <v>7.9715645310000003</v>
      </c>
      <c r="E288" s="4">
        <v>0.18</v>
      </c>
      <c r="F288" s="2">
        <v>75.964250000000007</v>
      </c>
      <c r="G288" s="2">
        <v>75.964250000000007</v>
      </c>
      <c r="I288">
        <f t="shared" si="24"/>
        <v>3.4999999999999931E-3</v>
      </c>
      <c r="J288">
        <f t="shared" si="25"/>
        <v>0.79619313199999198</v>
      </c>
      <c r="K288">
        <f t="shared" si="26"/>
        <v>0.69999999999999929</v>
      </c>
      <c r="L288">
        <f t="shared" si="27"/>
        <v>1.4996931319999911</v>
      </c>
      <c r="O288">
        <f t="shared" ref="O288:O319" si="28">G288</f>
        <v>75.964250000000007</v>
      </c>
    </row>
    <row r="289" spans="1:15" ht="16" x14ac:dyDescent="0.2">
      <c r="A289" t="s">
        <v>10</v>
      </c>
      <c r="B289" t="s">
        <v>11</v>
      </c>
      <c r="C289" s="3">
        <v>20.7</v>
      </c>
      <c r="D289">
        <v>7.9715645310000003</v>
      </c>
      <c r="E289" s="4">
        <v>0.18</v>
      </c>
      <c r="F289" s="2">
        <v>75.179749999999999</v>
      </c>
      <c r="G289" s="2">
        <v>75.179749999999999</v>
      </c>
      <c r="I289">
        <f t="shared" si="24"/>
        <v>3.4999999999999931E-3</v>
      </c>
      <c r="J289">
        <f t="shared" si="25"/>
        <v>0.79619313199999198</v>
      </c>
      <c r="K289">
        <f t="shared" si="26"/>
        <v>0.69999999999999929</v>
      </c>
      <c r="L289">
        <f t="shared" si="27"/>
        <v>1.4996931319999911</v>
      </c>
      <c r="O289">
        <f t="shared" si="28"/>
        <v>75.179749999999999</v>
      </c>
    </row>
    <row r="290" spans="1:15" ht="16" x14ac:dyDescent="0.2">
      <c r="A290" t="s">
        <v>10</v>
      </c>
      <c r="B290" t="s">
        <v>11</v>
      </c>
      <c r="C290" s="3">
        <v>20.8</v>
      </c>
      <c r="D290">
        <v>7.6799416909999998</v>
      </c>
      <c r="E290" s="4">
        <v>7</v>
      </c>
      <c r="F290" s="2">
        <v>66.342500000000001</v>
      </c>
      <c r="G290" s="2">
        <v>66.342500000000001</v>
      </c>
      <c r="I290">
        <f t="shared" si="24"/>
        <v>2.3904999999999998</v>
      </c>
      <c r="J290">
        <f t="shared" si="25"/>
        <v>8.9616326520000058</v>
      </c>
      <c r="K290">
        <f t="shared" si="26"/>
        <v>0.80000000000000071</v>
      </c>
      <c r="L290">
        <f t="shared" si="27"/>
        <v>12.152132652000006</v>
      </c>
      <c r="O290">
        <f t="shared" si="28"/>
        <v>66.342500000000001</v>
      </c>
    </row>
    <row r="291" spans="1:15" ht="16" x14ac:dyDescent="0.2">
      <c r="A291" t="s">
        <v>10</v>
      </c>
      <c r="B291" t="s">
        <v>11</v>
      </c>
      <c r="C291" s="3">
        <v>20.8</v>
      </c>
      <c r="D291">
        <v>7.6799416909999998</v>
      </c>
      <c r="E291" s="4">
        <v>7</v>
      </c>
      <c r="F291" s="2">
        <v>73.388499999999993</v>
      </c>
      <c r="G291" s="2">
        <v>73.388499999999993</v>
      </c>
      <c r="I291">
        <f t="shared" si="24"/>
        <v>2.3904999999999998</v>
      </c>
      <c r="J291">
        <f t="shared" si="25"/>
        <v>8.9616326520000058</v>
      </c>
      <c r="K291">
        <f t="shared" si="26"/>
        <v>0.80000000000000071</v>
      </c>
      <c r="L291">
        <f t="shared" si="27"/>
        <v>12.152132652000006</v>
      </c>
      <c r="O291">
        <f t="shared" si="28"/>
        <v>73.388499999999993</v>
      </c>
    </row>
    <row r="292" spans="1:15" ht="16" x14ac:dyDescent="0.2">
      <c r="A292" t="s">
        <v>10</v>
      </c>
      <c r="B292" t="s">
        <v>11</v>
      </c>
      <c r="C292" s="3">
        <v>20.8</v>
      </c>
      <c r="D292">
        <v>7.6799416909999998</v>
      </c>
      <c r="E292" s="4">
        <v>7</v>
      </c>
      <c r="F292" s="2">
        <v>71.013249999999999</v>
      </c>
      <c r="G292" s="2">
        <v>71.013249999999999</v>
      </c>
      <c r="I292">
        <f t="shared" si="24"/>
        <v>2.3904999999999998</v>
      </c>
      <c r="J292">
        <f t="shared" si="25"/>
        <v>8.9616326520000058</v>
      </c>
      <c r="K292">
        <f t="shared" si="26"/>
        <v>0.80000000000000071</v>
      </c>
      <c r="L292">
        <f t="shared" si="27"/>
        <v>12.152132652000006</v>
      </c>
      <c r="O292">
        <f t="shared" si="28"/>
        <v>71.013249999999999</v>
      </c>
    </row>
    <row r="293" spans="1:15" ht="16" x14ac:dyDescent="0.2">
      <c r="A293" t="s">
        <v>10</v>
      </c>
      <c r="B293" t="s">
        <v>11</v>
      </c>
      <c r="C293" s="3">
        <v>20.8</v>
      </c>
      <c r="D293">
        <v>7.6799416909999998</v>
      </c>
      <c r="E293" s="4">
        <v>7</v>
      </c>
      <c r="F293" s="2">
        <v>75.055750000000003</v>
      </c>
      <c r="G293" s="2">
        <v>75.055750000000003</v>
      </c>
      <c r="I293">
        <f t="shared" si="24"/>
        <v>2.3904999999999998</v>
      </c>
      <c r="J293">
        <f t="shared" si="25"/>
        <v>8.9616326520000058</v>
      </c>
      <c r="K293">
        <f t="shared" si="26"/>
        <v>0.80000000000000071</v>
      </c>
      <c r="L293">
        <f t="shared" si="27"/>
        <v>12.152132652000006</v>
      </c>
      <c r="O293">
        <f t="shared" si="28"/>
        <v>75.055750000000003</v>
      </c>
    </row>
    <row r="294" spans="1:15" ht="16" x14ac:dyDescent="0.2">
      <c r="A294" t="s">
        <v>10</v>
      </c>
      <c r="B294" t="s">
        <v>11</v>
      </c>
      <c r="C294" s="3">
        <v>20.8</v>
      </c>
      <c r="D294">
        <v>7.6799416909999998</v>
      </c>
      <c r="E294" s="4">
        <v>7</v>
      </c>
      <c r="F294" s="2">
        <v>78.205500000000001</v>
      </c>
      <c r="G294" s="2">
        <v>78.205500000000001</v>
      </c>
      <c r="I294">
        <f t="shared" si="24"/>
        <v>2.3904999999999998</v>
      </c>
      <c r="J294">
        <f t="shared" si="25"/>
        <v>8.9616326520000058</v>
      </c>
      <c r="K294">
        <f t="shared" si="26"/>
        <v>0.80000000000000071</v>
      </c>
      <c r="L294">
        <f t="shared" si="27"/>
        <v>12.152132652000006</v>
      </c>
      <c r="O294">
        <f t="shared" si="28"/>
        <v>78.205500000000001</v>
      </c>
    </row>
    <row r="295" spans="1:15" ht="16" x14ac:dyDescent="0.2">
      <c r="A295" t="s">
        <v>10</v>
      </c>
      <c r="B295" t="s">
        <v>11</v>
      </c>
      <c r="C295" s="3">
        <v>20.8</v>
      </c>
      <c r="D295">
        <v>7.6799416909999998</v>
      </c>
      <c r="E295" s="4">
        <v>7</v>
      </c>
      <c r="F295" s="2">
        <v>78.96875</v>
      </c>
      <c r="G295" s="2">
        <v>78.96875</v>
      </c>
      <c r="I295">
        <f t="shared" si="24"/>
        <v>2.3904999999999998</v>
      </c>
      <c r="J295">
        <f t="shared" si="25"/>
        <v>8.9616326520000058</v>
      </c>
      <c r="K295">
        <f t="shared" si="26"/>
        <v>0.80000000000000071</v>
      </c>
      <c r="L295">
        <f t="shared" si="27"/>
        <v>12.152132652000006</v>
      </c>
      <c r="O295">
        <f t="shared" si="28"/>
        <v>78.96875</v>
      </c>
    </row>
    <row r="296" spans="1:15" ht="16" x14ac:dyDescent="0.2">
      <c r="A296" t="s">
        <v>10</v>
      </c>
      <c r="B296" t="s">
        <v>11</v>
      </c>
      <c r="C296" s="3">
        <v>20.5</v>
      </c>
      <c r="D296">
        <v>7.6799416909999998</v>
      </c>
      <c r="E296" s="4">
        <v>8</v>
      </c>
      <c r="F296" s="2">
        <v>74.054749999999999</v>
      </c>
      <c r="G296" s="2">
        <v>74.054749999999999</v>
      </c>
      <c r="I296">
        <f t="shared" si="24"/>
        <v>2.7404999999999999</v>
      </c>
      <c r="J296">
        <f t="shared" si="25"/>
        <v>8.9616326520000058</v>
      </c>
      <c r="K296">
        <f t="shared" si="26"/>
        <v>0.5</v>
      </c>
      <c r="L296">
        <f t="shared" si="27"/>
        <v>12.202132652000007</v>
      </c>
      <c r="O296">
        <f t="shared" si="28"/>
        <v>74.054749999999999</v>
      </c>
    </row>
    <row r="297" spans="1:15" ht="16" x14ac:dyDescent="0.2">
      <c r="A297" t="s">
        <v>10</v>
      </c>
      <c r="B297" t="s">
        <v>11</v>
      </c>
      <c r="C297" s="3">
        <v>20.5</v>
      </c>
      <c r="D297">
        <v>7.6799416909999998</v>
      </c>
      <c r="E297" s="4">
        <v>8</v>
      </c>
      <c r="F297" s="2">
        <v>74.791250000000005</v>
      </c>
      <c r="G297" s="2">
        <v>74.791250000000005</v>
      </c>
      <c r="I297">
        <f t="shared" si="24"/>
        <v>2.7404999999999999</v>
      </c>
      <c r="J297">
        <f t="shared" si="25"/>
        <v>8.9616326520000058</v>
      </c>
      <c r="K297">
        <f t="shared" si="26"/>
        <v>0.5</v>
      </c>
      <c r="L297">
        <f t="shared" si="27"/>
        <v>12.202132652000007</v>
      </c>
      <c r="O297">
        <f t="shared" si="28"/>
        <v>74.791250000000005</v>
      </c>
    </row>
    <row r="298" spans="1:15" ht="16" x14ac:dyDescent="0.2">
      <c r="A298" t="s">
        <v>10</v>
      </c>
      <c r="B298" t="s">
        <v>11</v>
      </c>
      <c r="C298" s="3">
        <v>20.5</v>
      </c>
      <c r="D298">
        <v>7.6799416909999998</v>
      </c>
      <c r="E298" s="4">
        <v>8</v>
      </c>
      <c r="F298" s="2">
        <v>67.599999999999994</v>
      </c>
      <c r="G298" s="2">
        <v>67.599999999999994</v>
      </c>
      <c r="I298">
        <f t="shared" si="24"/>
        <v>2.7404999999999999</v>
      </c>
      <c r="J298">
        <f t="shared" si="25"/>
        <v>8.9616326520000058</v>
      </c>
      <c r="K298">
        <f t="shared" si="26"/>
        <v>0.5</v>
      </c>
      <c r="L298">
        <f t="shared" si="27"/>
        <v>12.202132652000007</v>
      </c>
      <c r="O298">
        <f t="shared" si="28"/>
        <v>67.599999999999994</v>
      </c>
    </row>
    <row r="299" spans="1:15" ht="16" x14ac:dyDescent="0.2">
      <c r="A299" t="s">
        <v>10</v>
      </c>
      <c r="B299" t="s">
        <v>11</v>
      </c>
      <c r="C299" s="3">
        <v>20.5</v>
      </c>
      <c r="D299">
        <v>7.6799416909999998</v>
      </c>
      <c r="E299" s="4">
        <v>8</v>
      </c>
      <c r="F299" s="2">
        <v>64.681749999999994</v>
      </c>
      <c r="G299" s="2">
        <v>64.681749999999994</v>
      </c>
      <c r="I299">
        <f t="shared" si="24"/>
        <v>2.7404999999999999</v>
      </c>
      <c r="J299">
        <f t="shared" si="25"/>
        <v>8.9616326520000058</v>
      </c>
      <c r="K299">
        <f t="shared" si="26"/>
        <v>0.5</v>
      </c>
      <c r="L299">
        <f t="shared" si="27"/>
        <v>12.202132652000007</v>
      </c>
      <c r="O299">
        <f t="shared" si="28"/>
        <v>64.681749999999994</v>
      </c>
    </row>
    <row r="300" spans="1:15" ht="16" x14ac:dyDescent="0.2">
      <c r="A300" t="s">
        <v>10</v>
      </c>
      <c r="B300" t="s">
        <v>11</v>
      </c>
      <c r="C300" s="3">
        <v>20.5</v>
      </c>
      <c r="D300">
        <v>7.6799416909999998</v>
      </c>
      <c r="E300" s="4">
        <v>8</v>
      </c>
      <c r="F300" s="2">
        <v>67.825749999999999</v>
      </c>
      <c r="G300" s="2">
        <v>67.825749999999999</v>
      </c>
      <c r="I300">
        <f t="shared" si="24"/>
        <v>2.7404999999999999</v>
      </c>
      <c r="J300">
        <f t="shared" si="25"/>
        <v>8.9616326520000058</v>
      </c>
      <c r="K300">
        <f t="shared" si="26"/>
        <v>0.5</v>
      </c>
      <c r="L300">
        <f t="shared" si="27"/>
        <v>12.202132652000007</v>
      </c>
      <c r="O300">
        <f t="shared" si="28"/>
        <v>67.825749999999999</v>
      </c>
    </row>
    <row r="301" spans="1:15" ht="16" x14ac:dyDescent="0.2">
      <c r="A301" t="s">
        <v>10</v>
      </c>
      <c r="B301" t="s">
        <v>11</v>
      </c>
      <c r="C301" s="3">
        <v>20.5</v>
      </c>
      <c r="D301">
        <v>7.6799416909999998</v>
      </c>
      <c r="E301" s="4">
        <v>8</v>
      </c>
      <c r="F301" s="2">
        <v>65.484750000000005</v>
      </c>
      <c r="G301" s="2">
        <v>65.484750000000005</v>
      </c>
      <c r="I301">
        <f t="shared" si="24"/>
        <v>2.7404999999999999</v>
      </c>
      <c r="J301">
        <f t="shared" si="25"/>
        <v>8.9616326520000058</v>
      </c>
      <c r="K301">
        <f t="shared" si="26"/>
        <v>0.5</v>
      </c>
      <c r="L301">
        <f t="shared" si="27"/>
        <v>12.202132652000007</v>
      </c>
      <c r="O301">
        <f t="shared" si="28"/>
        <v>65.484750000000005</v>
      </c>
    </row>
    <row r="302" spans="1:15" ht="16" x14ac:dyDescent="0.2">
      <c r="A302" t="s">
        <v>10</v>
      </c>
      <c r="B302" t="s">
        <v>11</v>
      </c>
      <c r="C302" s="3">
        <v>20.5</v>
      </c>
      <c r="D302">
        <v>7.6799416909999998</v>
      </c>
      <c r="E302" s="4">
        <v>8</v>
      </c>
      <c r="F302" s="2">
        <v>77.291499999999999</v>
      </c>
      <c r="G302" s="2">
        <v>77.291499999999999</v>
      </c>
      <c r="I302">
        <f t="shared" si="24"/>
        <v>2.7404999999999999</v>
      </c>
      <c r="J302">
        <f t="shared" si="25"/>
        <v>8.9616326520000058</v>
      </c>
      <c r="K302">
        <f t="shared" si="26"/>
        <v>0.5</v>
      </c>
      <c r="L302">
        <f t="shared" si="27"/>
        <v>12.202132652000007</v>
      </c>
      <c r="O302">
        <f t="shared" si="28"/>
        <v>77.291499999999999</v>
      </c>
    </row>
    <row r="303" spans="1:15" ht="16" x14ac:dyDescent="0.2">
      <c r="A303" t="s">
        <v>10</v>
      </c>
      <c r="B303" t="s">
        <v>11</v>
      </c>
      <c r="C303" s="3">
        <v>25.5</v>
      </c>
      <c r="D303">
        <v>7.9688367160000002</v>
      </c>
      <c r="E303" s="4">
        <v>0.18</v>
      </c>
      <c r="F303" s="2">
        <v>83.308499999999995</v>
      </c>
      <c r="G303" s="2">
        <v>83.308499999999995</v>
      </c>
      <c r="I303">
        <f t="shared" si="24"/>
        <v>3.4999999999999931E-3</v>
      </c>
      <c r="J303">
        <f t="shared" si="25"/>
        <v>0.87257195199999416</v>
      </c>
      <c r="K303">
        <f t="shared" si="26"/>
        <v>5.5</v>
      </c>
      <c r="L303">
        <f t="shared" si="27"/>
        <v>6.376071951999994</v>
      </c>
      <c r="O303">
        <f t="shared" si="28"/>
        <v>83.308499999999995</v>
      </c>
    </row>
    <row r="304" spans="1:15" ht="16" x14ac:dyDescent="0.2">
      <c r="A304" t="s">
        <v>10</v>
      </c>
      <c r="B304" t="s">
        <v>11</v>
      </c>
      <c r="C304" s="3">
        <v>25.5</v>
      </c>
      <c r="D304">
        <v>7.9688367160000002</v>
      </c>
      <c r="E304" s="4">
        <v>0.18</v>
      </c>
      <c r="F304" s="2">
        <v>82.948499999999996</v>
      </c>
      <c r="G304" s="2">
        <v>82.948499999999996</v>
      </c>
      <c r="I304">
        <f t="shared" si="24"/>
        <v>3.4999999999999931E-3</v>
      </c>
      <c r="J304">
        <f t="shared" si="25"/>
        <v>0.87257195199999416</v>
      </c>
      <c r="K304">
        <f t="shared" si="26"/>
        <v>5.5</v>
      </c>
      <c r="L304">
        <f t="shared" si="27"/>
        <v>6.376071951999994</v>
      </c>
      <c r="O304">
        <f t="shared" si="28"/>
        <v>82.948499999999996</v>
      </c>
    </row>
    <row r="305" spans="1:15" ht="16" x14ac:dyDescent="0.2">
      <c r="A305" t="s">
        <v>10</v>
      </c>
      <c r="B305" t="s">
        <v>11</v>
      </c>
      <c r="C305" s="3">
        <v>25.5</v>
      </c>
      <c r="D305">
        <v>7.9688367160000002</v>
      </c>
      <c r="E305" s="4">
        <v>0.18</v>
      </c>
      <c r="F305" s="2">
        <v>70.364500000000007</v>
      </c>
      <c r="G305" s="2">
        <v>70.364500000000007</v>
      </c>
      <c r="I305">
        <f t="shared" si="24"/>
        <v>3.4999999999999931E-3</v>
      </c>
      <c r="J305">
        <f t="shared" si="25"/>
        <v>0.87257195199999416</v>
      </c>
      <c r="K305">
        <f t="shared" si="26"/>
        <v>5.5</v>
      </c>
      <c r="L305">
        <f t="shared" si="27"/>
        <v>6.376071951999994</v>
      </c>
      <c r="O305">
        <f t="shared" si="28"/>
        <v>70.364500000000007</v>
      </c>
    </row>
    <row r="306" spans="1:15" ht="16" x14ac:dyDescent="0.2">
      <c r="A306" t="s">
        <v>10</v>
      </c>
      <c r="B306" t="s">
        <v>11</v>
      </c>
      <c r="C306" s="3">
        <v>25.5</v>
      </c>
      <c r="D306">
        <v>7.9688367160000002</v>
      </c>
      <c r="E306" s="4">
        <v>0.18</v>
      </c>
      <c r="F306" s="2">
        <v>66.692250000000001</v>
      </c>
      <c r="G306" s="2">
        <v>66.692250000000001</v>
      </c>
      <c r="I306">
        <f t="shared" si="24"/>
        <v>3.4999999999999931E-3</v>
      </c>
      <c r="J306">
        <f t="shared" si="25"/>
        <v>0.87257195199999416</v>
      </c>
      <c r="K306">
        <f t="shared" si="26"/>
        <v>5.5</v>
      </c>
      <c r="L306">
        <f t="shared" si="27"/>
        <v>6.376071951999994</v>
      </c>
      <c r="O306">
        <f t="shared" si="28"/>
        <v>66.692250000000001</v>
      </c>
    </row>
    <row r="307" spans="1:15" ht="16" x14ac:dyDescent="0.2">
      <c r="A307" t="s">
        <v>10</v>
      </c>
      <c r="B307" t="s">
        <v>11</v>
      </c>
      <c r="C307" s="3">
        <v>25.5</v>
      </c>
      <c r="D307">
        <v>7.9688367160000002</v>
      </c>
      <c r="E307" s="4">
        <v>0.18</v>
      </c>
      <c r="F307" s="2">
        <v>72.786249999999995</v>
      </c>
      <c r="G307" s="2">
        <v>72.786249999999995</v>
      </c>
      <c r="I307">
        <f t="shared" si="24"/>
        <v>3.4999999999999931E-3</v>
      </c>
      <c r="J307">
        <f t="shared" si="25"/>
        <v>0.87257195199999416</v>
      </c>
      <c r="K307">
        <f t="shared" si="26"/>
        <v>5.5</v>
      </c>
      <c r="L307">
        <f t="shared" si="27"/>
        <v>6.376071951999994</v>
      </c>
      <c r="O307">
        <f t="shared" si="28"/>
        <v>72.786249999999995</v>
      </c>
    </row>
    <row r="308" spans="1:15" ht="16" x14ac:dyDescent="0.2">
      <c r="A308" t="s">
        <v>10</v>
      </c>
      <c r="B308" t="s">
        <v>11</v>
      </c>
      <c r="C308" s="3">
        <v>25.5</v>
      </c>
      <c r="D308">
        <v>7.9688367160000002</v>
      </c>
      <c r="E308" s="4">
        <v>0.18</v>
      </c>
      <c r="F308" s="2">
        <v>76.325749999999999</v>
      </c>
      <c r="G308" s="2">
        <v>76.325749999999999</v>
      </c>
      <c r="I308">
        <f t="shared" si="24"/>
        <v>3.4999999999999931E-3</v>
      </c>
      <c r="J308">
        <f t="shared" si="25"/>
        <v>0.87257195199999416</v>
      </c>
      <c r="K308">
        <f t="shared" si="26"/>
        <v>5.5</v>
      </c>
      <c r="L308">
        <f t="shared" si="27"/>
        <v>6.376071951999994</v>
      </c>
      <c r="O308">
        <f t="shared" si="28"/>
        <v>76.325749999999999</v>
      </c>
    </row>
    <row r="309" spans="1:15" ht="16" x14ac:dyDescent="0.2">
      <c r="A309" t="s">
        <v>10</v>
      </c>
      <c r="B309" t="s">
        <v>11</v>
      </c>
      <c r="C309" s="3">
        <v>25.5</v>
      </c>
      <c r="D309">
        <v>7.9688367160000002</v>
      </c>
      <c r="E309" s="4">
        <v>0.18</v>
      </c>
      <c r="F309" s="2">
        <v>75.438000000000002</v>
      </c>
      <c r="G309" s="2">
        <v>75.438000000000002</v>
      </c>
      <c r="I309">
        <f t="shared" si="24"/>
        <v>3.4999999999999931E-3</v>
      </c>
      <c r="J309">
        <f t="shared" si="25"/>
        <v>0.87257195199999416</v>
      </c>
      <c r="K309">
        <f t="shared" si="26"/>
        <v>5.5</v>
      </c>
      <c r="L309">
        <f t="shared" si="27"/>
        <v>6.376071951999994</v>
      </c>
      <c r="O309">
        <f t="shared" si="28"/>
        <v>75.438000000000002</v>
      </c>
    </row>
    <row r="310" spans="1:15" ht="16" x14ac:dyDescent="0.2">
      <c r="A310" t="s">
        <v>10</v>
      </c>
      <c r="B310" t="s">
        <v>11</v>
      </c>
      <c r="C310" s="3">
        <v>25.5</v>
      </c>
      <c r="D310">
        <v>7.9688367160000002</v>
      </c>
      <c r="E310" s="4">
        <v>0.18</v>
      </c>
      <c r="F310" s="2">
        <v>75.391750000000002</v>
      </c>
      <c r="G310" s="2">
        <v>75.391750000000002</v>
      </c>
      <c r="I310">
        <f t="shared" si="24"/>
        <v>3.4999999999999931E-3</v>
      </c>
      <c r="J310">
        <f t="shared" si="25"/>
        <v>0.87257195199999416</v>
      </c>
      <c r="K310">
        <f t="shared" si="26"/>
        <v>5.5</v>
      </c>
      <c r="L310">
        <f t="shared" si="27"/>
        <v>6.376071951999994</v>
      </c>
      <c r="O310">
        <f t="shared" si="28"/>
        <v>75.391750000000002</v>
      </c>
    </row>
    <row r="311" spans="1:15" ht="16" x14ac:dyDescent="0.2">
      <c r="A311" t="s">
        <v>10</v>
      </c>
      <c r="B311" t="s">
        <v>11</v>
      </c>
      <c r="C311" s="3">
        <v>25.5</v>
      </c>
      <c r="D311">
        <v>7.9688367160000002</v>
      </c>
      <c r="E311" s="4">
        <v>0.18</v>
      </c>
      <c r="F311" s="2">
        <v>83.333250000000007</v>
      </c>
      <c r="G311" s="2">
        <v>83.333250000000007</v>
      </c>
      <c r="I311">
        <f t="shared" si="24"/>
        <v>3.4999999999999931E-3</v>
      </c>
      <c r="J311">
        <f t="shared" si="25"/>
        <v>0.87257195199999416</v>
      </c>
      <c r="K311">
        <f t="shared" si="26"/>
        <v>5.5</v>
      </c>
      <c r="L311">
        <f t="shared" si="27"/>
        <v>6.376071951999994</v>
      </c>
      <c r="O311">
        <f t="shared" si="28"/>
        <v>83.333250000000007</v>
      </c>
    </row>
    <row r="312" spans="1:15" ht="16" x14ac:dyDescent="0.2">
      <c r="A312" t="s">
        <v>10</v>
      </c>
      <c r="B312" t="s">
        <v>11</v>
      </c>
      <c r="C312" s="3">
        <v>25.5</v>
      </c>
      <c r="D312">
        <v>7.9688367160000002</v>
      </c>
      <c r="E312" s="4">
        <v>0.18</v>
      </c>
      <c r="F312" s="2">
        <v>73.309749999999994</v>
      </c>
      <c r="G312" s="2">
        <v>73.309749999999994</v>
      </c>
      <c r="I312">
        <f t="shared" si="24"/>
        <v>3.4999999999999931E-3</v>
      </c>
      <c r="J312">
        <f t="shared" si="25"/>
        <v>0.87257195199999416</v>
      </c>
      <c r="K312">
        <f t="shared" si="26"/>
        <v>5.5</v>
      </c>
      <c r="L312">
        <f t="shared" si="27"/>
        <v>6.376071951999994</v>
      </c>
      <c r="O312">
        <f t="shared" si="28"/>
        <v>73.309749999999994</v>
      </c>
    </row>
    <row r="313" spans="1:15" ht="16" x14ac:dyDescent="0.2">
      <c r="A313" t="s">
        <v>10</v>
      </c>
      <c r="B313" t="s">
        <v>11</v>
      </c>
      <c r="C313" s="3">
        <v>25.6</v>
      </c>
      <c r="D313">
        <v>7.9637877829999999</v>
      </c>
      <c r="E313" s="4">
        <v>0.18</v>
      </c>
      <c r="F313" s="2">
        <v>65.238</v>
      </c>
      <c r="G313" s="2">
        <v>65.238</v>
      </c>
      <c r="I313">
        <f t="shared" si="24"/>
        <v>3.4999999999999931E-3</v>
      </c>
      <c r="J313">
        <f t="shared" si="25"/>
        <v>1.0139420760000029</v>
      </c>
      <c r="K313">
        <f t="shared" si="26"/>
        <v>5.6000000000000014</v>
      </c>
      <c r="L313">
        <f t="shared" si="27"/>
        <v>6.6174420760000041</v>
      </c>
      <c r="O313">
        <f t="shared" si="28"/>
        <v>65.238</v>
      </c>
    </row>
    <row r="314" spans="1:15" ht="16" x14ac:dyDescent="0.2">
      <c r="A314" t="s">
        <v>10</v>
      </c>
      <c r="B314" t="s">
        <v>11</v>
      </c>
      <c r="C314" s="3">
        <v>25.6</v>
      </c>
      <c r="D314">
        <v>7.9637877829999999</v>
      </c>
      <c r="E314" s="4">
        <v>0.18</v>
      </c>
      <c r="F314" s="2">
        <v>70.255499999999998</v>
      </c>
      <c r="G314" s="2">
        <v>70.255499999999998</v>
      </c>
      <c r="I314">
        <f t="shared" si="24"/>
        <v>3.4999999999999931E-3</v>
      </c>
      <c r="J314">
        <f t="shared" si="25"/>
        <v>1.0139420760000029</v>
      </c>
      <c r="K314">
        <f t="shared" si="26"/>
        <v>5.6000000000000014</v>
      </c>
      <c r="L314">
        <f t="shared" si="27"/>
        <v>6.6174420760000041</v>
      </c>
      <c r="O314">
        <f t="shared" si="28"/>
        <v>70.255499999999998</v>
      </c>
    </row>
    <row r="315" spans="1:15" ht="16" x14ac:dyDescent="0.2">
      <c r="A315" t="s">
        <v>10</v>
      </c>
      <c r="B315" t="s">
        <v>11</v>
      </c>
      <c r="C315" s="3">
        <v>25.6</v>
      </c>
      <c r="D315">
        <v>7.9637877829999999</v>
      </c>
      <c r="E315" s="4">
        <v>0.18</v>
      </c>
      <c r="F315" s="2">
        <v>64.192499999999995</v>
      </c>
      <c r="G315" s="2">
        <v>64.192499999999995</v>
      </c>
      <c r="I315">
        <f t="shared" si="24"/>
        <v>3.4999999999999931E-3</v>
      </c>
      <c r="J315">
        <f t="shared" si="25"/>
        <v>1.0139420760000029</v>
      </c>
      <c r="K315">
        <f t="shared" si="26"/>
        <v>5.6000000000000014</v>
      </c>
      <c r="L315">
        <f t="shared" si="27"/>
        <v>6.6174420760000041</v>
      </c>
      <c r="O315">
        <f t="shared" si="28"/>
        <v>64.192499999999995</v>
      </c>
    </row>
    <row r="316" spans="1:15" ht="16" x14ac:dyDescent="0.2">
      <c r="A316" t="s">
        <v>10</v>
      </c>
      <c r="B316" t="s">
        <v>11</v>
      </c>
      <c r="C316" s="3">
        <v>25.6</v>
      </c>
      <c r="D316">
        <v>7.9637877829999999</v>
      </c>
      <c r="E316" s="4">
        <v>0.18</v>
      </c>
      <c r="F316" s="2">
        <v>68.926000000000002</v>
      </c>
      <c r="G316" s="2">
        <v>68.926000000000002</v>
      </c>
      <c r="I316">
        <f t="shared" si="24"/>
        <v>3.4999999999999931E-3</v>
      </c>
      <c r="J316">
        <f t="shared" si="25"/>
        <v>1.0139420760000029</v>
      </c>
      <c r="K316">
        <f t="shared" si="26"/>
        <v>5.6000000000000014</v>
      </c>
      <c r="L316">
        <f t="shared" si="27"/>
        <v>6.6174420760000041</v>
      </c>
      <c r="O316">
        <f t="shared" si="28"/>
        <v>68.926000000000002</v>
      </c>
    </row>
    <row r="317" spans="1:15" ht="16" x14ac:dyDescent="0.2">
      <c r="A317" t="s">
        <v>10</v>
      </c>
      <c r="B317" t="s">
        <v>11</v>
      </c>
      <c r="C317" s="3">
        <v>25.6</v>
      </c>
      <c r="D317">
        <v>7.9637877829999999</v>
      </c>
      <c r="E317" s="4">
        <v>0.18</v>
      </c>
      <c r="F317" s="2">
        <v>65.261750000000006</v>
      </c>
      <c r="G317" s="2">
        <v>65.261750000000006</v>
      </c>
      <c r="I317">
        <f t="shared" si="24"/>
        <v>3.4999999999999931E-3</v>
      </c>
      <c r="J317">
        <f t="shared" si="25"/>
        <v>1.0139420760000029</v>
      </c>
      <c r="K317">
        <f t="shared" si="26"/>
        <v>5.6000000000000014</v>
      </c>
      <c r="L317">
        <f t="shared" si="27"/>
        <v>6.6174420760000041</v>
      </c>
      <c r="O317">
        <f t="shared" si="28"/>
        <v>65.261750000000006</v>
      </c>
    </row>
    <row r="318" spans="1:15" ht="16" x14ac:dyDescent="0.2">
      <c r="A318" t="s">
        <v>10</v>
      </c>
      <c r="B318" t="s">
        <v>11</v>
      </c>
      <c r="C318" s="3">
        <v>25.6</v>
      </c>
      <c r="D318">
        <v>7.9637877829999999</v>
      </c>
      <c r="E318" s="4">
        <v>0.18</v>
      </c>
      <c r="F318" s="2">
        <v>68.194249999999997</v>
      </c>
      <c r="G318" s="2">
        <v>68.194249999999997</v>
      </c>
      <c r="I318">
        <f t="shared" si="24"/>
        <v>3.4999999999999931E-3</v>
      </c>
      <c r="J318">
        <f t="shared" si="25"/>
        <v>1.0139420760000029</v>
      </c>
      <c r="K318">
        <f t="shared" si="26"/>
        <v>5.6000000000000014</v>
      </c>
      <c r="L318">
        <f t="shared" si="27"/>
        <v>6.6174420760000041</v>
      </c>
      <c r="O318">
        <f t="shared" si="28"/>
        <v>68.194249999999997</v>
      </c>
    </row>
    <row r="319" spans="1:15" ht="16" x14ac:dyDescent="0.2">
      <c r="A319" t="s">
        <v>10</v>
      </c>
      <c r="B319" t="s">
        <v>11</v>
      </c>
      <c r="C319" s="3">
        <v>25.6</v>
      </c>
      <c r="D319">
        <v>7.9637877829999999</v>
      </c>
      <c r="E319" s="4">
        <v>0.18</v>
      </c>
      <c r="F319" s="2">
        <v>67.949749999999995</v>
      </c>
      <c r="G319" s="2">
        <v>67.949749999999995</v>
      </c>
      <c r="I319">
        <f t="shared" si="24"/>
        <v>3.4999999999999931E-3</v>
      </c>
      <c r="J319">
        <f t="shared" si="25"/>
        <v>1.0139420760000029</v>
      </c>
      <c r="K319">
        <f t="shared" si="26"/>
        <v>5.6000000000000014</v>
      </c>
      <c r="L319">
        <f t="shared" si="27"/>
        <v>6.6174420760000041</v>
      </c>
      <c r="O319">
        <f t="shared" si="28"/>
        <v>67.949749999999995</v>
      </c>
    </row>
    <row r="320" spans="1:15" ht="16" x14ac:dyDescent="0.2">
      <c r="A320" t="s">
        <v>10</v>
      </c>
      <c r="B320" t="s">
        <v>11</v>
      </c>
      <c r="C320" s="3">
        <v>25.6</v>
      </c>
      <c r="D320">
        <v>7.9637877829999999</v>
      </c>
      <c r="E320" s="4">
        <v>0.18</v>
      </c>
      <c r="F320" s="2">
        <v>69.40325</v>
      </c>
      <c r="G320" s="2">
        <v>69.40325</v>
      </c>
      <c r="I320">
        <f t="shared" si="24"/>
        <v>3.4999999999999931E-3</v>
      </c>
      <c r="J320">
        <f t="shared" si="25"/>
        <v>1.0139420760000029</v>
      </c>
      <c r="K320">
        <f t="shared" si="26"/>
        <v>5.6000000000000014</v>
      </c>
      <c r="L320">
        <f t="shared" si="27"/>
        <v>6.6174420760000041</v>
      </c>
      <c r="O320">
        <f t="shared" ref="O320:O340" si="29">G320</f>
        <v>69.40325</v>
      </c>
    </row>
    <row r="321" spans="1:15" ht="16" x14ac:dyDescent="0.2">
      <c r="A321" t="s">
        <v>10</v>
      </c>
      <c r="B321" t="s">
        <v>11</v>
      </c>
      <c r="C321" s="3">
        <v>25.6</v>
      </c>
      <c r="D321">
        <v>7.9637877829999999</v>
      </c>
      <c r="E321" s="4">
        <v>0.18</v>
      </c>
      <c r="F321" s="2">
        <v>67.777000000000001</v>
      </c>
      <c r="G321" s="2">
        <v>67.777000000000001</v>
      </c>
      <c r="I321">
        <f t="shared" si="24"/>
        <v>3.4999999999999931E-3</v>
      </c>
      <c r="J321">
        <f t="shared" si="25"/>
        <v>1.0139420760000029</v>
      </c>
      <c r="K321">
        <f t="shared" si="26"/>
        <v>5.6000000000000014</v>
      </c>
      <c r="L321">
        <f t="shared" si="27"/>
        <v>6.6174420760000041</v>
      </c>
      <c r="O321">
        <f t="shared" si="29"/>
        <v>67.777000000000001</v>
      </c>
    </row>
    <row r="322" spans="1:15" ht="16" x14ac:dyDescent="0.2">
      <c r="A322" t="s">
        <v>10</v>
      </c>
      <c r="B322" t="s">
        <v>11</v>
      </c>
      <c r="C322" s="3">
        <v>25.6</v>
      </c>
      <c r="D322">
        <v>7.9637877829999999</v>
      </c>
      <c r="E322" s="4">
        <v>0.18</v>
      </c>
      <c r="F322" s="2">
        <v>70.790000000000006</v>
      </c>
      <c r="G322" s="2">
        <v>70.790000000000006</v>
      </c>
      <c r="I322">
        <f t="shared" ref="I322:I340" si="30">(E322-0.17)*$S$2</f>
        <v>3.4999999999999931E-3</v>
      </c>
      <c r="J322">
        <f t="shared" ref="J322:J340" si="31">(8-D322)*$S$4</f>
        <v>1.0139420760000029</v>
      </c>
      <c r="K322">
        <f t="shared" ref="K322:K340" si="32">(C322-20)*$S$3</f>
        <v>5.6000000000000014</v>
      </c>
      <c r="L322">
        <f t="shared" ref="L322:L340" si="33">SUM(I322:K322)+($V$2*(J322*K322))</f>
        <v>6.6174420760000041</v>
      </c>
      <c r="O322">
        <f t="shared" si="29"/>
        <v>70.790000000000006</v>
      </c>
    </row>
    <row r="323" spans="1:15" ht="16" x14ac:dyDescent="0.2">
      <c r="A323" t="s">
        <v>10</v>
      </c>
      <c r="B323" t="s">
        <v>11</v>
      </c>
      <c r="C323" s="5">
        <v>25.5</v>
      </c>
      <c r="D323">
        <v>7.760998603</v>
      </c>
      <c r="E323" s="6">
        <v>7</v>
      </c>
      <c r="F323" s="2">
        <v>69.434250000000006</v>
      </c>
      <c r="G323" s="2">
        <v>69.434250000000006</v>
      </c>
      <c r="I323">
        <f t="shared" si="30"/>
        <v>2.3904999999999998</v>
      </c>
      <c r="J323">
        <f t="shared" si="31"/>
        <v>6.6920391160000001</v>
      </c>
      <c r="K323">
        <f t="shared" si="32"/>
        <v>5.5</v>
      </c>
      <c r="L323">
        <f t="shared" si="33"/>
        <v>14.582539116</v>
      </c>
      <c r="O323">
        <f t="shared" si="29"/>
        <v>69.434250000000006</v>
      </c>
    </row>
    <row r="324" spans="1:15" ht="16" x14ac:dyDescent="0.2">
      <c r="A324" t="s">
        <v>10</v>
      </c>
      <c r="B324" t="s">
        <v>11</v>
      </c>
      <c r="C324" s="7">
        <v>25.5</v>
      </c>
      <c r="D324">
        <v>7.760998603</v>
      </c>
      <c r="E324" s="8">
        <v>7</v>
      </c>
      <c r="F324" s="2">
        <v>68.284999999999997</v>
      </c>
      <c r="G324" s="2">
        <v>68.284999999999997</v>
      </c>
      <c r="I324">
        <f t="shared" si="30"/>
        <v>2.3904999999999998</v>
      </c>
      <c r="J324">
        <f t="shared" si="31"/>
        <v>6.6920391160000001</v>
      </c>
      <c r="K324">
        <f t="shared" si="32"/>
        <v>5.5</v>
      </c>
      <c r="L324">
        <f t="shared" si="33"/>
        <v>14.582539116</v>
      </c>
      <c r="O324">
        <f t="shared" si="29"/>
        <v>68.284999999999997</v>
      </c>
    </row>
    <row r="325" spans="1:15" ht="16" x14ac:dyDescent="0.2">
      <c r="A325" t="s">
        <v>10</v>
      </c>
      <c r="B325" t="s">
        <v>11</v>
      </c>
      <c r="C325" s="5">
        <v>25.5</v>
      </c>
      <c r="D325">
        <v>7.760998603</v>
      </c>
      <c r="E325" s="6">
        <v>7</v>
      </c>
      <c r="F325" s="2">
        <v>69.519499999999994</v>
      </c>
      <c r="G325" s="2">
        <v>69.519499999999994</v>
      </c>
      <c r="I325">
        <f t="shared" si="30"/>
        <v>2.3904999999999998</v>
      </c>
      <c r="J325">
        <f t="shared" si="31"/>
        <v>6.6920391160000001</v>
      </c>
      <c r="K325">
        <f t="shared" si="32"/>
        <v>5.5</v>
      </c>
      <c r="L325">
        <f t="shared" si="33"/>
        <v>14.582539116</v>
      </c>
      <c r="O325">
        <f t="shared" si="29"/>
        <v>69.519499999999994</v>
      </c>
    </row>
    <row r="326" spans="1:15" ht="16" x14ac:dyDescent="0.2">
      <c r="A326" t="s">
        <v>10</v>
      </c>
      <c r="B326" t="s">
        <v>11</v>
      </c>
      <c r="C326" s="7">
        <v>25.5</v>
      </c>
      <c r="D326">
        <v>7.760998603</v>
      </c>
      <c r="E326" s="8">
        <v>7</v>
      </c>
      <c r="F326" s="2">
        <v>69.006500000000003</v>
      </c>
      <c r="G326" s="2">
        <v>69.006500000000003</v>
      </c>
      <c r="I326">
        <f t="shared" si="30"/>
        <v>2.3904999999999998</v>
      </c>
      <c r="J326">
        <f t="shared" si="31"/>
        <v>6.6920391160000001</v>
      </c>
      <c r="K326">
        <f t="shared" si="32"/>
        <v>5.5</v>
      </c>
      <c r="L326">
        <f t="shared" si="33"/>
        <v>14.582539116</v>
      </c>
      <c r="O326">
        <f t="shared" si="29"/>
        <v>69.006500000000003</v>
      </c>
    </row>
    <row r="327" spans="1:15" ht="16" x14ac:dyDescent="0.2">
      <c r="A327" t="s">
        <v>10</v>
      </c>
      <c r="B327" t="s">
        <v>11</v>
      </c>
      <c r="C327" s="5">
        <v>25.5</v>
      </c>
      <c r="D327">
        <v>7.760998603</v>
      </c>
      <c r="E327" s="6">
        <v>7</v>
      </c>
      <c r="F327" s="2">
        <v>70.947000000000003</v>
      </c>
      <c r="G327" s="2">
        <v>70.947000000000003</v>
      </c>
      <c r="I327">
        <f t="shared" si="30"/>
        <v>2.3904999999999998</v>
      </c>
      <c r="J327">
        <f t="shared" si="31"/>
        <v>6.6920391160000001</v>
      </c>
      <c r="K327">
        <f t="shared" si="32"/>
        <v>5.5</v>
      </c>
      <c r="L327">
        <f t="shared" si="33"/>
        <v>14.582539116</v>
      </c>
      <c r="O327">
        <f t="shared" si="29"/>
        <v>70.947000000000003</v>
      </c>
    </row>
    <row r="328" spans="1:15" ht="16" x14ac:dyDescent="0.2">
      <c r="A328" t="s">
        <v>10</v>
      </c>
      <c r="B328" t="s">
        <v>11</v>
      </c>
      <c r="C328" s="5">
        <v>25.5</v>
      </c>
      <c r="D328">
        <v>7.760998603</v>
      </c>
      <c r="E328" s="6">
        <v>7</v>
      </c>
      <c r="F328" s="2">
        <v>71.025750000000002</v>
      </c>
      <c r="G328" s="2">
        <v>71.025750000000002</v>
      </c>
      <c r="I328">
        <f t="shared" si="30"/>
        <v>2.3904999999999998</v>
      </c>
      <c r="J328">
        <f t="shared" si="31"/>
        <v>6.6920391160000001</v>
      </c>
      <c r="K328">
        <f t="shared" si="32"/>
        <v>5.5</v>
      </c>
      <c r="L328">
        <f t="shared" si="33"/>
        <v>14.582539116</v>
      </c>
      <c r="O328">
        <f t="shared" si="29"/>
        <v>71.025750000000002</v>
      </c>
    </row>
    <row r="329" spans="1:15" ht="16" x14ac:dyDescent="0.2">
      <c r="A329" t="s">
        <v>10</v>
      </c>
      <c r="B329" t="s">
        <v>11</v>
      </c>
      <c r="C329" s="7">
        <v>25.5</v>
      </c>
      <c r="D329">
        <v>7.760998603</v>
      </c>
      <c r="E329" s="8">
        <v>7</v>
      </c>
      <c r="F329" s="2">
        <v>71.959249999999997</v>
      </c>
      <c r="G329" s="2">
        <v>71.959249999999997</v>
      </c>
      <c r="I329">
        <f t="shared" si="30"/>
        <v>2.3904999999999998</v>
      </c>
      <c r="J329">
        <f t="shared" si="31"/>
        <v>6.6920391160000001</v>
      </c>
      <c r="K329">
        <f t="shared" si="32"/>
        <v>5.5</v>
      </c>
      <c r="L329">
        <f t="shared" si="33"/>
        <v>14.582539116</v>
      </c>
      <c r="O329">
        <f t="shared" si="29"/>
        <v>71.959249999999997</v>
      </c>
    </row>
    <row r="330" spans="1:15" ht="16" x14ac:dyDescent="0.2">
      <c r="A330" t="s">
        <v>10</v>
      </c>
      <c r="B330" t="s">
        <v>11</v>
      </c>
      <c r="C330" s="5">
        <v>25.5</v>
      </c>
      <c r="D330">
        <v>7.760998603</v>
      </c>
      <c r="E330" s="6">
        <v>7</v>
      </c>
      <c r="F330" s="2">
        <v>67.175250000000005</v>
      </c>
      <c r="G330" s="2">
        <v>67.175250000000005</v>
      </c>
      <c r="I330">
        <f t="shared" si="30"/>
        <v>2.3904999999999998</v>
      </c>
      <c r="J330">
        <f t="shared" si="31"/>
        <v>6.6920391160000001</v>
      </c>
      <c r="K330">
        <f t="shared" si="32"/>
        <v>5.5</v>
      </c>
      <c r="L330">
        <f t="shared" si="33"/>
        <v>14.582539116</v>
      </c>
      <c r="O330">
        <f t="shared" si="29"/>
        <v>67.175250000000005</v>
      </c>
    </row>
    <row r="331" spans="1:15" ht="16" x14ac:dyDescent="0.2">
      <c r="A331" t="s">
        <v>10</v>
      </c>
      <c r="B331" t="s">
        <v>11</v>
      </c>
      <c r="C331" s="7">
        <v>25.5</v>
      </c>
      <c r="D331">
        <v>7.760998603</v>
      </c>
      <c r="E331" s="8">
        <v>7</v>
      </c>
      <c r="F331" s="2">
        <v>68.65325</v>
      </c>
      <c r="G331" s="2">
        <v>68.65325</v>
      </c>
      <c r="I331">
        <f t="shared" si="30"/>
        <v>2.3904999999999998</v>
      </c>
      <c r="J331">
        <f t="shared" si="31"/>
        <v>6.6920391160000001</v>
      </c>
      <c r="K331">
        <f t="shared" si="32"/>
        <v>5.5</v>
      </c>
      <c r="L331">
        <f t="shared" si="33"/>
        <v>14.582539116</v>
      </c>
      <c r="O331">
        <f t="shared" si="29"/>
        <v>68.65325</v>
      </c>
    </row>
    <row r="332" spans="1:15" ht="16" x14ac:dyDescent="0.2">
      <c r="A332" t="s">
        <v>10</v>
      </c>
      <c r="B332" t="s">
        <v>11</v>
      </c>
      <c r="C332" s="5">
        <v>25.5</v>
      </c>
      <c r="D332">
        <v>7.760998603</v>
      </c>
      <c r="E332" s="6">
        <v>7</v>
      </c>
      <c r="F332" s="2">
        <v>68.779750000000007</v>
      </c>
      <c r="G332" s="2">
        <v>68.779750000000007</v>
      </c>
      <c r="I332">
        <f t="shared" si="30"/>
        <v>2.3904999999999998</v>
      </c>
      <c r="J332">
        <f t="shared" si="31"/>
        <v>6.6920391160000001</v>
      </c>
      <c r="K332">
        <f t="shared" si="32"/>
        <v>5.5</v>
      </c>
      <c r="L332">
        <f t="shared" si="33"/>
        <v>14.582539116</v>
      </c>
      <c r="O332">
        <f t="shared" si="29"/>
        <v>68.779750000000007</v>
      </c>
    </row>
    <row r="333" spans="1:15" ht="16" x14ac:dyDescent="0.2">
      <c r="A333" t="s">
        <v>10</v>
      </c>
      <c r="B333" t="s">
        <v>11</v>
      </c>
      <c r="C333" s="7">
        <v>25.6</v>
      </c>
      <c r="D333">
        <v>7.7504298800000004</v>
      </c>
      <c r="E333" s="8">
        <v>8</v>
      </c>
      <c r="F333" s="2">
        <v>67.592250000000007</v>
      </c>
      <c r="G333" s="2">
        <v>67.592250000000007</v>
      </c>
      <c r="I333">
        <f t="shared" si="30"/>
        <v>2.7404999999999999</v>
      </c>
      <c r="J333">
        <f t="shared" si="31"/>
        <v>6.9879633599999877</v>
      </c>
      <c r="K333">
        <f t="shared" si="32"/>
        <v>5.6000000000000014</v>
      </c>
      <c r="L333">
        <f t="shared" si="33"/>
        <v>15.32846335999999</v>
      </c>
      <c r="O333">
        <f t="shared" si="29"/>
        <v>67.592250000000007</v>
      </c>
    </row>
    <row r="334" spans="1:15" ht="16" x14ac:dyDescent="0.2">
      <c r="A334" t="s">
        <v>10</v>
      </c>
      <c r="B334" t="s">
        <v>11</v>
      </c>
      <c r="C334" s="5">
        <v>25.6</v>
      </c>
      <c r="D334">
        <v>7.7504298800000004</v>
      </c>
      <c r="E334" s="6">
        <v>8</v>
      </c>
      <c r="F334" s="2">
        <v>67.016000000000005</v>
      </c>
      <c r="G334" s="2">
        <v>67.016000000000005</v>
      </c>
      <c r="I334">
        <f t="shared" si="30"/>
        <v>2.7404999999999999</v>
      </c>
      <c r="J334">
        <f t="shared" si="31"/>
        <v>6.9879633599999877</v>
      </c>
      <c r="K334">
        <f t="shared" si="32"/>
        <v>5.6000000000000014</v>
      </c>
      <c r="L334">
        <f t="shared" si="33"/>
        <v>15.32846335999999</v>
      </c>
      <c r="O334">
        <f t="shared" si="29"/>
        <v>67.016000000000005</v>
      </c>
    </row>
    <row r="335" spans="1:15" ht="16" x14ac:dyDescent="0.2">
      <c r="A335" t="s">
        <v>10</v>
      </c>
      <c r="B335" t="s">
        <v>11</v>
      </c>
      <c r="C335" s="7">
        <v>25.6</v>
      </c>
      <c r="D335">
        <v>7.7504298800000004</v>
      </c>
      <c r="E335" s="8">
        <v>8</v>
      </c>
      <c r="F335" s="2">
        <v>79.293750000000003</v>
      </c>
      <c r="G335" s="2">
        <v>79.293750000000003</v>
      </c>
      <c r="I335">
        <f t="shared" si="30"/>
        <v>2.7404999999999999</v>
      </c>
      <c r="J335">
        <f t="shared" si="31"/>
        <v>6.9879633599999877</v>
      </c>
      <c r="K335">
        <f t="shared" si="32"/>
        <v>5.6000000000000014</v>
      </c>
      <c r="L335">
        <f t="shared" si="33"/>
        <v>15.32846335999999</v>
      </c>
      <c r="O335">
        <f t="shared" si="29"/>
        <v>79.293750000000003</v>
      </c>
    </row>
    <row r="336" spans="1:15" ht="16" x14ac:dyDescent="0.2">
      <c r="A336" t="s">
        <v>10</v>
      </c>
      <c r="B336" t="s">
        <v>11</v>
      </c>
      <c r="C336" s="5">
        <v>25.6</v>
      </c>
      <c r="D336">
        <v>7.7504298800000004</v>
      </c>
      <c r="E336" s="6">
        <v>8</v>
      </c>
      <c r="F336" s="2">
        <v>68.154499999999999</v>
      </c>
      <c r="G336" s="2">
        <v>68.154499999999999</v>
      </c>
      <c r="I336">
        <f t="shared" si="30"/>
        <v>2.7404999999999999</v>
      </c>
      <c r="J336">
        <f t="shared" si="31"/>
        <v>6.9879633599999877</v>
      </c>
      <c r="K336">
        <f t="shared" si="32"/>
        <v>5.6000000000000014</v>
      </c>
      <c r="L336">
        <f t="shared" si="33"/>
        <v>15.32846335999999</v>
      </c>
      <c r="O336">
        <f t="shared" si="29"/>
        <v>68.154499999999999</v>
      </c>
    </row>
    <row r="337" spans="1:15" ht="16" x14ac:dyDescent="0.2">
      <c r="A337" t="s">
        <v>10</v>
      </c>
      <c r="B337" t="s">
        <v>11</v>
      </c>
      <c r="C337" s="7">
        <v>25.6</v>
      </c>
      <c r="D337">
        <v>7.7504298800000004</v>
      </c>
      <c r="E337" s="8">
        <v>8</v>
      </c>
      <c r="F337" s="2">
        <v>67.481999999999999</v>
      </c>
      <c r="G337" s="2">
        <v>67.481999999999999</v>
      </c>
      <c r="I337">
        <f t="shared" si="30"/>
        <v>2.7404999999999999</v>
      </c>
      <c r="J337">
        <f t="shared" si="31"/>
        <v>6.9879633599999877</v>
      </c>
      <c r="K337">
        <f t="shared" si="32"/>
        <v>5.6000000000000014</v>
      </c>
      <c r="L337">
        <f t="shared" si="33"/>
        <v>15.32846335999999</v>
      </c>
      <c r="O337">
        <f t="shared" si="29"/>
        <v>67.481999999999999</v>
      </c>
    </row>
    <row r="338" spans="1:15" ht="16" x14ac:dyDescent="0.2">
      <c r="A338" t="s">
        <v>10</v>
      </c>
      <c r="B338" t="s">
        <v>11</v>
      </c>
      <c r="C338" s="7">
        <v>25.6</v>
      </c>
      <c r="D338">
        <v>7.7504298800000004</v>
      </c>
      <c r="E338" s="8">
        <v>8</v>
      </c>
      <c r="F338" s="2">
        <v>61.647999999999996</v>
      </c>
      <c r="G338" s="2">
        <v>61.647999999999996</v>
      </c>
      <c r="I338">
        <f t="shared" si="30"/>
        <v>2.7404999999999999</v>
      </c>
      <c r="J338">
        <f t="shared" si="31"/>
        <v>6.9879633599999877</v>
      </c>
      <c r="K338">
        <f t="shared" si="32"/>
        <v>5.6000000000000014</v>
      </c>
      <c r="L338">
        <f t="shared" si="33"/>
        <v>15.32846335999999</v>
      </c>
      <c r="O338">
        <f t="shared" si="29"/>
        <v>61.647999999999996</v>
      </c>
    </row>
    <row r="339" spans="1:15" ht="16" x14ac:dyDescent="0.2">
      <c r="A339" t="s">
        <v>10</v>
      </c>
      <c r="B339" t="s">
        <v>11</v>
      </c>
      <c r="C339" s="5">
        <v>25.6</v>
      </c>
      <c r="D339">
        <v>7.7504298800000004</v>
      </c>
      <c r="E339" s="6">
        <v>8</v>
      </c>
      <c r="F339" s="2">
        <v>71.407749999999993</v>
      </c>
      <c r="G339" s="2">
        <v>71.407749999999993</v>
      </c>
      <c r="I339">
        <f t="shared" si="30"/>
        <v>2.7404999999999999</v>
      </c>
      <c r="J339">
        <f t="shared" si="31"/>
        <v>6.9879633599999877</v>
      </c>
      <c r="K339">
        <f t="shared" si="32"/>
        <v>5.6000000000000014</v>
      </c>
      <c r="L339">
        <f t="shared" si="33"/>
        <v>15.32846335999999</v>
      </c>
      <c r="O339">
        <f t="shared" si="29"/>
        <v>71.407749999999993</v>
      </c>
    </row>
    <row r="340" spans="1:15" ht="16" x14ac:dyDescent="0.2">
      <c r="A340" t="s">
        <v>10</v>
      </c>
      <c r="B340" t="s">
        <v>11</v>
      </c>
      <c r="C340" s="7">
        <v>25.6</v>
      </c>
      <c r="D340">
        <v>7.7504298800000004</v>
      </c>
      <c r="E340" s="8">
        <v>8</v>
      </c>
      <c r="F340" s="2">
        <v>64.258499999999998</v>
      </c>
      <c r="G340" s="2">
        <v>64.258499999999998</v>
      </c>
      <c r="I340">
        <f t="shared" si="30"/>
        <v>2.7404999999999999</v>
      </c>
      <c r="J340">
        <f t="shared" si="31"/>
        <v>6.9879633599999877</v>
      </c>
      <c r="K340">
        <f t="shared" si="32"/>
        <v>5.6000000000000014</v>
      </c>
      <c r="L340">
        <f t="shared" si="33"/>
        <v>15.32846335999999</v>
      </c>
      <c r="O340">
        <f t="shared" si="29"/>
        <v>64.258499999999998</v>
      </c>
    </row>
    <row r="343" spans="1:15" x14ac:dyDescent="0.2">
      <c r="A343" t="s">
        <v>12</v>
      </c>
      <c r="F343">
        <f>MAX(F2:F340)</f>
        <v>83.333250000000007</v>
      </c>
      <c r="G343">
        <f>MAX(G2:G340)</f>
        <v>83.333250000000007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SICA_preadjustement</vt:lpstr>
      <vt:lpstr>SICA_adjusted</vt:lpstr>
      <vt:lpstr>SICA_adjusted (2)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Dupont</dc:creator>
  <cp:lastModifiedBy>Einar Pétur Jónsson - HAFRO</cp:lastModifiedBy>
  <dcterms:created xsi:type="dcterms:W3CDTF">2026-01-28T09:41:29Z</dcterms:created>
  <dcterms:modified xsi:type="dcterms:W3CDTF">2026-02-02T15:43:50Z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2026-01-29T11:32:32Z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c3717b9c-6a9e-4612-b7a1-d4680629ba03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